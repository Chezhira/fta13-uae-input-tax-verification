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7d5f62e1e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928ed7e0fa24119"/>
    <x:sheet xmlns:r="http://schemas.openxmlformats.org/officeDocument/2006/relationships" name="AP Ledger" sheetId="2" r:id="Raa32f07071a64c3e"/>
    <x:sheet xmlns:r="http://schemas.openxmlformats.org/officeDocument/2006/relationships" name="Data Dictionary" sheetId="3" r:id="R9873ebe995274b1a"/>
    <x:sheet xmlns:r="http://schemas.openxmlformats.org/officeDocument/2006/relationships" name="Checks" sheetId="4" r:id="R712e66c45332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@"/>
    <x:numFmt numFmtId="203" formatCode="[$AED] #,##0.00;[Red]([$AED] #,##0.00);-"/>
    <x:numFmt numFmtId="204" formatCode="#,##0.00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FFFFFF"/>
      <x:name val="Aptos"/>
    </x:font>
    <x:font>
      <x:sz val="11"/>
      <x:color rgb="FF166534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E8F5E9"/>
      </x:patternFill>
    </x:fill>
    <x:fill>
      <x:patternFill patternType="solid">
        <x:fgColor rgb="FF0F766E"/>
      </x:patternFill>
    </x:fill>
    <x:fill>
      <x:patternFill patternType="solid">
        <x:fgColor rgb="FFE8F5E9"/>
      </x:patternFill>
    </x:fill>
    <x:fill>
      <x:patternFill patternType="solid">
        <x:fgColor rgb="FF0F766E"/>
      </x:patternFill>
    </x:fill>
    <x:fill>
      <x:patternFill patternType="solid">
        <x:fgColor rgb="FFE8F5E9"/>
      </x:patternFill>
    </x:fill>
    <x:fill>
      <x:patternFill patternType="solid">
        <x:fgColor rgb="FF0F766E"/>
      </x:patternFill>
    </x:fill>
    <x:fill>
      <x:patternFill patternType="solid">
        <x:fgColor rgb="FFE8F5E9"/>
      </x:patternFill>
    </x:fill>
  </x:fills>
  <x:borders count="9">
    <x:border/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4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7" fillId="2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3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8" fillId="8" borderId="0" xfId="0" applyNumberFormat="1" applyFont="1" applyFill="1" applyBorder="1"/>
    <x:xf numFmtId="0" fontId="2" fillId="9" borderId="4" xfId="0" applyNumberFormat="1" applyFont="1" applyFill="1" applyBorder="1"/>
    <x:xf numFmtId="0" fontId="2" fillId="9" borderId="3" xfId="0" applyNumberFormat="1" applyFont="1" applyFill="1" applyBorder="1"/>
    <x:xf numFmtId="0" fontId="8" fillId="10" borderId="0" xfId="0" applyNumberFormat="1" applyFont="1" applyFill="1" applyBorder="1"/>
    <x:xf numFmtId="0" fontId="2" fillId="11" borderId="4" xfId="0" applyNumberFormat="1" applyFont="1" applyFill="1" applyBorder="1"/>
    <x:xf numFmtId="0" fontId="2" fillId="11" borderId="3" xfId="0" applyNumberFormat="1" applyFont="1" applyFill="1" applyBorder="1"/>
    <x:xf numFmtId="0" fontId="8" fillId="1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E8F5E9"/>
        </x:patternFill>
      </x:fill>
    </x:dxf>
    <x:dxf>
      <x:font>
        <x:b/>
        <x:color rgb="FF991B1B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c35342a714e3e" /><Relationship Type="http://schemas.openxmlformats.org/officeDocument/2006/relationships/theme" Target="/xl/theme/theme1.xml" Id="R0b680c3ddc3d4d4e" /><Relationship Type="http://schemas.openxmlformats.org/officeDocument/2006/relationships/sharedStrings" Target="/xl/sharedStrings.xml" Id="R48dda083ccf64832" /><Relationship Type="http://schemas.openxmlformats.org/officeDocument/2006/relationships/worksheet" Target="/xl/worksheets/sheet1.xml" Id="R6928ed7e0fa24119" /><Relationship Type="http://schemas.openxmlformats.org/officeDocument/2006/relationships/worksheet" Target="/xl/worksheets/sheet2.xml" Id="Raa32f07071a64c3e" /><Relationship Type="http://schemas.openxmlformats.org/officeDocument/2006/relationships/worksheet" Target="/xl/worksheets/sheet3.xml" Id="R9873ebe995274b1a" /><Relationship Type="http://schemas.openxmlformats.org/officeDocument/2006/relationships/worksheet" Target="/xl/worksheets/sheet4.xml" Id="R712e66c453324295" /></Relationships>
</file>

<file path=xl/tables/table1.xml><?xml version="1.0" encoding="utf-8"?>
<x:table xmlns:x="http://schemas.openxmlformats.org/spreadsheetml/2006/main" id="1" name="SyntheticAPLedger" displayName="SyntheticAPLedger" ref="A1:I2801" headerRowCount="1" totalsRowCount="0" totalsRowShown="0">
  <x:tableColumns count="9">
    <x:tableColumn id="1" name="supplier_reference"/>
    <x:tableColumn id="2" name="supplier_name"/>
    <x:tableColumn id="3" name="supplier_trn"/>
    <x:tableColumn id="4" name="supply_reference"/>
    <x:tableColumn id="5" name="supply_date"/>
    <x:tableColumn id="6" name="amount_excluding_vat"/>
    <x:tableColumn id="7" name="input_vat"/>
    <x:tableColumn id="8" name="expected_next_12m"/>
    <x:tableColumn id="9" name="last_verified_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2e9d787bd04b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8" hidden="0" customWidth="1"/>
  </x:cols>
  <x:sheetData>
    <x:row r="1">
      <x:c r="A1" s="20" t="str">
        <x:v>FTA13 Synthetic Portfolio Demo</x:v>
      </x:c>
      <x:c r="B1" s="20"/>
      <x:c r="C1" s="20"/>
      <x:c r="D1" s="20"/>
      <x:c r="E1" s="20"/>
      <x:c r="F1" s="20"/>
      <x:c r="G1" s="20"/>
    </x:row>
    <x:row r="2">
      <x:c r="A2" s="20"/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>
      <x:c r="A4" s="22" t="str">
        <x:v>Purpose</x:v>
      </x:c>
      <x:c r="B4" s="23" t="str">
        <x:v>Synthetic AP ledger for demonstrating deterministic portfolio screening and ledger-to-document linkage under UAE FTA Decision No. 13 of 2026.</x:v>
      </x:c>
      <x:c r="C4" s="21"/>
      <x:c r="D4" s="21"/>
      <x:c r="E4" s="21"/>
      <x:c r="F4" s="21"/>
      <x:c r="G4" s="21"/>
    </x:row>
    <x:row r="5">
      <x:c r="A5" s="24" t="str">
        <x:v>Suppliers</x:v>
      </x:c>
      <x:c r="B5" s="32" t="n">
        <x:v>800</x:v>
      </x:c>
      <x:c r="C5" s="21"/>
      <x:c r="D5" s="21"/>
      <x:c r="E5" s="21"/>
      <x:c r="F5" s="21"/>
      <x:c r="G5" s="21"/>
    </x:row>
    <x:row r="6">
      <x:c r="A6" s="24" t="str">
        <x:v>Transactions</x:v>
      </x:c>
      <x:c r="B6" s="32" t="n">
        <x:v>2800</x:v>
      </x:c>
      <x:c r="C6" s="21"/>
      <x:c r="D6" s="21"/>
      <x:c r="E6" s="21"/>
      <x:c r="F6" s="21"/>
      <x:c r="G6" s="21"/>
    </x:row>
    <x:row r="7">
      <x:c r="A7" s="24" t="str">
        <x:v>Currency</x:v>
      </x:c>
      <x:c r="B7" s="25" t="str">
        <x:v>AED; amounts excluding VAT</x:v>
      </x:c>
      <x:c r="C7" s="21"/>
      <x:c r="D7" s="21"/>
      <x:c r="E7" s="21"/>
      <x:c r="F7" s="21"/>
      <x:c r="G7" s="21"/>
    </x:row>
    <x:row r="8">
      <x:c r="A8" s="24" t="str">
        <x:v>Data status</x:v>
      </x:c>
      <x:c r="B8" s="25" t="str">
        <x:v>Entirely synthetic; no real suppliers, invoices or personal data</x:v>
      </x:c>
      <x:c r="C8" s="21"/>
      <x:c r="D8" s="21"/>
      <x:c r="E8" s="21"/>
      <x:c r="F8" s="21"/>
      <x:c r="G8" s="21"/>
    </x:row>
    <x:row r="9">
      <x:c r="A9" s="24" t="str">
        <x:v>App</x:v>
      </x:c>
      <x:c r="B9" s="25" t="str">
        <x:v>https://fta13-uae-input-tax-verification.streamlit.app/</x:v>
      </x:c>
      <x:c r="C9" s="21"/>
      <x:c r="D9" s="21"/>
      <x:c r="E9" s="21"/>
      <x:c r="F9" s="21"/>
      <x:c r="G9" s="21"/>
    </x:row>
    <x:row r="10">
      <x:c r="A10" s="26"/>
      <x:c r="B10" s="27"/>
      <x:c r="C10" s="21"/>
      <x:c r="D10" s="21"/>
      <x:c r="E10" s="21"/>
      <x:c r="F10" s="21"/>
      <x:c r="G10" s="21"/>
    </x:row>
    <x:row r="11">
      <x:c r="A11" s="28" t="str">
        <x:v>Designed portfolio mix</x:v>
      </x:c>
      <x:c r="B11" s="29" t="str">
        <x:v>Supplier count</x:v>
      </x:c>
      <x:c r="C11" s="21"/>
      <x:c r="D11" s="21"/>
      <x:c r="E11" s="21"/>
      <x:c r="F11" s="21"/>
      <x:c r="G11" s="21"/>
    </x:row>
    <x:row r="12">
      <x:c r="A12" s="26" t="str">
        <x:v>Below current transaction thresholds</x:v>
      </x:c>
      <x:c r="B12" s="27" t="n">
        <x:v>220</x:v>
      </x:c>
      <x:c r="C12" s="21"/>
      <x:c r="D12" s="21"/>
      <x:c r="E12" s="21"/>
      <x:c r="F12" s="21"/>
      <x:c r="G12" s="21"/>
    </x:row>
    <x:row r="13">
      <x:c r="A13" s="26" t="str">
        <x:v>Transaction checks (one or more supplies AED 10,000+)</x:v>
      </x:c>
      <x:c r="B13" s="27" t="n">
        <x:v>180</x:v>
      </x:c>
      <x:c r="C13" s="21"/>
      <x:c r="D13" s="21"/>
      <x:c r="E13" s="21"/>
      <x:c r="F13" s="21"/>
      <x:c r="G13" s="21"/>
    </x:row>
    <x:row r="14">
      <x:c r="A14" s="26" t="str">
        <x:v>Full verification priority</x:v>
      </x:c>
      <x:c r="B14" s="27" t="n">
        <x:v>250</x:v>
      </x:c>
      <x:c r="C14" s="21"/>
      <x:c r="D14" s="21"/>
      <x:c r="E14" s="21"/>
      <x:c r="F14" s="21"/>
      <x:c r="G14" s="21"/>
    </x:row>
    <x:row r="15">
      <x:c r="A15" s="30" t="str">
        <x:v>Enhanced-check priority</x:v>
      </x:c>
      <x:c r="B15" s="31" t="n">
        <x:v>150</x:v>
      </x:c>
      <x:c r="C15" s="21"/>
      <x:c r="D15" s="21"/>
      <x:c r="E15" s="21"/>
      <x:c r="F15" s="21"/>
      <x:c r="G15" s="21"/>
    </x:row>
    <x:row r="17">
      <x:c r="A17" s="62" t="str">
        <x:v>Demonstrated launch scenarios</x:v>
      </x:c>
      <x:c r="B17" s="63" t="str">
        <x:v>Supplier count</x:v>
      </x:c>
    </x:row>
    <x:row r="18">
      <x:c r="A18" s="47" t="str">
        <x:v>Retrospective review population</x:v>
      </x:c>
      <x:c r="B18" s="56" t="n">
        <x:v>12</x:v>
      </x:c>
    </x:row>
    <x:row r="19">
      <x:c r="A19" s="14" t="str">
        <x:v>Re-verification due within 90 days</x:v>
      </x:c>
      <x:c r="B19" s="57" t="n">
        <x:v>12</x:v>
      </x:c>
    </x:row>
    <x:row r="20">
      <x:c r="A20" s="14" t="str">
        <x:v>Overdue re-verification cohort</x:v>
      </x:c>
      <x:c r="B20" s="57" t="n">
        <x:v>12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2" hidden="0" customWidth="1"/>
    <x:col min="4" max="4" width="24" hidden="0" customWidth="1"/>
    <x:col min="5" max="5" width="14" hidden="0" customWidth="1"/>
    <x:col min="6" max="6" width="23" hidden="0" customWidth="1"/>
    <x:col min="7" max="7" width="23" hidden="0" customWidth="1"/>
    <x:col min="8" max="8" width="23" hidden="0" customWidth="1"/>
    <x:col min="9" max="9" width="18" hidden="0" customWidth="1"/>
  </x:cols>
  <x:sheetData>
    <x:row r="1">
      <x:c r="A1" s="37" t="str">
        <x:v>supplier_reference</x:v>
      </x:c>
      <x:c r="B1" s="37" t="str">
        <x:v>supplier_name</x:v>
      </x:c>
      <x:c r="C1" s="37" t="str">
        <x:v>supplier_trn</x:v>
      </x:c>
      <x:c r="D1" s="37" t="str">
        <x:v>supply_reference</x:v>
      </x:c>
      <x:c r="E1" s="37" t="str">
        <x:v>supply_date</x:v>
      </x:c>
      <x:c r="F1" s="37" t="str">
        <x:v>amount_excluding_vat</x:v>
      </x:c>
      <x:c r="G1" s="37" t="str">
        <x:v>input_vat</x:v>
      </x:c>
      <x:c r="H1" s="37" t="str">
        <x:v>expected_next_12m</x:v>
      </x:c>
      <x:c r="I1" s="37" t="str">
        <x:v>last_verified_on</x:v>
      </x:c>
    </x:row>
    <x:row r="2">
      <x:c r="A2" s="21" t="str">
        <x:v>SYN-0001</x:v>
      </x:c>
      <x:c r="B2" s="21" t="str">
        <x:v>Synthetic Supplier 0001 LLC</x:v>
      </x:c>
      <x:c r="C2" s="38" t="str">
        <x:f>"900 000 000 000 001"</x:f>
        <x:v>900 000 000 000 001</x:v>
      </x:c>
      <x:c r="D2" s="21" t="str">
        <x:v>SYN-0001-INV-01</x:v>
      </x:c>
      <x:c r="E2" s="39" t="n">
        <x:v>45992</x:v>
      </x:c>
      <x:c r="F2" s="42" t="n">
        <x:v>8640.14</x:v>
      </x:c>
      <x:c r="G2" s="42" t="n">
        <x:v>432.01</x:v>
      </x:c>
      <x:c r="H2" s="42" t="n">
        <x:v>22631.14</x:v>
      </x:c>
      <x:c r="I2" s="39" t="n">
        <x:v>46055</x:v>
      </x:c>
    </x:row>
    <x:row r="3">
      <x:c r="A3" s="21" t="str">
        <x:v>SYN-0001</x:v>
      </x:c>
      <x:c r="B3" s="21" t="str">
        <x:v>Synthetic Supplier 0001 LLC</x:v>
      </x:c>
      <x:c r="C3" s="38" t="str">
        <x:f>"900 000 000 000 001"</x:f>
        <x:v>900 000 000 000 001</x:v>
      </x:c>
      <x:c r="D3" s="21" t="str">
        <x:v>SYN-0001-INV-02</x:v>
      </x:c>
      <x:c r="E3" s="39" t="n">
        <x:v>46039</x:v>
      </x:c>
      <x:c r="F3" s="42" t="n">
        <x:v>7867.53</x:v>
      </x:c>
      <x:c r="G3" s="42" t="n">
        <x:v>393.38</x:v>
      </x:c>
      <x:c r="H3" s="42" t="n">
        <x:v>22631.14</x:v>
      </x:c>
      <x:c r="I3" s="39" t="n">
        <x:v>46055</x:v>
      </x:c>
    </x:row>
    <x:row r="4">
      <x:c r="A4" s="21" t="str">
        <x:v>SYN-0001</x:v>
      </x:c>
      <x:c r="B4" s="21" t="str">
        <x:v>Synthetic Supplier 0001 LLC</x:v>
      </x:c>
      <x:c r="C4" s="38" t="str">
        <x:f>"900 000 000 000 001"</x:f>
        <x:v>900 000 000 000 001</x:v>
      </x:c>
      <x:c r="D4" s="21" t="str">
        <x:v>SYN-0001-INV-03</x:v>
      </x:c>
      <x:c r="E4" s="39" t="n">
        <x:v>46086</x:v>
      </x:c>
      <x:c r="F4" s="42" t="n">
        <x:v>8638.04</x:v>
      </x:c>
      <x:c r="G4" s="42" t="n">
        <x:v>431.9</x:v>
      </x:c>
      <x:c r="H4" s="42" t="n">
        <x:v>22631.14</x:v>
      </x:c>
      <x:c r="I4" s="39" t="n">
        <x:v>46055</x:v>
      </x:c>
    </x:row>
    <x:row r="5">
      <x:c r="A5" s="21" t="str">
        <x:v>SYN-0002</x:v>
      </x:c>
      <x:c r="B5" s="21" t="str">
        <x:v>Synthetic Supplier 0002 LLC</x:v>
      </x:c>
      <x:c r="C5" s="38" t="str">
        <x:f>"900 000 000 000 002"</x:f>
        <x:v>900 000 000 000 002</x:v>
      </x:c>
      <x:c r="D5" s="21" t="str">
        <x:v>SYN-0002-INV-01</x:v>
      </x:c>
      <x:c r="E5" s="39" t="n">
        <x:v>46005</x:v>
      </x:c>
      <x:c r="F5" s="42" t="n">
        <x:v>5521.14</x:v>
      </x:c>
      <x:c r="G5" s="42" t="n">
        <x:v>276.06</x:v>
      </x:c>
      <x:c r="H5" s="42" t="n">
        <x:v>21343.98</x:v>
      </x:c>
      <x:c r="I5" s="39" t="n">
        <x:v>45719</x:v>
      </x:c>
    </x:row>
    <x:row r="6">
      <x:c r="A6" s="21" t="str">
        <x:v>SYN-0002</x:v>
      </x:c>
      <x:c r="B6" s="21" t="str">
        <x:v>Synthetic Supplier 0002 LLC</x:v>
      </x:c>
      <x:c r="C6" s="38" t="str">
        <x:f>"900 000 000 000 002"</x:f>
        <x:v>900 000 000 000 002</x:v>
      </x:c>
      <x:c r="D6" s="21" t="str">
        <x:v>SYN-0002-INV-02</x:v>
      </x:c>
      <x:c r="E6" s="39" t="n">
        <x:v>46052</x:v>
      </x:c>
      <x:c r="F6" s="42" t="n">
        <x:v>6175.81</x:v>
      </x:c>
      <x:c r="G6" s="42" t="n">
        <x:v>308.79</x:v>
      </x:c>
      <x:c r="H6" s="42" t="n">
        <x:v>21343.98</x:v>
      </x:c>
      <x:c r="I6" s="39" t="n">
        <x:v>45719</x:v>
      </x:c>
    </x:row>
    <x:row r="7">
      <x:c r="A7" s="21" t="str">
        <x:v>SYN-0002</x:v>
      </x:c>
      <x:c r="B7" s="21" t="str">
        <x:v>Synthetic Supplier 0002 LLC</x:v>
      </x:c>
      <x:c r="C7" s="38" t="str">
        <x:f>"900 000 000 000 002"</x:f>
        <x:v>900 000 000 000 002</x:v>
      </x:c>
      <x:c r="D7" s="21" t="str">
        <x:v>SYN-0002-INV-03</x:v>
      </x:c>
      <x:c r="E7" s="39" t="n">
        <x:v>46099</x:v>
      </x:c>
      <x:c r="F7" s="42" t="n">
        <x:v>5542.28</x:v>
      </x:c>
      <x:c r="G7" s="42" t="n">
        <x:v>277.11</x:v>
      </x:c>
      <x:c r="H7" s="42" t="n">
        <x:v>21343.98</x:v>
      </x:c>
      <x:c r="I7" s="39" t="n">
        <x:v>45719</x:v>
      </x:c>
    </x:row>
    <x:row r="8">
      <x:c r="A8" s="21" t="str">
        <x:v>SYN-0002</x:v>
      </x:c>
      <x:c r="B8" s="21" t="str">
        <x:v>Synthetic Supplier 0002 LLC</x:v>
      </x:c>
      <x:c r="C8" s="38" t="str">
        <x:f>"900 000 000 000 002"</x:f>
        <x:v>900 000 000 000 002</x:v>
      </x:c>
      <x:c r="D8" s="21" t="str">
        <x:v>SYN-0002-INV-04</x:v>
      </x:c>
      <x:c r="E8" s="39" t="n">
        <x:v>46146</x:v>
      </x:c>
      <x:c r="F8" s="42" t="n">
        <x:v>6476.29</x:v>
      </x:c>
      <x:c r="G8" s="42" t="n">
        <x:v>323.81</x:v>
      </x:c>
      <x:c r="H8" s="42" t="n">
        <x:v>21343.98</x:v>
      </x:c>
      <x:c r="I8" s="39" t="n">
        <x:v>45719</x:v>
      </x:c>
    </x:row>
    <x:row r="9">
      <x:c r="A9" s="21" t="str">
        <x:v>SYN-0003</x:v>
      </x:c>
      <x:c r="B9" s="21" t="str">
        <x:v>Synthetic Supplier 0003 LLC</x:v>
      </x:c>
      <x:c r="C9" s="38" t="str">
        <x:f>"900 000 000 000 003"</x:f>
        <x:v>900 000 000 000 003</x:v>
      </x:c>
      <x:c r="D9" s="21" t="str">
        <x:v>SYN-0003-INV-01</x:v>
      </x:c>
      <x:c r="E9" s="39" t="n">
        <x:v>46018</x:v>
      </x:c>
      <x:c r="F9" s="42" t="n">
        <x:v>1022.82</x:v>
      </x:c>
      <x:c r="G9" s="42" t="n">
        <x:v>51.14</x:v>
      </x:c>
      <x:c r="H9" s="42" t="n">
        <x:v>4803.7</x:v>
      </x:c>
      <x:c r="I9" s="39" t="n">
        <x:v>46116</x:v>
      </x:c>
    </x:row>
    <x:row r="10">
      <x:c r="A10" s="21" t="str">
        <x:v>SYN-0003</x:v>
      </x:c>
      <x:c r="B10" s="21" t="str">
        <x:v>Synthetic Supplier 0003 LLC</x:v>
      </x:c>
      <x:c r="C10" s="38" t="str">
        <x:f>"900 000 000 000 003"</x:f>
        <x:v>900 000 000 000 003</x:v>
      </x:c>
      <x:c r="D10" s="21" t="str">
        <x:v>SYN-0003-INV-02</x:v>
      </x:c>
      <x:c r="E10" s="39" t="n">
        <x:v>46065</x:v>
      </x:c>
      <x:c r="F10" s="42" t="n">
        <x:v>1586.98</x:v>
      </x:c>
      <x:c r="G10" s="42" t="n">
        <x:v>79.35</x:v>
      </x:c>
      <x:c r="H10" s="42" t="n">
        <x:v>4803.7</x:v>
      </x:c>
      <x:c r="I10" s="39" t="n">
        <x:v>46116</x:v>
      </x:c>
    </x:row>
    <x:row r="11">
      <x:c r="A11" s="21" t="str">
        <x:v>SYN-0003</x:v>
      </x:c>
      <x:c r="B11" s="21" t="str">
        <x:v>Synthetic Supplier 0003 LLC</x:v>
      </x:c>
      <x:c r="C11" s="38" t="str">
        <x:f>"900 000 000 000 003"</x:f>
        <x:v>900 000 000 000 003</x:v>
      </x:c>
      <x:c r="D11" s="21" t="str">
        <x:v>SYN-0003-INV-03</x:v>
      </x:c>
      <x:c r="E11" s="39" t="n">
        <x:v>46112</x:v>
      </x:c>
      <x:c r="F11" s="42" t="n">
        <x:v>981.52</x:v>
      </x:c>
      <x:c r="G11" s="42" t="n">
        <x:v>49.08</x:v>
      </x:c>
      <x:c r="H11" s="42" t="n">
        <x:v>4803.7</x:v>
      </x:c>
      <x:c r="I11" s="39" t="n">
        <x:v>46116</x:v>
      </x:c>
    </x:row>
    <x:row r="12">
      <x:c r="A12" s="21" t="str">
        <x:v>SYN-0003</x:v>
      </x:c>
      <x:c r="B12" s="21" t="str">
        <x:v>Synthetic Supplier 0003 LLC</x:v>
      </x:c>
      <x:c r="C12" s="38" t="str">
        <x:f>"900 000 000 000 003"</x:f>
        <x:v>900 000 000 000 003</x:v>
      </x:c>
      <x:c r="D12" s="21" t="str">
        <x:v>SYN-0003-INV-04</x:v>
      </x:c>
      <x:c r="E12" s="39" t="n">
        <x:v>46159</x:v>
      </x:c>
      <x:c r="F12" s="42" t="n">
        <x:v>824.71</x:v>
      </x:c>
      <x:c r="G12" s="42" t="n">
        <x:v>41.24</x:v>
      </x:c>
      <x:c r="H12" s="42" t="n">
        <x:v>4803.7</x:v>
      </x:c>
      <x:c r="I12" s="39" t="n">
        <x:v>46116</x:v>
      </x:c>
    </x:row>
    <x:row r="13">
      <x:c r="A13" s="21" t="str">
        <x:v>SYN-0003</x:v>
      </x:c>
      <x:c r="B13" s="21" t="str">
        <x:v>Synthetic Supplier 0003 LLC</x:v>
      </x:c>
      <x:c r="C13" s="38" t="str">
        <x:f>"900 000 000 000 003"</x:f>
        <x:v>900 000 000 000 003</x:v>
      </x:c>
      <x:c r="D13" s="21" t="str">
        <x:v>SYN-0003-INV-05</x:v>
      </x:c>
      <x:c r="E13" s="39" t="n">
        <x:v>46206</x:v>
      </x:c>
      <x:c r="F13" s="42" t="n">
        <x:v>921.4</x:v>
      </x:c>
      <x:c r="G13" s="42" t="n">
        <x:v>46.07</x:v>
      </x:c>
      <x:c r="H13" s="42" t="n">
        <x:v>4803.7</x:v>
      </x:c>
      <x:c r="I13" s="39" t="n">
        <x:v>46116</x:v>
      </x:c>
    </x:row>
    <x:row r="14">
      <x:c r="A14" s="21" t="str">
        <x:v>SYN-0004</x:v>
      </x:c>
      <x:c r="B14" s="21" t="str">
        <x:v>Synthetic Supplier 0004 LLC</x:v>
      </x:c>
      <x:c r="C14" s="38" t="str">
        <x:f>"900 000 000 000 004"</x:f>
        <x:v>900 000 000 000 004</x:v>
      </x:c>
      <x:c r="D14" s="21" t="str">
        <x:v>SYN-0004-INV-01</x:v>
      </x:c>
      <x:c r="E14" s="39" t="n">
        <x:v>46031</x:v>
      </x:c>
      <x:c r="F14" s="42" t="n">
        <x:v>9723.54</x:v>
      </x:c>
      <x:c r="G14" s="42" t="n">
        <x:v>486.18</x:v>
      </x:c>
      <x:c r="H14" s="42" t="n">
        <x:v>17788.48</x:v>
      </x:c>
      <x:c r="I14" s="39" t="n">
        <x:v>45782</x:v>
      </x:c>
    </x:row>
    <x:row r="15">
      <x:c r="A15" s="21" t="str">
        <x:v>SYN-0004</x:v>
      </x:c>
      <x:c r="B15" s="21" t="str">
        <x:v>Synthetic Supplier 0004 LLC</x:v>
      </x:c>
      <x:c r="C15" s="38" t="str">
        <x:f>"900 000 000 000 004"</x:f>
        <x:v>900 000 000 000 004</x:v>
      </x:c>
      <x:c r="D15" s="21" t="str">
        <x:v>SYN-0004-INV-02</x:v>
      </x:c>
      <x:c r="E15" s="39" t="n">
        <x:v>46078</x:v>
      </x:c>
      <x:c r="F15" s="42" t="n">
        <x:v>10041.44</x:v>
      </x:c>
      <x:c r="G15" s="42" t="n">
        <x:v>502.07</x:v>
      </x:c>
      <x:c r="H15" s="42" t="n">
        <x:v>17788.48</x:v>
      </x:c>
      <x:c r="I15" s="39" t="n">
        <x:v>45782</x:v>
      </x:c>
    </x:row>
    <x:row r="16">
      <x:c r="A16" s="21" t="str">
        <x:v>SYN-0005</x:v>
      </x:c>
      <x:c r="B16" s="21" t="str">
        <x:v>Synthetic Supplier 0005 LLC</x:v>
      </x:c>
      <x:c r="C16" s="38" t="str">
        <x:f>"900 000 000 000 005"</x:f>
        <x:v>900 000 000 000 005</x:v>
      </x:c>
      <x:c r="D16" s="21" t="str">
        <x:v>SYN-0005-INV-01</x:v>
      </x:c>
      <x:c r="E16" s="39" t="n">
        <x:v>46044</x:v>
      </x:c>
      <x:c r="F16" s="42" t="n">
        <x:v>6461.96</x:v>
      </x:c>
      <x:c r="G16" s="42" t="n">
        <x:v>323.1</x:v>
      </x:c>
      <x:c r="H16" s="42" t="n">
        <x:v>21612.6</x:v>
      </x:c>
      <x:c r="I16" s="39"/>
    </x:row>
    <x:row r="17">
      <x:c r="A17" s="21" t="str">
        <x:v>SYN-0005</x:v>
      </x:c>
      <x:c r="B17" s="21" t="str">
        <x:v>Synthetic Supplier 0005 LLC</x:v>
      </x:c>
      <x:c r="C17" s="38" t="str">
        <x:f>"900 000 000 000 005"</x:f>
        <x:v>900 000 000 000 005</x:v>
      </x:c>
      <x:c r="D17" s="21" t="str">
        <x:v>SYN-0005-INV-02</x:v>
      </x:c>
      <x:c r="E17" s="39" t="n">
        <x:v>46091</x:v>
      </x:c>
      <x:c r="F17" s="42" t="n">
        <x:v>10289.36</x:v>
      </x:c>
      <x:c r="G17" s="42" t="n">
        <x:v>514.47</x:v>
      </x:c>
      <x:c r="H17" s="42" t="n">
        <x:v>21612.6</x:v>
      </x:c>
      <x:c r="I17" s="39"/>
    </x:row>
    <x:row r="18">
      <x:c r="A18" s="21" t="str">
        <x:v>SYN-0005</x:v>
      </x:c>
      <x:c r="B18" s="21" t="str">
        <x:v>Synthetic Supplier 0005 LLC</x:v>
      </x:c>
      <x:c r="C18" s="38" t="str">
        <x:f>"900 000 000 000 005"</x:f>
        <x:v>900 000 000 000 005</x:v>
      </x:c>
      <x:c r="D18" s="21" t="str">
        <x:v>SYN-0005-INV-03</x:v>
      </x:c>
      <x:c r="E18" s="39" t="n">
        <x:v>46138</x:v>
      </x:c>
      <x:c r="F18" s="42" t="n">
        <x:v>7262.67</x:v>
      </x:c>
      <x:c r="G18" s="42" t="n">
        <x:v>363.13</x:v>
      </x:c>
      <x:c r="H18" s="42" t="n">
        <x:v>21612.6</x:v>
      </x:c>
      <x:c r="I18" s="39"/>
    </x:row>
    <x:row r="19">
      <x:c r="A19" s="21" t="str">
        <x:v>SYN-0006</x:v>
      </x:c>
      <x:c r="B19" s="21" t="str">
        <x:v>Synthetic Supplier 0006 LLC</x:v>
      </x:c>
      <x:c r="C19" s="38" t="str">
        <x:f>"900 000 000 000 006"</x:f>
        <x:v>900 000 000 000 006</x:v>
      </x:c>
      <x:c r="D19" s="21" t="str">
        <x:v>SYN-0006-INV-01</x:v>
      </x:c>
      <x:c r="E19" s="39" t="n">
        <x:v>46057</x:v>
      </x:c>
      <x:c r="F19" s="42" t="n">
        <x:v>6341.1</x:v>
      </x:c>
      <x:c r="G19" s="42" t="n">
        <x:v>317.06</x:v>
      </x:c>
      <x:c r="H19" s="42" t="n">
        <x:v>21594.06</x:v>
      </x:c>
      <x:c r="I19" s="39" t="n">
        <x:v>45845</x:v>
      </x:c>
    </x:row>
    <x:row r="20">
      <x:c r="A20" s="21" t="str">
        <x:v>SYN-0006</x:v>
      </x:c>
      <x:c r="B20" s="21" t="str">
        <x:v>Synthetic Supplier 0006 LLC</x:v>
      </x:c>
      <x:c r="C20" s="38" t="str">
        <x:f>"900 000 000 000 006"</x:f>
        <x:v>900 000 000 000 006</x:v>
      </x:c>
      <x:c r="D20" s="21" t="str">
        <x:v>SYN-0006-INV-02</x:v>
      </x:c>
      <x:c r="E20" s="39" t="n">
        <x:v>46104</x:v>
      </x:c>
      <x:c r="F20" s="42" t="n">
        <x:v>6879.81</x:v>
      </x:c>
      <x:c r="G20" s="42" t="n">
        <x:v>343.99</x:v>
      </x:c>
      <x:c r="H20" s="42" t="n">
        <x:v>21594.06</x:v>
      </x:c>
      <x:c r="I20" s="39" t="n">
        <x:v>45845</x:v>
      </x:c>
    </x:row>
    <x:row r="21">
      <x:c r="A21" s="21" t="str">
        <x:v>SYN-0006</x:v>
      </x:c>
      <x:c r="B21" s="21" t="str">
        <x:v>Synthetic Supplier 0006 LLC</x:v>
      </x:c>
      <x:c r="C21" s="38" t="str">
        <x:f>"900 000 000 000 006"</x:f>
        <x:v>900 000 000 000 006</x:v>
      </x:c>
      <x:c r="D21" s="21" t="str">
        <x:v>SYN-0006-INV-03</x:v>
      </x:c>
      <x:c r="E21" s="39" t="n">
        <x:v>46151</x:v>
      </x:c>
      <x:c r="F21" s="42" t="n">
        <x:v>6405.65</x:v>
      </x:c>
      <x:c r="G21" s="42" t="n">
        <x:v>320.28</x:v>
      </x:c>
      <x:c r="H21" s="42" t="n">
        <x:v>21594.06</x:v>
      </x:c>
      <x:c r="I21" s="39" t="n">
        <x:v>45845</x:v>
      </x:c>
    </x:row>
    <x:row r="22">
      <x:c r="A22" s="21" t="str">
        <x:v>SYN-0006</x:v>
      </x:c>
      <x:c r="B22" s="21" t="str">
        <x:v>Synthetic Supplier 0006 LLC</x:v>
      </x:c>
      <x:c r="C22" s="38" t="str">
        <x:f>"900 000 000 000 006"</x:f>
        <x:v>900 000 000 000 006</x:v>
      </x:c>
      <x:c r="D22" s="21" t="str">
        <x:v>SYN-0006-INV-04</x:v>
      </x:c>
      <x:c r="E22" s="39" t="n">
        <x:v>46198</x:v>
      </x:c>
      <x:c r="F22" s="42" t="n">
        <x:v>4366.84</x:v>
      </x:c>
      <x:c r="G22" s="42" t="n">
        <x:v>218.34</x:v>
      </x:c>
      <x:c r="H22" s="42" t="n">
        <x:v>21594.06</x:v>
      </x:c>
      <x:c r="I22" s="39" t="n">
        <x:v>45845</x:v>
      </x:c>
    </x:row>
    <x:row r="23">
      <x:c r="A23" s="21" t="str">
        <x:v>SYN-0007</x:v>
      </x:c>
      <x:c r="B23" s="21" t="str">
        <x:v>Synthetic Supplier 0007 LLC</x:v>
      </x:c>
      <x:c r="C23" s="38" t="str">
        <x:f>"900 000 000 000 007"</x:f>
        <x:v>900 000 000 000 007</x:v>
      </x:c>
      <x:c r="D23" s="21" t="str">
        <x:v>SYN-0007-INV-01</x:v>
      </x:c>
      <x:c r="E23" s="39" t="n">
        <x:v>46070</x:v>
      </x:c>
      <x:c r="F23" s="42" t="n">
        <x:v>2397.11</x:v>
      </x:c>
      <x:c r="G23" s="42" t="n">
        <x:v>119.86</x:v>
      </x:c>
      <x:c r="H23" s="42" t="n">
        <x:v>69730.16</x:v>
      </x:c>
      <x:c r="I23" s="39" t="n">
        <x:v>46242</x:v>
      </x:c>
    </x:row>
    <x:row r="24">
      <x:c r="A24" s="21" t="str">
        <x:v>SYN-0007</x:v>
      </x:c>
      <x:c r="B24" s="21" t="str">
        <x:v>Synthetic Supplier 0007 LLC</x:v>
      </x:c>
      <x:c r="C24" s="38" t="str">
        <x:f>"900 000 000 000 007"</x:f>
        <x:v>900 000 000 000 007</x:v>
      </x:c>
      <x:c r="D24" s="21" t="str">
        <x:v>SYN-0007-INV-02</x:v>
      </x:c>
      <x:c r="E24" s="39" t="n">
        <x:v>46117</x:v>
      </x:c>
      <x:c r="F24" s="42" t="n">
        <x:v>3825.14</x:v>
      </x:c>
      <x:c r="G24" s="42" t="n">
        <x:v>191.26</x:v>
      </x:c>
      <x:c r="H24" s="42" t="n">
        <x:v>69730.16</x:v>
      </x:c>
      <x:c r="I24" s="39" t="n">
        <x:v>46242</x:v>
      </x:c>
    </x:row>
    <x:row r="25">
      <x:c r="A25" s="21" t="str">
        <x:v>SYN-0007</x:v>
      </x:c>
      <x:c r="B25" s="21" t="str">
        <x:v>Synthetic Supplier 0007 LLC</x:v>
      </x:c>
      <x:c r="C25" s="38" t="str">
        <x:f>"900 000 000 000 007"</x:f>
        <x:v>900 000 000 000 007</x:v>
      </x:c>
      <x:c r="D25" s="21" t="str">
        <x:v>SYN-0007-INV-03</x:v>
      </x:c>
      <x:c r="E25" s="39" t="n">
        <x:v>46164</x:v>
      </x:c>
      <x:c r="F25" s="42" t="n">
        <x:v>3978.93</x:v>
      </x:c>
      <x:c r="G25" s="42" t="n">
        <x:v>198.95</x:v>
      </x:c>
      <x:c r="H25" s="42" t="n">
        <x:v>69730.16</x:v>
      </x:c>
      <x:c r="I25" s="39" t="n">
        <x:v>46242</x:v>
      </x:c>
    </x:row>
    <x:row r="26">
      <x:c r="A26" s="21" t="str">
        <x:v>SYN-0007</x:v>
      </x:c>
      <x:c r="B26" s="21" t="str">
        <x:v>Synthetic Supplier 0007 LLC</x:v>
      </x:c>
      <x:c r="C26" s="38" t="str">
        <x:f>"900 000 000 000 007"</x:f>
        <x:v>900 000 000 000 007</x:v>
      </x:c>
      <x:c r="D26" s="21" t="str">
        <x:v>SYN-0007-INV-04</x:v>
      </x:c>
      <x:c r="E26" s="39" t="n">
        <x:v>46211</x:v>
      </x:c>
      <x:c r="F26" s="42" t="n">
        <x:v>2808.12</x:v>
      </x:c>
      <x:c r="G26" s="42" t="n">
        <x:v>140.41</x:v>
      </x:c>
      <x:c r="H26" s="42" t="n">
        <x:v>69730.16</x:v>
      </x:c>
      <x:c r="I26" s="39" t="n">
        <x:v>46242</x:v>
      </x:c>
    </x:row>
    <x:row r="27">
      <x:c r="A27" s="21" t="str">
        <x:v>SYN-0007</x:v>
      </x:c>
      <x:c r="B27" s="21" t="str">
        <x:v>Synthetic Supplier 0007 LLC</x:v>
      </x:c>
      <x:c r="C27" s="38" t="str">
        <x:f>"900 000 000 000 007"</x:f>
        <x:v>900 000 000 000 007</x:v>
      </x:c>
      <x:c r="D27" s="21" t="str">
        <x:v>SYN-0007-INV-05</x:v>
      </x:c>
      <x:c r="E27" s="39" t="n">
        <x:v>46258</x:v>
      </x:c>
      <x:c r="F27" s="42" t="n">
        <x:v>2486.29</x:v>
      </x:c>
      <x:c r="G27" s="42" t="n">
        <x:v>124.31</x:v>
      </x:c>
      <x:c r="H27" s="42" t="n">
        <x:v>69730.16</x:v>
      </x:c>
      <x:c r="I27" s="39" t="n">
        <x:v>46242</x:v>
      </x:c>
    </x:row>
    <x:row r="28">
      <x:c r="A28" s="21" t="str">
        <x:v>SYN-0008</x:v>
      </x:c>
      <x:c r="B28" s="21" t="str">
        <x:v>Synthetic Supplier 0008 LLC</x:v>
      </x:c>
      <x:c r="C28" s="38" t="str">
        <x:f>"900 000 000 000 008"</x:f>
        <x:v>900 000 000 000 008</x:v>
      </x:c>
      <x:c r="D28" s="21" t="str">
        <x:v>SYN-0008-INV-01</x:v>
      </x:c>
      <x:c r="E28" s="39" t="n">
        <x:v>46083</x:v>
      </x:c>
      <x:c r="F28" s="42" t="n">
        <x:v>2921.01</x:v>
      </x:c>
      <x:c r="G28" s="42" t="n">
        <x:v>146.05</x:v>
      </x:c>
      <x:c r="H28" s="42" t="n">
        <x:v>7016.45</x:v>
      </x:c>
      <x:c r="I28" s="39" t="n">
        <x:v>45909</x:v>
      </x:c>
    </x:row>
    <x:row r="29">
      <x:c r="A29" s="21" t="str">
        <x:v>SYN-0008</x:v>
      </x:c>
      <x:c r="B29" s="21" t="str">
        <x:v>Synthetic Supplier 0008 LLC</x:v>
      </x:c>
      <x:c r="C29" s="38" t="str">
        <x:f>"900 000 000 000 008"</x:f>
        <x:v>900 000 000 000 008</x:v>
      </x:c>
      <x:c r="D29" s="21" t="str">
        <x:v>SYN-0008-INV-02</x:v>
      </x:c>
      <x:c r="E29" s="39" t="n">
        <x:v>46130</x:v>
      </x:c>
      <x:c r="F29" s="42" t="n">
        <x:v>4875.04</x:v>
      </x:c>
      <x:c r="G29" s="42" t="n">
        <x:v>243.75</x:v>
      </x:c>
      <x:c r="H29" s="42" t="n">
        <x:v>7016.45</x:v>
      </x:c>
      <x:c r="I29" s="39" t="n">
        <x:v>45909</x:v>
      </x:c>
    </x:row>
    <x:row r="30">
      <x:c r="A30" s="21" t="str">
        <x:v>SYN-0009</x:v>
      </x:c>
      <x:c r="B30" s="21" t="str">
        <x:v>Synthetic Supplier 0009 LLC</x:v>
      </x:c>
      <x:c r="C30" s="38" t="str">
        <x:f>"900 000 000 000 009"</x:f>
        <x:v>900 000 000 000 009</x:v>
      </x:c>
      <x:c r="D30" s="21" t="str">
        <x:v>SYN-0009-INV-01</x:v>
      </x:c>
      <x:c r="E30" s="39" t="n">
        <x:v>46096</x:v>
      </x:c>
      <x:c r="F30" s="42" t="n">
        <x:v>3187.85</x:v>
      </x:c>
      <x:c r="G30" s="42" t="n">
        <x:v>159.39</x:v>
      </x:c>
      <x:c r="H30" s="42" t="n">
        <x:v>9175.69</x:v>
      </x:c>
      <x:c r="I30" s="39" t="n">
        <x:v>46032</x:v>
      </x:c>
    </x:row>
    <x:row r="31">
      <x:c r="A31" s="21" t="str">
        <x:v>SYN-0009</x:v>
      </x:c>
      <x:c r="B31" s="21" t="str">
        <x:v>Synthetic Supplier 0009 LLC</x:v>
      </x:c>
      <x:c r="C31" s="38" t="str">
        <x:f>"900 000 000 000 009"</x:f>
        <x:v>900 000 000 000 009</x:v>
      </x:c>
      <x:c r="D31" s="21" t="str">
        <x:v>SYN-0009-INV-02</x:v>
      </x:c>
      <x:c r="E31" s="39" t="n">
        <x:v>46143</x:v>
      </x:c>
      <x:c r="F31" s="42" t="n">
        <x:v>2238.9</x:v>
      </x:c>
      <x:c r="G31" s="42" t="n">
        <x:v>111.95</x:v>
      </x:c>
      <x:c r="H31" s="42" t="n">
        <x:v>9175.69</x:v>
      </x:c>
      <x:c r="I31" s="39" t="n">
        <x:v>46032</x:v>
      </x:c>
    </x:row>
    <x:row r="32">
      <x:c r="A32" s="21" t="str">
        <x:v>SYN-0009</x:v>
      </x:c>
      <x:c r="B32" s="21" t="str">
        <x:v>Synthetic Supplier 0009 LLC</x:v>
      </x:c>
      <x:c r="C32" s="38" t="str">
        <x:f>"900 000 000 000 009"</x:f>
        <x:v>900 000 000 000 009</x:v>
      </x:c>
      <x:c r="D32" s="21" t="str">
        <x:v>SYN-0009-INV-03</x:v>
      </x:c>
      <x:c r="E32" s="39" t="n">
        <x:v>46190</x:v>
      </x:c>
      <x:c r="F32" s="42" t="n">
        <x:v>4768.46</x:v>
      </x:c>
      <x:c r="G32" s="42" t="n">
        <x:v>238.42</x:v>
      </x:c>
      <x:c r="H32" s="42" t="n">
        <x:v>9175.69</x:v>
      </x:c>
      <x:c r="I32" s="39" t="n">
        <x:v>46032</x:v>
      </x:c>
    </x:row>
    <x:row r="33">
      <x:c r="A33" s="21" t="str">
        <x:v>SYN-0010</x:v>
      </x:c>
      <x:c r="B33" s="21" t="str">
        <x:v>Synthetic Supplier 0010 LLC</x:v>
      </x:c>
      <x:c r="C33" s="38" t="str">
        <x:f>"900 000 000 000 010"</x:f>
        <x:v>900 000 000 000 010</x:v>
      </x:c>
      <x:c r="D33" s="21" t="str">
        <x:v>SYN-0010-INV-01</x:v>
      </x:c>
      <x:c r="E33" s="39" t="n">
        <x:v>46109</x:v>
      </x:c>
      <x:c r="F33" s="42" t="n">
        <x:v>1555.56</x:v>
      </x:c>
      <x:c r="G33" s="42" t="n">
        <x:v>77.78</x:v>
      </x:c>
      <x:c r="H33" s="42" t="n">
        <x:v>6456.03</x:v>
      </x:c>
      <x:c r="I33" s="39"/>
    </x:row>
    <x:row r="34">
      <x:c r="A34" s="21" t="str">
        <x:v>SYN-0010</x:v>
      </x:c>
      <x:c r="B34" s="21" t="str">
        <x:v>Synthetic Supplier 0010 LLC</x:v>
      </x:c>
      <x:c r="C34" s="38" t="str">
        <x:f>"900 000 000 000 010"</x:f>
        <x:v>900 000 000 000 010</x:v>
      </x:c>
      <x:c r="D34" s="21" t="str">
        <x:v>SYN-0010-INV-02</x:v>
      </x:c>
      <x:c r="E34" s="39" t="n">
        <x:v>46156</x:v>
      </x:c>
      <x:c r="F34" s="42" t="n">
        <x:v>1589.28</x:v>
      </x:c>
      <x:c r="G34" s="42" t="n">
        <x:v>79.46</x:v>
      </x:c>
      <x:c r="H34" s="42" t="n">
        <x:v>6456.03</x:v>
      </x:c>
      <x:c r="I34" s="39"/>
    </x:row>
    <x:row r="35">
      <x:c r="A35" s="21" t="str">
        <x:v>SYN-0010</x:v>
      </x:c>
      <x:c r="B35" s="21" t="str">
        <x:v>Synthetic Supplier 0010 LLC</x:v>
      </x:c>
      <x:c r="C35" s="38" t="str">
        <x:f>"900 000 000 000 010"</x:f>
        <x:v>900 000 000 000 010</x:v>
      </x:c>
      <x:c r="D35" s="21" t="str">
        <x:v>SYN-0010-INV-03</x:v>
      </x:c>
      <x:c r="E35" s="39" t="n">
        <x:v>46203</x:v>
      </x:c>
      <x:c r="F35" s="42" t="n">
        <x:v>2403.44</x:v>
      </x:c>
      <x:c r="G35" s="42" t="n">
        <x:v>120.17</x:v>
      </x:c>
      <x:c r="H35" s="42" t="n">
        <x:v>6456.03</x:v>
      </x:c>
      <x:c r="I35" s="39"/>
    </x:row>
    <x:row r="36">
      <x:c r="A36" s="21" t="str">
        <x:v>SYN-0010</x:v>
      </x:c>
      <x:c r="B36" s="21" t="str">
        <x:v>Synthetic Supplier 0010 LLC</x:v>
      </x:c>
      <x:c r="C36" s="38" t="str">
        <x:f>"900 000 000 000 010"</x:f>
        <x:v>900 000 000 000 010</x:v>
      </x:c>
      <x:c r="D36" s="21" t="str">
        <x:v>SYN-0010-INV-04</x:v>
      </x:c>
      <x:c r="E36" s="39" t="n">
        <x:v>46250</x:v>
      </x:c>
      <x:c r="F36" s="42" t="n">
        <x:v>1625.09</x:v>
      </x:c>
      <x:c r="G36" s="42" t="n">
        <x:v>81.25</x:v>
      </x:c>
      <x:c r="H36" s="42" t="n">
        <x:v>6456.03</x:v>
      </x:c>
      <x:c r="I36" s="39"/>
    </x:row>
    <x:row r="37">
      <x:c r="A37" s="21" t="str">
        <x:v>SYN-0011</x:v>
      </x:c>
      <x:c r="B37" s="21" t="str">
        <x:v>Synthetic Supplier 0011 LLC</x:v>
      </x:c>
      <x:c r="C37" s="38" t="str">
        <x:f>"900 000 000 000 011"</x:f>
        <x:v>900 000 000 000 011</x:v>
      </x:c>
      <x:c r="D37" s="21" t="str">
        <x:v>SYN-0011-INV-01</x:v>
      </x:c>
      <x:c r="E37" s="39" t="n">
        <x:v>46122</x:v>
      </x:c>
      <x:c r="F37" s="42" t="n">
        <x:v>4776.63</x:v>
      </x:c>
      <x:c r="G37" s="42" t="n">
        <x:v>238.83</x:v>
      </x:c>
      <x:c r="H37" s="42" t="n">
        <x:v>18742.41</x:v>
      </x:c>
      <x:c r="I37" s="39" t="n">
        <x:v>46093</x:v>
      </x:c>
    </x:row>
    <x:row r="38">
      <x:c r="A38" s="21" t="str">
        <x:v>SYN-0011</x:v>
      </x:c>
      <x:c r="B38" s="21" t="str">
        <x:v>Synthetic Supplier 0011 LLC</x:v>
      </x:c>
      <x:c r="C38" s="38" t="str">
        <x:f>"900 000 000 000 011"</x:f>
        <x:v>900 000 000 000 011</x:v>
      </x:c>
      <x:c r="D38" s="21" t="str">
        <x:v>SYN-0011-INV-02</x:v>
      </x:c>
      <x:c r="E38" s="39" t="n">
        <x:v>46169</x:v>
      </x:c>
      <x:c r="F38" s="42" t="n">
        <x:v>5171.12</x:v>
      </x:c>
      <x:c r="G38" s="42" t="n">
        <x:v>258.56</x:v>
      </x:c>
      <x:c r="H38" s="42" t="n">
        <x:v>18742.41</x:v>
      </x:c>
      <x:c r="I38" s="39" t="n">
        <x:v>46093</x:v>
      </x:c>
    </x:row>
    <x:row r="39">
      <x:c r="A39" s="21" t="str">
        <x:v>SYN-0011</x:v>
      </x:c>
      <x:c r="B39" s="21" t="str">
        <x:v>Synthetic Supplier 0011 LLC</x:v>
      </x:c>
      <x:c r="C39" s="38" t="str">
        <x:f>"900 000 000 000 011"</x:f>
        <x:v>900 000 000 000 011</x:v>
      </x:c>
      <x:c r="D39" s="21" t="str">
        <x:v>SYN-0011-INV-03</x:v>
      </x:c>
      <x:c r="E39" s="39" t="n">
        <x:v>46216</x:v>
      </x:c>
      <x:c r="F39" s="42" t="n">
        <x:v>3769.6</x:v>
      </x:c>
      <x:c r="G39" s="42" t="n">
        <x:v>188.48</x:v>
      </x:c>
      <x:c r="H39" s="42" t="n">
        <x:v>18742.41</x:v>
      </x:c>
      <x:c r="I39" s="39" t="n">
        <x:v>46093</x:v>
      </x:c>
    </x:row>
    <x:row r="40">
      <x:c r="A40" s="21" t="str">
        <x:v>SYN-0011</x:v>
      </x:c>
      <x:c r="B40" s="21" t="str">
        <x:v>Synthetic Supplier 0011 LLC</x:v>
      </x:c>
      <x:c r="C40" s="38" t="str">
        <x:f>"900 000 000 000 011"</x:f>
        <x:v>900 000 000 000 011</x:v>
      </x:c>
      <x:c r="D40" s="21" t="str">
        <x:v>SYN-0011-INV-04</x:v>
      </x:c>
      <x:c r="E40" s="39" t="n">
        <x:v>46263</x:v>
      </x:c>
      <x:c r="F40" s="42" t="n">
        <x:v>4131.26</x:v>
      </x:c>
      <x:c r="G40" s="42" t="n">
        <x:v>206.56</x:v>
      </x:c>
      <x:c r="H40" s="42" t="n">
        <x:v>18742.41</x:v>
      </x:c>
      <x:c r="I40" s="39" t="n">
        <x:v>46093</x:v>
      </x:c>
    </x:row>
    <x:row r="41">
      <x:c r="A41" s="21" t="str">
        <x:v>SYN-0011</x:v>
      </x:c>
      <x:c r="B41" s="21" t="str">
        <x:v>Synthetic Supplier 0011 LLC</x:v>
      </x:c>
      <x:c r="C41" s="38" t="str">
        <x:f>"900 000 000 000 011"</x:f>
        <x:v>900 000 000 000 011</x:v>
      </x:c>
      <x:c r="D41" s="21" t="str">
        <x:v>SYN-0011-INV-05</x:v>
      </x:c>
      <x:c r="E41" s="39" t="n">
        <x:v>45950</x:v>
      </x:c>
      <x:c r="F41" s="42" t="n">
        <x:v>2976.3</x:v>
      </x:c>
      <x:c r="G41" s="42" t="n">
        <x:v>148.81</x:v>
      </x:c>
      <x:c r="H41" s="42" t="n">
        <x:v>18742.41</x:v>
      </x:c>
      <x:c r="I41" s="39" t="n">
        <x:v>46093</x:v>
      </x:c>
    </x:row>
    <x:row r="42">
      <x:c r="A42" s="21" t="str">
        <x:v>SYN-0012</x:v>
      </x:c>
      <x:c r="B42" s="21" t="str">
        <x:v>Synthetic Supplier 0012 LLC</x:v>
      </x:c>
      <x:c r="C42" s="38" t="str">
        <x:f>"900 000 000 000 012"</x:f>
        <x:v>900 000 000 000 012</x:v>
      </x:c>
      <x:c r="D42" s="21" t="str">
        <x:v>SYN-0012-INV-01</x:v>
      </x:c>
      <x:c r="E42" s="39" t="n">
        <x:v>46135</x:v>
      </x:c>
      <x:c r="F42" s="42" t="n">
        <x:v>3625.4</x:v>
      </x:c>
      <x:c r="G42" s="42" t="n">
        <x:v>181.27</x:v>
      </x:c>
      <x:c r="H42" s="42" t="n">
        <x:v>6787.65</x:v>
      </x:c>
      <x:c r="I42" s="39" t="n">
        <x:v>45760</x:v>
      </x:c>
    </x:row>
    <x:row r="43">
      <x:c r="A43" s="21" t="str">
        <x:v>SYN-0012</x:v>
      </x:c>
      <x:c r="B43" s="21" t="str">
        <x:v>Synthetic Supplier 0012 LLC</x:v>
      </x:c>
      <x:c r="C43" s="38" t="str">
        <x:f>"900 000 000 000 012"</x:f>
        <x:v>900 000 000 000 012</x:v>
      </x:c>
      <x:c r="D43" s="21" t="str">
        <x:v>SYN-0012-INV-02</x:v>
      </x:c>
      <x:c r="E43" s="39" t="n">
        <x:v>46182</x:v>
      </x:c>
      <x:c r="F43" s="42" t="n">
        <x:v>3916.43</x:v>
      </x:c>
      <x:c r="G43" s="42" t="n">
        <x:v>195.82</x:v>
      </x:c>
      <x:c r="H43" s="42" t="n">
        <x:v>6787.65</x:v>
      </x:c>
      <x:c r="I43" s="39" t="n">
        <x:v>45760</x:v>
      </x:c>
    </x:row>
    <x:row r="44">
      <x:c r="A44" s="21" t="str">
        <x:v>SYN-0013</x:v>
      </x:c>
      <x:c r="B44" s="21" t="str">
        <x:v>Synthetic Supplier 0013 LLC</x:v>
      </x:c>
      <x:c r="C44" s="38" t="str">
        <x:f>"900 000 000 000 013"</x:f>
        <x:v>900 000 000 000 013</x:v>
      </x:c>
      <x:c r="D44" s="21" t="str">
        <x:v>SYN-0013-INV-01</x:v>
      </x:c>
      <x:c r="E44" s="39" t="n">
        <x:v>46148</x:v>
      </x:c>
      <x:c r="F44" s="42" t="n">
        <x:v>3562.91</x:v>
      </x:c>
      <x:c r="G44" s="42" t="n">
        <x:v>178.15</x:v>
      </x:c>
      <x:c r="H44" s="42" t="n">
        <x:v>7771.8</x:v>
      </x:c>
      <x:c r="I44" s="39" t="n">
        <x:v>46156</x:v>
      </x:c>
    </x:row>
    <x:row r="45">
      <x:c r="A45" s="21" t="str">
        <x:v>SYN-0013</x:v>
      </x:c>
      <x:c r="B45" s="21" t="str">
        <x:v>Synthetic Supplier 0013 LLC</x:v>
      </x:c>
      <x:c r="C45" s="38" t="str">
        <x:f>"900 000 000 000 013"</x:f>
        <x:v>900 000 000 000 013</x:v>
      </x:c>
      <x:c r="D45" s="21" t="str">
        <x:v>SYN-0013-INV-02</x:v>
      </x:c>
      <x:c r="E45" s="39" t="n">
        <x:v>46195</x:v>
      </x:c>
      <x:c r="F45" s="42" t="n">
        <x:v>2694.61</x:v>
      </x:c>
      <x:c r="G45" s="42" t="n">
        <x:v>134.73</x:v>
      </x:c>
      <x:c r="H45" s="42" t="n">
        <x:v>7771.8</x:v>
      </x:c>
      <x:c r="I45" s="39" t="n">
        <x:v>46156</x:v>
      </x:c>
    </x:row>
    <x:row r="46">
      <x:c r="A46" s="21" t="str">
        <x:v>SYN-0013</x:v>
      </x:c>
      <x:c r="B46" s="21" t="str">
        <x:v>Synthetic Supplier 0013 LLC</x:v>
      </x:c>
      <x:c r="C46" s="38" t="str">
        <x:f>"900 000 000 000 013"</x:f>
        <x:v>900 000 000 000 013</x:v>
      </x:c>
      <x:c r="D46" s="21" t="str">
        <x:v>SYN-0013-INV-03</x:v>
      </x:c>
      <x:c r="E46" s="39" t="n">
        <x:v>46242</x:v>
      </x:c>
      <x:c r="F46" s="42" t="n">
        <x:v>2377.82</x:v>
      </x:c>
      <x:c r="G46" s="42" t="n">
        <x:v>118.89</x:v>
      </x:c>
      <x:c r="H46" s="42" t="n">
        <x:v>7771.8</x:v>
      </x:c>
      <x:c r="I46" s="39" t="n">
        <x:v>46156</x:v>
      </x:c>
    </x:row>
    <x:row r="47">
      <x:c r="A47" s="21" t="str">
        <x:v>SYN-0014</x:v>
      </x:c>
      <x:c r="B47" s="21" t="str">
        <x:v>Synthetic Supplier 0014 LLC</x:v>
      </x:c>
      <x:c r="C47" s="38" t="str">
        <x:f>"900 000 000 000 014"</x:f>
        <x:v>900 000 000 000 014</x:v>
      </x:c>
      <x:c r="D47" s="21" t="str">
        <x:v>SYN-0014-INV-01</x:v>
      </x:c>
      <x:c r="E47" s="39" t="n">
        <x:v>46161</x:v>
      </x:c>
      <x:c r="F47" s="42" t="n">
        <x:v>6590.44</x:v>
      </x:c>
      <x:c r="G47" s="42" t="n">
        <x:v>329.52</x:v>
      </x:c>
      <x:c r="H47" s="42" t="n">
        <x:v>107710.39</x:v>
      </x:c>
      <x:c r="I47" s="39" t="n">
        <x:v>45823</x:v>
      </x:c>
    </x:row>
    <x:row r="48">
      <x:c r="A48" s="21" t="str">
        <x:v>SYN-0014</x:v>
      </x:c>
      <x:c r="B48" s="21" t="str">
        <x:v>Synthetic Supplier 0014 LLC</x:v>
      </x:c>
      <x:c r="C48" s="38" t="str">
        <x:f>"900 000 000 000 014"</x:f>
        <x:v>900 000 000 000 014</x:v>
      </x:c>
      <x:c r="D48" s="21" t="str">
        <x:v>SYN-0014-INV-02</x:v>
      </x:c>
      <x:c r="E48" s="39" t="n">
        <x:v>46208</x:v>
      </x:c>
      <x:c r="F48" s="42" t="n">
        <x:v>5823.54</x:v>
      </x:c>
      <x:c r="G48" s="42" t="n">
        <x:v>291.18</x:v>
      </x:c>
      <x:c r="H48" s="42" t="n">
        <x:v>107710.39</x:v>
      </x:c>
      <x:c r="I48" s="39" t="n">
        <x:v>45823</x:v>
      </x:c>
    </x:row>
    <x:row r="49">
      <x:c r="A49" s="21" t="str">
        <x:v>SYN-0014</x:v>
      </x:c>
      <x:c r="B49" s="21" t="str">
        <x:v>Synthetic Supplier 0014 LLC</x:v>
      </x:c>
      <x:c r="C49" s="38" t="str">
        <x:f>"900 000 000 000 014"</x:f>
        <x:v>900 000 000 000 014</x:v>
      </x:c>
      <x:c r="D49" s="21" t="str">
        <x:v>SYN-0014-INV-03</x:v>
      </x:c>
      <x:c r="E49" s="39" t="n">
        <x:v>46255</x:v>
      </x:c>
      <x:c r="F49" s="42" t="n">
        <x:v>7849.16</x:v>
      </x:c>
      <x:c r="G49" s="42" t="n">
        <x:v>392.46</x:v>
      </x:c>
      <x:c r="H49" s="42" t="n">
        <x:v>107710.39</x:v>
      </x:c>
      <x:c r="I49" s="39" t="n">
        <x:v>45823</x:v>
      </x:c>
    </x:row>
    <x:row r="50">
      <x:c r="A50" s="21" t="str">
        <x:v>SYN-0014</x:v>
      </x:c>
      <x:c r="B50" s="21" t="str">
        <x:v>Synthetic Supplier 0014 LLC</x:v>
      </x:c>
      <x:c r="C50" s="38" t="str">
        <x:f>"900 000 000 000 014"</x:f>
        <x:v>900 000 000 000 014</x:v>
      </x:c>
      <x:c r="D50" s="21" t="str">
        <x:v>SYN-0014-INV-04</x:v>
      </x:c>
      <x:c r="E50" s="39" t="n">
        <x:v>45942</x:v>
      </x:c>
      <x:c r="F50" s="42" t="n">
        <x:v>3672.5</x:v>
      </x:c>
      <x:c r="G50" s="42" t="n">
        <x:v>183.63</x:v>
      </x:c>
      <x:c r="H50" s="42" t="n">
        <x:v>107710.39</x:v>
      </x:c>
      <x:c r="I50" s="39" t="n">
        <x:v>45823</x:v>
      </x:c>
    </x:row>
    <x:row r="51">
      <x:c r="A51" s="21" t="str">
        <x:v>SYN-0015</x:v>
      </x:c>
      <x:c r="B51" s="21" t="str">
        <x:v>Synthetic Supplier 0015 LLC</x:v>
      </x:c>
      <x:c r="C51" s="38" t="str">
        <x:f>"900 000 000 000 015"</x:f>
        <x:v>900 000 000 000 015</x:v>
      </x:c>
      <x:c r="D51" s="21" t="str">
        <x:v>SYN-0015-INV-01</x:v>
      </x:c>
      <x:c r="E51" s="39" t="n">
        <x:v>46174</x:v>
      </x:c>
      <x:c r="F51" s="42" t="n">
        <x:v>3469.77</x:v>
      </x:c>
      <x:c r="G51" s="42" t="n">
        <x:v>173.49</x:v>
      </x:c>
      <x:c r="H51" s="42" t="n">
        <x:v>20648.28</x:v>
      </x:c>
      <x:c r="I51" s="39"/>
    </x:row>
    <x:row r="52">
      <x:c r="A52" s="21" t="str">
        <x:v>SYN-0015</x:v>
      </x:c>
      <x:c r="B52" s="21" t="str">
        <x:v>Synthetic Supplier 0015 LLC</x:v>
      </x:c>
      <x:c r="C52" s="38" t="str">
        <x:f>"900 000 000 000 015"</x:f>
        <x:v>900 000 000 000 015</x:v>
      </x:c>
      <x:c r="D52" s="21" t="str">
        <x:v>SYN-0015-INV-02</x:v>
      </x:c>
      <x:c r="E52" s="39" t="n">
        <x:v>46221</x:v>
      </x:c>
      <x:c r="F52" s="42" t="n">
        <x:v>5772.11</x:v>
      </x:c>
      <x:c r="G52" s="42" t="n">
        <x:v>288.61</x:v>
      </x:c>
      <x:c r="H52" s="42" t="n">
        <x:v>20648.28</x:v>
      </x:c>
      <x:c r="I52" s="39"/>
    </x:row>
    <x:row r="53">
      <x:c r="A53" s="21" t="str">
        <x:v>SYN-0015</x:v>
      </x:c>
      <x:c r="B53" s="21" t="str">
        <x:v>Synthetic Supplier 0015 LLC</x:v>
      </x:c>
      <x:c r="C53" s="38" t="str">
        <x:f>"900 000 000 000 015"</x:f>
        <x:v>900 000 000 000 015</x:v>
      </x:c>
      <x:c r="D53" s="21" t="str">
        <x:v>SYN-0015-INV-03</x:v>
      </x:c>
      <x:c r="E53" s="39" t="n">
        <x:v>46268</x:v>
      </x:c>
      <x:c r="F53" s="42" t="n">
        <x:v>5524.88</x:v>
      </x:c>
      <x:c r="G53" s="42" t="n">
        <x:v>276.24</x:v>
      </x:c>
      <x:c r="H53" s="42" t="n">
        <x:v>20648.28</x:v>
      </x:c>
      <x:c r="I53" s="39"/>
    </x:row>
    <x:row r="54">
      <x:c r="A54" s="21" t="str">
        <x:v>SYN-0015</x:v>
      </x:c>
      <x:c r="B54" s="21" t="str">
        <x:v>Synthetic Supplier 0015 LLC</x:v>
      </x:c>
      <x:c r="C54" s="38" t="str">
        <x:f>"900 000 000 000 015"</x:f>
        <x:v>900 000 000 000 015</x:v>
      </x:c>
      <x:c r="D54" s="21" t="str">
        <x:v>SYN-0015-INV-04</x:v>
      </x:c>
      <x:c r="E54" s="39" t="n">
        <x:v>45955</x:v>
      </x:c>
      <x:c r="F54" s="42" t="n">
        <x:v>3986.36</x:v>
      </x:c>
      <x:c r="G54" s="42" t="n">
        <x:v>199.32</x:v>
      </x:c>
      <x:c r="H54" s="42" t="n">
        <x:v>20648.28</x:v>
      </x:c>
      <x:c r="I54" s="39"/>
    </x:row>
    <x:row r="55">
      <x:c r="A55" s="21" t="str">
        <x:v>SYN-0015</x:v>
      </x:c>
      <x:c r="B55" s="21" t="str">
        <x:v>Synthetic Supplier 0015 LLC</x:v>
      </x:c>
      <x:c r="C55" s="38" t="str">
        <x:f>"900 000 000 000 015"</x:f>
        <x:v>900 000 000 000 015</x:v>
      </x:c>
      <x:c r="D55" s="21" t="str">
        <x:v>SYN-0015-INV-05</x:v>
      </x:c>
      <x:c r="E55" s="39" t="n">
        <x:v>46002</x:v>
      </x:c>
      <x:c r="F55" s="42" t="n">
        <x:v>4189.4</x:v>
      </x:c>
      <x:c r="G55" s="42" t="n">
        <x:v>209.47</x:v>
      </x:c>
      <x:c r="H55" s="42" t="n">
        <x:v>20648.28</x:v>
      </x:c>
      <x:c r="I55" s="39"/>
    </x:row>
    <x:row r="56">
      <x:c r="A56" s="21" t="str">
        <x:v>SYN-0016</x:v>
      </x:c>
      <x:c r="B56" s="21" t="str">
        <x:v>Synthetic Supplier 0016 LLC</x:v>
      </x:c>
      <x:c r="C56" s="38" t="str">
        <x:f>"900 000 000 000 016"</x:f>
        <x:v>900 000 000 000 016</x:v>
      </x:c>
      <x:c r="D56" s="21" t="str">
        <x:v>SYN-0016-INV-01</x:v>
      </x:c>
      <x:c r="E56" s="39" t="n">
        <x:v>46187</x:v>
      </x:c>
      <x:c r="F56" s="42" t="n">
        <x:v>15082.78</x:v>
      </x:c>
      <x:c r="G56" s="42" t="n">
        <x:v>754.14</x:v>
      </x:c>
      <x:c r="H56" s="42" t="n">
        <x:v>25594.59</x:v>
      </x:c>
      <x:c r="I56" s="39" t="n">
        <x:v>45886</x:v>
      </x:c>
    </x:row>
    <x:row r="57">
      <x:c r="A57" s="21" t="str">
        <x:v>SYN-0016</x:v>
      </x:c>
      <x:c r="B57" s="21" t="str">
        <x:v>Synthetic Supplier 0016 LLC</x:v>
      </x:c>
      <x:c r="C57" s="38" t="str">
        <x:f>"900 000 000 000 016"</x:f>
        <x:v>900 000 000 000 016</x:v>
      </x:c>
      <x:c r="D57" s="21" t="str">
        <x:v>SYN-0016-INV-02</x:v>
      </x:c>
      <x:c r="E57" s="39" t="n">
        <x:v>46234</x:v>
      </x:c>
      <x:c r="F57" s="42" t="n">
        <x:v>13355.65</x:v>
      </x:c>
      <x:c r="G57" s="42" t="n">
        <x:v>667.78</x:v>
      </x:c>
      <x:c r="H57" s="42" t="n">
        <x:v>25594.59</x:v>
      </x:c>
      <x:c r="I57" s="39" t="n">
        <x:v>45886</x:v>
      </x:c>
    </x:row>
    <x:row r="58">
      <x:c r="A58" s="21" t="str">
        <x:v>SYN-0017</x:v>
      </x:c>
      <x:c r="B58" s="21" t="str">
        <x:v>Synthetic Supplier 0017 LLC</x:v>
      </x:c>
      <x:c r="C58" s="38" t="str">
        <x:f>"900 000 000 000 017"</x:f>
        <x:v>900 000 000 000 017</x:v>
      </x:c>
      <x:c r="D58" s="21" t="str">
        <x:v>SYN-0017-INV-01</x:v>
      </x:c>
      <x:c r="E58" s="39" t="n">
        <x:v>46200</x:v>
      </x:c>
      <x:c r="F58" s="42" t="n">
        <x:v>4364.82</x:v>
      </x:c>
      <x:c r="G58" s="42" t="n">
        <x:v>218.24</x:v>
      </x:c>
      <x:c r="H58" s="42" t="n">
        <x:v>15268.59</x:v>
      </x:c>
      <x:c r="I58" s="39" t="n">
        <x:v>46283</x:v>
      </x:c>
    </x:row>
    <x:row r="59">
      <x:c r="A59" s="21" t="str">
        <x:v>SYN-0017</x:v>
      </x:c>
      <x:c r="B59" s="21" t="str">
        <x:v>Synthetic Supplier 0017 LLC</x:v>
      </x:c>
      <x:c r="C59" s="38" t="str">
        <x:f>"900 000 000 000 017"</x:f>
        <x:v>900 000 000 000 017</x:v>
      </x:c>
      <x:c r="D59" s="21" t="str">
        <x:v>SYN-0017-INV-02</x:v>
      </x:c>
      <x:c r="E59" s="39" t="n">
        <x:v>46247</x:v>
      </x:c>
      <x:c r="F59" s="42" t="n">
        <x:v>5471.75</x:v>
      </x:c>
      <x:c r="G59" s="42" t="n">
        <x:v>273.59</x:v>
      </x:c>
      <x:c r="H59" s="42" t="n">
        <x:v>15268.59</x:v>
      </x:c>
      <x:c r="I59" s="39" t="n">
        <x:v>46283</x:v>
      </x:c>
    </x:row>
    <x:row r="60">
      <x:c r="A60" s="21" t="str">
        <x:v>SYN-0017</x:v>
      </x:c>
      <x:c r="B60" s="21" t="str">
        <x:v>Synthetic Supplier 0017 LLC</x:v>
      </x:c>
      <x:c r="C60" s="38" t="str">
        <x:f>"900 000 000 000 017"</x:f>
        <x:v>900 000 000 000 017</x:v>
      </x:c>
      <x:c r="D60" s="21" t="str">
        <x:v>SYN-0017-INV-03</x:v>
      </x:c>
      <x:c r="E60" s="39" t="n">
        <x:v>45934</x:v>
      </x:c>
      <x:c r="F60" s="42" t="n">
        <x:v>7128.53</x:v>
      </x:c>
      <x:c r="G60" s="42" t="n">
        <x:v>356.43</x:v>
      </x:c>
      <x:c r="H60" s="42" t="n">
        <x:v>15268.59</x:v>
      </x:c>
      <x:c r="I60" s="39" t="n">
        <x:v>46283</x:v>
      </x:c>
    </x:row>
    <x:row r="61">
      <x:c r="A61" s="21" t="str">
        <x:v>SYN-0018</x:v>
      </x:c>
      <x:c r="B61" s="21" t="str">
        <x:v>Synthetic Supplier 0018 LLC</x:v>
      </x:c>
      <x:c r="C61" s="38" t="str">
        <x:f>"900 000 000 000 018"</x:f>
        <x:v>900 000 000 000 018</x:v>
      </x:c>
      <x:c r="D61" s="21" t="str">
        <x:v>SYN-0018-INV-01</x:v>
      </x:c>
      <x:c r="E61" s="39" t="n">
        <x:v>46213</x:v>
      </x:c>
      <x:c r="F61" s="42" t="n">
        <x:v>1960.71</x:v>
      </x:c>
      <x:c r="G61" s="42" t="n">
        <x:v>98.04</x:v>
      </x:c>
      <x:c r="H61" s="42" t="n">
        <x:v>8673.75</x:v>
      </x:c>
      <x:c r="I61" s="39" t="n">
        <x:v>45676</x:v>
      </x:c>
    </x:row>
    <x:row r="62">
      <x:c r="A62" s="21" t="str">
        <x:v>SYN-0018</x:v>
      </x:c>
      <x:c r="B62" s="21" t="str">
        <x:v>Synthetic Supplier 0018 LLC</x:v>
      </x:c>
      <x:c r="C62" s="38" t="str">
        <x:f>"900 000 000 000 018"</x:f>
        <x:v>900 000 000 000 018</x:v>
      </x:c>
      <x:c r="D62" s="21" t="str">
        <x:v>SYN-0018-INV-02</x:v>
      </x:c>
      <x:c r="E62" s="39" t="n">
        <x:v>46260</x:v>
      </x:c>
      <x:c r="F62" s="42" t="n">
        <x:v>2483.84</x:v>
      </x:c>
      <x:c r="G62" s="42" t="n">
        <x:v>124.19</x:v>
      </x:c>
      <x:c r="H62" s="42" t="n">
        <x:v>8673.75</x:v>
      </x:c>
      <x:c r="I62" s="39" t="n">
        <x:v>45676</x:v>
      </x:c>
    </x:row>
    <x:row r="63">
      <x:c r="A63" s="21" t="str">
        <x:v>SYN-0018</x:v>
      </x:c>
      <x:c r="B63" s="21" t="str">
        <x:v>Synthetic Supplier 0018 LLC</x:v>
      </x:c>
      <x:c r="C63" s="38" t="str">
        <x:f>"900 000 000 000 018"</x:f>
        <x:v>900 000 000 000 018</x:v>
      </x:c>
      <x:c r="D63" s="21" t="str">
        <x:v>SYN-0018-INV-03</x:v>
      </x:c>
      <x:c r="E63" s="39" t="n">
        <x:v>45947</x:v>
      </x:c>
      <x:c r="F63" s="42" t="n">
        <x:v>2867.78</x:v>
      </x:c>
      <x:c r="G63" s="42" t="n">
        <x:v>143.39</x:v>
      </x:c>
      <x:c r="H63" s="42" t="n">
        <x:v>8673.75</x:v>
      </x:c>
      <x:c r="I63" s="39" t="n">
        <x:v>45676</x:v>
      </x:c>
    </x:row>
    <x:row r="64">
      <x:c r="A64" s="21" t="str">
        <x:v>SYN-0018</x:v>
      </x:c>
      <x:c r="B64" s="21" t="str">
        <x:v>Synthetic Supplier 0018 LLC</x:v>
      </x:c>
      <x:c r="C64" s="38" t="str">
        <x:f>"900 000 000 000 018"</x:f>
        <x:v>900 000 000 000 018</x:v>
      </x:c>
      <x:c r="D64" s="21" t="str">
        <x:v>SYN-0018-INV-04</x:v>
      </x:c>
      <x:c r="E64" s="39" t="n">
        <x:v>45994</x:v>
      </x:c>
      <x:c r="F64" s="42" t="n">
        <x:v>2325.17</x:v>
      </x:c>
      <x:c r="G64" s="42" t="n">
        <x:v>116.26</x:v>
      </x:c>
      <x:c r="H64" s="42" t="n">
        <x:v>8673.75</x:v>
      </x:c>
      <x:c r="I64" s="39" t="n">
        <x:v>45676</x:v>
      </x:c>
    </x:row>
    <x:row r="65">
      <x:c r="A65" s="21" t="str">
        <x:v>SYN-0019</x:v>
      </x:c>
      <x:c r="B65" s="21" t="str">
        <x:v>Synthetic Supplier 0019 LLC</x:v>
      </x:c>
      <x:c r="C65" s="38" t="str">
        <x:f>"900 000 000 000 019"</x:f>
        <x:v>900 000 000 000 019</x:v>
      </x:c>
      <x:c r="D65" s="21" t="str">
        <x:v>SYN-0019-INV-01</x:v>
      </x:c>
      <x:c r="E65" s="39" t="n">
        <x:v>46226</x:v>
      </x:c>
      <x:c r="F65" s="42" t="n">
        <x:v>819.29</x:v>
      </x:c>
      <x:c r="G65" s="42" t="n">
        <x:v>40.96</x:v>
      </x:c>
      <x:c r="H65" s="42" t="n">
        <x:v>4980.81</x:v>
      </x:c>
      <x:c r="I65" s="39" t="n">
        <x:v>46073</x:v>
      </x:c>
    </x:row>
    <x:row r="66">
      <x:c r="A66" s="21" t="str">
        <x:v>SYN-0019</x:v>
      </x:c>
      <x:c r="B66" s="21" t="str">
        <x:v>Synthetic Supplier 0019 LLC</x:v>
      </x:c>
      <x:c r="C66" s="38" t="str">
        <x:f>"900 000 000 000 019"</x:f>
        <x:v>900 000 000 000 019</x:v>
      </x:c>
      <x:c r="D66" s="21" t="str">
        <x:v>SYN-0019-INV-02</x:v>
      </x:c>
      <x:c r="E66" s="39" t="n">
        <x:v>46273</x:v>
      </x:c>
      <x:c r="F66" s="42" t="n">
        <x:v>1035.57</x:v>
      </x:c>
      <x:c r="G66" s="42" t="n">
        <x:v>51.78</x:v>
      </x:c>
      <x:c r="H66" s="42" t="n">
        <x:v>4980.81</x:v>
      </x:c>
      <x:c r="I66" s="39" t="n">
        <x:v>46073</x:v>
      </x:c>
    </x:row>
    <x:row r="67">
      <x:c r="A67" s="21" t="str">
        <x:v>SYN-0019</x:v>
      </x:c>
      <x:c r="B67" s="21" t="str">
        <x:v>Synthetic Supplier 0019 LLC</x:v>
      </x:c>
      <x:c r="C67" s="38" t="str">
        <x:f>"900 000 000 000 019"</x:f>
        <x:v>900 000 000 000 019</x:v>
      </x:c>
      <x:c r="D67" s="21" t="str">
        <x:v>SYN-0019-INV-03</x:v>
      </x:c>
      <x:c r="E67" s="39" t="n">
        <x:v>45960</x:v>
      </x:c>
      <x:c r="F67" s="42" t="n">
        <x:v>1366.56</x:v>
      </x:c>
      <x:c r="G67" s="42" t="n">
        <x:v>68.33</x:v>
      </x:c>
      <x:c r="H67" s="42" t="n">
        <x:v>4980.81</x:v>
      </x:c>
      <x:c r="I67" s="39" t="n">
        <x:v>46073</x:v>
      </x:c>
    </x:row>
    <x:row r="68">
      <x:c r="A68" s="21" t="str">
        <x:v>SYN-0019</x:v>
      </x:c>
      <x:c r="B68" s="21" t="str">
        <x:v>Synthetic Supplier 0019 LLC</x:v>
      </x:c>
      <x:c r="C68" s="38" t="str">
        <x:f>"900 000 000 000 019"</x:f>
        <x:v>900 000 000 000 019</x:v>
      </x:c>
      <x:c r="D68" s="21" t="str">
        <x:v>SYN-0019-INV-04</x:v>
      </x:c>
      <x:c r="E68" s="39" t="n">
        <x:v>46007</x:v>
      </x:c>
      <x:c r="F68" s="42" t="n">
        <x:v>1301.23</x:v>
      </x:c>
      <x:c r="G68" s="42" t="n">
        <x:v>65.06</x:v>
      </x:c>
      <x:c r="H68" s="42" t="n">
        <x:v>4980.81</x:v>
      </x:c>
      <x:c r="I68" s="39" t="n">
        <x:v>46073</x:v>
      </x:c>
    </x:row>
    <x:row r="69">
      <x:c r="A69" s="21" t="str">
        <x:v>SYN-0019</x:v>
      </x:c>
      <x:c r="B69" s="21" t="str">
        <x:v>Synthetic Supplier 0019 LLC</x:v>
      </x:c>
      <x:c r="C69" s="38" t="str">
        <x:f>"900 000 000 000 019"</x:f>
        <x:v>900 000 000 000 019</x:v>
      </x:c>
      <x:c r="D69" s="21" t="str">
        <x:v>SYN-0019-INV-05</x:v>
      </x:c>
      <x:c r="E69" s="39" t="n">
        <x:v>46054</x:v>
      </x:c>
      <x:c r="F69" s="42" t="n">
        <x:v>1011.59</x:v>
      </x:c>
      <x:c r="G69" s="42" t="n">
        <x:v>50.58</x:v>
      </x:c>
      <x:c r="H69" s="42" t="n">
        <x:v>4980.81</x:v>
      </x:c>
      <x:c r="I69" s="39" t="n">
        <x:v>46073</x:v>
      </x:c>
    </x:row>
    <x:row r="70">
      <x:c r="A70" s="21" t="str">
        <x:v>SYN-0020</x:v>
      </x:c>
      <x:c r="B70" s="21" t="str">
        <x:v>Synthetic Supplier 0020 LLC</x:v>
      </x:c>
      <x:c r="C70" s="38" t="str">
        <x:f>"900 000 000 000 020"</x:f>
        <x:v>900 000 000 000 020</x:v>
      </x:c>
      <x:c r="D70" s="21" t="str">
        <x:v>SYN-0020-INV-01</x:v>
      </x:c>
      <x:c r="E70" s="39" t="n">
        <x:v>46239</x:v>
      </x:c>
      <x:c r="F70" s="42" t="n">
        <x:v>7067.67</x:v>
      </x:c>
      <x:c r="G70" s="42" t="n">
        <x:v>353.38</x:v>
      </x:c>
      <x:c r="H70" s="42" t="n">
        <x:v>10792.08</x:v>
      </x:c>
      <x:c r="I70" s="39"/>
    </x:row>
    <x:row r="71">
      <x:c r="A71" s="21" t="str">
        <x:v>SYN-0020</x:v>
      </x:c>
      <x:c r="B71" s="21" t="str">
        <x:v>Synthetic Supplier 0020 LLC</x:v>
      </x:c>
      <x:c r="C71" s="38" t="str">
        <x:f>"900 000 000 000 020"</x:f>
        <x:v>900 000 000 000 020</x:v>
      </x:c>
      <x:c r="D71" s="21" t="str">
        <x:v>SYN-0020-INV-02</x:v>
      </x:c>
      <x:c r="E71" s="39" t="n">
        <x:v>46286</x:v>
      </x:c>
      <x:c r="F71" s="42" t="n">
        <x:v>4923.53</x:v>
      </x:c>
      <x:c r="G71" s="42" t="n">
        <x:v>246.18</x:v>
      </x:c>
      <x:c r="H71" s="42" t="n">
        <x:v>10792.08</x:v>
      </x:c>
      <x:c r="I71" s="39"/>
    </x:row>
    <x:row r="72">
      <x:c r="A72" s="21" t="str">
        <x:v>SYN-0021</x:v>
      </x:c>
      <x:c r="B72" s="21" t="str">
        <x:v>Synthetic Supplier 0021 LLC</x:v>
      </x:c>
      <x:c r="C72" s="38" t="str">
        <x:f>"900 000 000 000 021"</x:f>
        <x:v>900 000 000 000 021</x:v>
      </x:c>
      <x:c r="D72" s="21" t="str">
        <x:v>SYN-0021-INV-01</x:v>
      </x:c>
      <x:c r="E72" s="39" t="n">
        <x:v>46252</x:v>
      </x:c>
      <x:c r="F72" s="42" t="n">
        <x:v>7932.12</x:v>
      </x:c>
      <x:c r="G72" s="42" t="n">
        <x:v>396.61</x:v>
      </x:c>
      <x:c r="H72" s="42" t="n">
        <x:v>109020.5</x:v>
      </x:c>
      <x:c r="I72" s="39" t="n">
        <x:v>46134</x:v>
      </x:c>
    </x:row>
    <x:row r="73">
      <x:c r="A73" s="21" t="str">
        <x:v>SYN-0021</x:v>
      </x:c>
      <x:c r="B73" s="21" t="str">
        <x:v>Synthetic Supplier 0021 LLC</x:v>
      </x:c>
      <x:c r="C73" s="38" t="str">
        <x:f>"900 000 000 000 021"</x:f>
        <x:v>900 000 000 000 021</x:v>
      </x:c>
      <x:c r="D73" s="21" t="str">
        <x:v>SYN-0021-INV-02</x:v>
      </x:c>
      <x:c r="E73" s="39" t="n">
        <x:v>45939</x:v>
      </x:c>
      <x:c r="F73" s="42" t="n">
        <x:v>10474.86</x:v>
      </x:c>
      <x:c r="G73" s="42" t="n">
        <x:v>523.74</x:v>
      </x:c>
      <x:c r="H73" s="42" t="n">
        <x:v>109020.5</x:v>
      </x:c>
      <x:c r="I73" s="39" t="n">
        <x:v>46134</x:v>
      </x:c>
    </x:row>
    <x:row r="74">
      <x:c r="A74" s="21" t="str">
        <x:v>SYN-0021</x:v>
      </x:c>
      <x:c r="B74" s="21" t="str">
        <x:v>Synthetic Supplier 0021 LLC</x:v>
      </x:c>
      <x:c r="C74" s="38" t="str">
        <x:f>"900 000 000 000 021"</x:f>
        <x:v>900 000 000 000 021</x:v>
      </x:c>
      <x:c r="D74" s="21" t="str">
        <x:v>SYN-0021-INV-03</x:v>
      </x:c>
      <x:c r="E74" s="39" t="n">
        <x:v>45986</x:v>
      </x:c>
      <x:c r="F74" s="42" t="n">
        <x:v>5819.8</x:v>
      </x:c>
      <x:c r="G74" s="42" t="n">
        <x:v>290.99</x:v>
      </x:c>
      <x:c r="H74" s="42" t="n">
        <x:v>109020.5</x:v>
      </x:c>
      <x:c r="I74" s="39" t="n">
        <x:v>46134</x:v>
      </x:c>
    </x:row>
    <x:row r="75">
      <x:c r="A75" s="21" t="str">
        <x:v>SYN-0022</x:v>
      </x:c>
      <x:c r="B75" s="21" t="str">
        <x:v>Synthetic Supplier 0022 LLC</x:v>
      </x:c>
      <x:c r="C75" s="38" t="str">
        <x:f>"900 000 000 000 022"</x:f>
        <x:v>900 000 000 000 022</x:v>
      </x:c>
      <x:c r="D75" s="21" t="str">
        <x:v>SYN-0022-INV-01</x:v>
      </x:c>
      <x:c r="E75" s="39" t="n">
        <x:v>46265</x:v>
      </x:c>
      <x:c r="F75" s="42" t="n">
        <x:v>2840.79</x:v>
      </x:c>
      <x:c r="G75" s="42" t="n">
        <x:v>142.04</x:v>
      </x:c>
      <x:c r="H75" s="42" t="n">
        <x:v>12809.82</x:v>
      </x:c>
      <x:c r="I75" s="39" t="n">
        <x:v>45800</x:v>
      </x:c>
    </x:row>
    <x:row r="76">
      <x:c r="A76" s="21" t="str">
        <x:v>SYN-0022</x:v>
      </x:c>
      <x:c r="B76" s="21" t="str">
        <x:v>Synthetic Supplier 0022 LLC</x:v>
      </x:c>
      <x:c r="C76" s="38" t="str">
        <x:f>"900 000 000 000 022"</x:f>
        <x:v>900 000 000 000 022</x:v>
      </x:c>
      <x:c r="D76" s="21" t="str">
        <x:v>SYN-0022-INV-02</x:v>
      </x:c>
      <x:c r="E76" s="39" t="n">
        <x:v>45952</x:v>
      </x:c>
      <x:c r="F76" s="42" t="n">
        <x:v>4267.16</x:v>
      </x:c>
      <x:c r="G76" s="42" t="n">
        <x:v>213.36</x:v>
      </x:c>
      <x:c r="H76" s="42" t="n">
        <x:v>12809.82</x:v>
      </x:c>
      <x:c r="I76" s="39" t="n">
        <x:v>45800</x:v>
      </x:c>
    </x:row>
    <x:row r="77">
      <x:c r="A77" s="21" t="str">
        <x:v>SYN-0022</x:v>
      </x:c>
      <x:c r="B77" s="21" t="str">
        <x:v>Synthetic Supplier 0022 LLC</x:v>
      </x:c>
      <x:c r="C77" s="38" t="str">
        <x:f>"900 000 000 000 022"</x:f>
        <x:v>900 000 000 000 022</x:v>
      </x:c>
      <x:c r="D77" s="21" t="str">
        <x:v>SYN-0022-INV-03</x:v>
      </x:c>
      <x:c r="E77" s="39" t="n">
        <x:v>45999</x:v>
      </x:c>
      <x:c r="F77" s="42" t="n">
        <x:v>4480.82</x:v>
      </x:c>
      <x:c r="G77" s="42" t="n">
        <x:v>224.04</x:v>
      </x:c>
      <x:c r="H77" s="42" t="n">
        <x:v>12809.82</x:v>
      </x:c>
      <x:c r="I77" s="39" t="n">
        <x:v>45800</x:v>
      </x:c>
    </x:row>
    <x:row r="78">
      <x:c r="A78" s="21" t="str">
        <x:v>SYN-0022</x:v>
      </x:c>
      <x:c r="B78" s="21" t="str">
        <x:v>Synthetic Supplier 0022 LLC</x:v>
      </x:c>
      <x:c r="C78" s="38" t="str">
        <x:f>"900 000 000 000 022"</x:f>
        <x:v>900 000 000 000 022</x:v>
      </x:c>
      <x:c r="D78" s="21" t="str">
        <x:v>SYN-0022-INV-04</x:v>
      </x:c>
      <x:c r="E78" s="39" t="n">
        <x:v>46046</x:v>
      </x:c>
      <x:c r="F78" s="42" t="n">
        <x:v>2644.36</x:v>
      </x:c>
      <x:c r="G78" s="42" t="n">
        <x:v>132.22</x:v>
      </x:c>
      <x:c r="H78" s="42" t="n">
        <x:v>12809.82</x:v>
      </x:c>
      <x:c r="I78" s="39" t="n">
        <x:v>45800</x:v>
      </x:c>
    </x:row>
    <x:row r="79">
      <x:c r="A79" s="21" t="str">
        <x:v>SYN-0023</x:v>
      </x:c>
      <x:c r="B79" s="21" t="str">
        <x:v>Synthetic Supplier 0023 LLC</x:v>
      </x:c>
      <x:c r="C79" s="38" t="str">
        <x:f>"900 000 000 000 023"</x:f>
        <x:v>900 000 000 000 023</x:v>
      </x:c>
      <x:c r="D79" s="21" t="str">
        <x:v>SYN-0023-INV-01</x:v>
      </x:c>
      <x:c r="E79" s="39" t="n">
        <x:v>46278</x:v>
      </x:c>
      <x:c r="F79" s="42" t="n">
        <x:v>2046.26</x:v>
      </x:c>
      <x:c r="G79" s="42" t="n">
        <x:v>102.31</x:v>
      </x:c>
      <x:c r="H79" s="42" t="n">
        <x:v>10237.01</x:v>
      </x:c>
      <x:c r="I79" s="39" t="n">
        <x:v>46197</x:v>
      </x:c>
    </x:row>
    <x:row r="80">
      <x:c r="A80" s="21" t="str">
        <x:v>SYN-0023</x:v>
      </x:c>
      <x:c r="B80" s="21" t="str">
        <x:v>Synthetic Supplier 0023 LLC</x:v>
      </x:c>
      <x:c r="C80" s="38" t="str">
        <x:f>"900 000 000 000 023"</x:f>
        <x:v>900 000 000 000 023</x:v>
      </x:c>
      <x:c r="D80" s="21" t="str">
        <x:v>SYN-0023-INV-02</x:v>
      </x:c>
      <x:c r="E80" s="39" t="n">
        <x:v>45965</x:v>
      </x:c>
      <x:c r="F80" s="42" t="n">
        <x:v>2166.14</x:v>
      </x:c>
      <x:c r="G80" s="42" t="n">
        <x:v>108.31</x:v>
      </x:c>
      <x:c r="H80" s="42" t="n">
        <x:v>10237.01</x:v>
      </x:c>
      <x:c r="I80" s="39" t="n">
        <x:v>46197</x:v>
      </x:c>
    </x:row>
    <x:row r="81">
      <x:c r="A81" s="21" t="str">
        <x:v>SYN-0023</x:v>
      </x:c>
      <x:c r="B81" s="21" t="str">
        <x:v>Synthetic Supplier 0023 LLC</x:v>
      </x:c>
      <x:c r="C81" s="38" t="str">
        <x:f>"900 000 000 000 023"</x:f>
        <x:v>900 000 000 000 023</x:v>
      </x:c>
      <x:c r="D81" s="21" t="str">
        <x:v>SYN-0023-INV-03</x:v>
      </x:c>
      <x:c r="E81" s="39" t="n">
        <x:v>46012</x:v>
      </x:c>
      <x:c r="F81" s="42" t="n">
        <x:v>2174.38</x:v>
      </x:c>
      <x:c r="G81" s="42" t="n">
        <x:v>108.72</x:v>
      </x:c>
      <x:c r="H81" s="42" t="n">
        <x:v>10237.01</x:v>
      </x:c>
      <x:c r="I81" s="39" t="n">
        <x:v>46197</x:v>
      </x:c>
    </x:row>
    <x:row r="82">
      <x:c r="A82" s="21" t="str">
        <x:v>SYN-0023</x:v>
      </x:c>
      <x:c r="B82" s="21" t="str">
        <x:v>Synthetic Supplier 0023 LLC</x:v>
      </x:c>
      <x:c r="C82" s="38" t="str">
        <x:f>"900 000 000 000 023"</x:f>
        <x:v>900 000 000 000 023</x:v>
      </x:c>
      <x:c r="D82" s="21" t="str">
        <x:v>SYN-0023-INV-04</x:v>
      </x:c>
      <x:c r="E82" s="39" t="n">
        <x:v>46059</x:v>
      </x:c>
      <x:c r="F82" s="42" t="n">
        <x:v>2560.25</x:v>
      </x:c>
      <x:c r="G82" s="42" t="n">
        <x:v>128.01</x:v>
      </x:c>
      <x:c r="H82" s="42" t="n">
        <x:v>10237.01</x:v>
      </x:c>
      <x:c r="I82" s="39" t="n">
        <x:v>46197</x:v>
      </x:c>
    </x:row>
    <x:row r="83">
      <x:c r="A83" s="21" t="str">
        <x:v>SYN-0023</x:v>
      </x:c>
      <x:c r="B83" s="21" t="str">
        <x:v>Synthetic Supplier 0023 LLC</x:v>
      </x:c>
      <x:c r="C83" s="38" t="str">
        <x:f>"900 000 000 000 023"</x:f>
        <x:v>900 000 000 000 023</x:v>
      </x:c>
      <x:c r="D83" s="21" t="str">
        <x:v>SYN-0023-INV-05</x:v>
      </x:c>
      <x:c r="E83" s="39" t="n">
        <x:v>46106</x:v>
      </x:c>
      <x:c r="F83" s="42" t="n">
        <x:v>2427.43</x:v>
      </x:c>
      <x:c r="G83" s="42" t="n">
        <x:v>121.37</x:v>
      </x:c>
      <x:c r="H83" s="42" t="n">
        <x:v>10237.01</x:v>
      </x:c>
      <x:c r="I83" s="39" t="n">
        <x:v>46197</x:v>
      </x:c>
    </x:row>
    <x:row r="84">
      <x:c r="A84" s="21" t="str">
        <x:v>SYN-0024</x:v>
      </x:c>
      <x:c r="B84" s="21" t="str">
        <x:v>Synthetic Supplier 0024 LLC</x:v>
      </x:c>
      <x:c r="C84" s="38" t="str">
        <x:f>"900 000 000 000 024"</x:f>
        <x:v>900 000 000 000 024</x:v>
      </x:c>
      <x:c r="D84" s="21" t="str">
        <x:v>SYN-0024-INV-01</x:v>
      </x:c>
      <x:c r="E84" s="39" t="n">
        <x:v>46291</x:v>
      </x:c>
      <x:c r="F84" s="42" t="n">
        <x:v>6265.5</x:v>
      </x:c>
      <x:c r="G84" s="42" t="n">
        <x:v>313.28</x:v>
      </x:c>
      <x:c r="H84" s="42" t="n">
        <x:v>14099.84</x:v>
      </x:c>
      <x:c r="I84" s="39" t="n">
        <x:v>45863</x:v>
      </x:c>
    </x:row>
    <x:row r="85">
      <x:c r="A85" s="21" t="str">
        <x:v>SYN-0024</x:v>
      </x:c>
      <x:c r="B85" s="21" t="str">
        <x:v>Synthetic Supplier 0024 LLC</x:v>
      </x:c>
      <x:c r="C85" s="38" t="str">
        <x:f>"900 000 000 000 024"</x:f>
        <x:v>900 000 000 000 024</x:v>
      </x:c>
      <x:c r="D85" s="21" t="str">
        <x:v>SYN-0024-INV-02</x:v>
      </x:c>
      <x:c r="E85" s="39" t="n">
        <x:v>45978</x:v>
      </x:c>
      <x:c r="F85" s="42" t="n">
        <x:v>9400.99</x:v>
      </x:c>
      <x:c r="G85" s="42" t="n">
        <x:v>470.05</x:v>
      </x:c>
      <x:c r="H85" s="42" t="n">
        <x:v>14099.84</x:v>
      </x:c>
      <x:c r="I85" s="39" t="n">
        <x:v>45863</x:v>
      </x:c>
    </x:row>
    <x:row r="86">
      <x:c r="A86" s="21" t="str">
        <x:v>SYN-0025</x:v>
      </x:c>
      <x:c r="B86" s="21" t="str">
        <x:v>Synthetic Supplier 0025 LLC</x:v>
      </x:c>
      <x:c r="C86" s="38" t="str">
        <x:f>"900 000 000 000 025"</x:f>
        <x:v>900 000 000 000 025</x:v>
      </x:c>
      <x:c r="D86" s="21" t="str">
        <x:v>SYN-0025-INV-01</x:v>
      </x:c>
      <x:c r="E86" s="39" t="n">
        <x:v>45944</x:v>
      </x:c>
      <x:c r="F86" s="42" t="n">
        <x:v>2806.46</x:v>
      </x:c>
      <x:c r="G86" s="42" t="n">
        <x:v>140.32</x:v>
      </x:c>
      <x:c r="H86" s="42" t="n">
        <x:v>7809.75</x:v>
      </x:c>
      <x:c r="I86" s="39"/>
    </x:row>
    <x:row r="87">
      <x:c r="A87" s="21" t="str">
        <x:v>SYN-0025</x:v>
      </x:c>
      <x:c r="B87" s="21" t="str">
        <x:v>Synthetic Supplier 0025 LLC</x:v>
      </x:c>
      <x:c r="C87" s="38" t="str">
        <x:f>"900 000 000 000 025"</x:f>
        <x:v>900 000 000 000 025</x:v>
      </x:c>
      <x:c r="D87" s="21" t="str">
        <x:v>SYN-0025-INV-02</x:v>
      </x:c>
      <x:c r="E87" s="39" t="n">
        <x:v>45991</x:v>
      </x:c>
      <x:c r="F87" s="42" t="n">
        <x:v>3034.01</x:v>
      </x:c>
      <x:c r="G87" s="42" t="n">
        <x:v>151.7</x:v>
      </x:c>
      <x:c r="H87" s="42" t="n">
        <x:v>7809.75</x:v>
      </x:c>
      <x:c r="I87" s="39"/>
    </x:row>
    <x:row r="88">
      <x:c r="A88" s="21" t="str">
        <x:v>SYN-0025</x:v>
      </x:c>
      <x:c r="B88" s="21" t="str">
        <x:v>Synthetic Supplier 0025 LLC</x:v>
      </x:c>
      <x:c r="C88" s="38" t="str">
        <x:f>"900 000 000 000 025"</x:f>
        <x:v>900 000 000 000 025</x:v>
      </x:c>
      <x:c r="D88" s="21" t="str">
        <x:v>SYN-0025-INV-03</x:v>
      </x:c>
      <x:c r="E88" s="39" t="n">
        <x:v>46038</x:v>
      </x:c>
      <x:c r="F88" s="42" t="n">
        <x:v>2837.02</x:v>
      </x:c>
      <x:c r="G88" s="42" t="n">
        <x:v>141.85</x:v>
      </x:c>
      <x:c r="H88" s="42" t="n">
        <x:v>7809.75</x:v>
      </x:c>
      <x:c r="I88" s="39"/>
    </x:row>
    <x:row r="89">
      <x:c r="A89" s="21" t="str">
        <x:v>SYN-0026</x:v>
      </x:c>
      <x:c r="B89" s="21" t="str">
        <x:v>Synthetic Supplier 0026 LLC</x:v>
      </x:c>
      <x:c r="C89" s="38" t="str">
        <x:f>"900 000 000 000 026"</x:f>
        <x:v>900 000 000 000 026</x:v>
      </x:c>
      <x:c r="D89" s="21" t="str">
        <x:v>SYN-0026-INV-01</x:v>
      </x:c>
      <x:c r="E89" s="39" t="n">
        <x:v>45957</x:v>
      </x:c>
      <x:c r="F89" s="42" t="n">
        <x:v>5028.54</x:v>
      </x:c>
      <x:c r="G89" s="42" t="n">
        <x:v>251.43</x:v>
      </x:c>
      <x:c r="H89" s="42" t="n">
        <x:v>25603.06</x:v>
      </x:c>
      <x:c r="I89" s="39" t="n">
        <x:v>45902</x:v>
      </x:c>
    </x:row>
    <x:row r="90">
      <x:c r="A90" s="21" t="str">
        <x:v>SYN-0026</x:v>
      </x:c>
      <x:c r="B90" s="21" t="str">
        <x:v>Synthetic Supplier 0026 LLC</x:v>
      </x:c>
      <x:c r="C90" s="38" t="str">
        <x:f>"900 000 000 000 026"</x:f>
        <x:v>900 000 000 000 026</x:v>
      </x:c>
      <x:c r="D90" s="21" t="str">
        <x:v>SYN-0026-INV-02</x:v>
      </x:c>
      <x:c r="E90" s="39" t="n">
        <x:v>46004</x:v>
      </x:c>
      <x:c r="F90" s="42" t="n">
        <x:v>8357.81</x:v>
      </x:c>
      <x:c r="G90" s="42" t="n">
        <x:v>417.89</x:v>
      </x:c>
      <x:c r="H90" s="42" t="n">
        <x:v>25603.06</x:v>
      </x:c>
      <x:c r="I90" s="39" t="n">
        <x:v>45902</x:v>
      </x:c>
    </x:row>
    <x:row r="91">
      <x:c r="A91" s="21" t="str">
        <x:v>SYN-0026</x:v>
      </x:c>
      <x:c r="B91" s="21" t="str">
        <x:v>Synthetic Supplier 0026 LLC</x:v>
      </x:c>
      <x:c r="C91" s="38" t="str">
        <x:f>"900 000 000 000 026"</x:f>
        <x:v>900 000 000 000 026</x:v>
      </x:c>
      <x:c r="D91" s="21" t="str">
        <x:v>SYN-0026-INV-03</x:v>
      </x:c>
      <x:c r="E91" s="39" t="n">
        <x:v>46051</x:v>
      </x:c>
      <x:c r="F91" s="42" t="n">
        <x:v>9192.54</x:v>
      </x:c>
      <x:c r="G91" s="42" t="n">
        <x:v>459.63</x:v>
      </x:c>
      <x:c r="H91" s="42" t="n">
        <x:v>25603.06</x:v>
      </x:c>
      <x:c r="I91" s="39" t="n">
        <x:v>45902</x:v>
      </x:c>
    </x:row>
    <x:row r="92">
      <x:c r="A92" s="21" t="str">
        <x:v>SYN-0026</x:v>
      </x:c>
      <x:c r="B92" s="21" t="str">
        <x:v>Synthetic Supplier 0026 LLC</x:v>
      </x:c>
      <x:c r="C92" s="38" t="str">
        <x:f>"900 000 000 000 026"</x:f>
        <x:v>900 000 000 000 026</x:v>
      </x:c>
      <x:c r="D92" s="21" t="str">
        <x:v>SYN-0026-INV-04</x:v>
      </x:c>
      <x:c r="E92" s="39" t="n">
        <x:v>46098</x:v>
      </x:c>
      <x:c r="F92" s="42" t="n">
        <x:v>5868.95</x:v>
      </x:c>
      <x:c r="G92" s="42" t="n">
        <x:v>293.45</x:v>
      </x:c>
      <x:c r="H92" s="42" t="n">
        <x:v>25603.06</x:v>
      </x:c>
      <x:c r="I92" s="39" t="n">
        <x:v>45902</x:v>
      </x:c>
    </x:row>
    <x:row r="93">
      <x:c r="A93" s="21" t="str">
        <x:v>SYN-0027</x:v>
      </x:c>
      <x:c r="B93" s="21" t="str">
        <x:v>Synthetic Supplier 0027 LLC</x:v>
      </x:c>
      <x:c r="C93" s="38" t="str">
        <x:f>"900 000 000 000 027"</x:f>
        <x:v>900 000 000 000 027</x:v>
      </x:c>
      <x:c r="D93" s="21" t="str">
        <x:v>SYN-0027-INV-01</x:v>
      </x:c>
      <x:c r="E93" s="39" t="n">
        <x:v>45970</x:v>
      </x:c>
      <x:c r="F93" s="42" t="n">
        <x:v>5259.02</x:v>
      </x:c>
      <x:c r="G93" s="42" t="n">
        <x:v>262.95</x:v>
      </x:c>
      <x:c r="H93" s="42" t="n">
        <x:v>24969.3</x:v>
      </x:c>
      <x:c r="I93" s="39" t="n">
        <x:v>46025</x:v>
      </x:c>
    </x:row>
    <x:row r="94">
      <x:c r="A94" s="21" t="str">
        <x:v>SYN-0027</x:v>
      </x:c>
      <x:c r="B94" s="21" t="str">
        <x:v>Synthetic Supplier 0027 LLC</x:v>
      </x:c>
      <x:c r="C94" s="38" t="str">
        <x:f>"900 000 000 000 027"</x:f>
        <x:v>900 000 000 000 027</x:v>
      </x:c>
      <x:c r="D94" s="21" t="str">
        <x:v>SYN-0027-INV-02</x:v>
      </x:c>
      <x:c r="E94" s="39" t="n">
        <x:v>46017</x:v>
      </x:c>
      <x:c r="F94" s="42" t="n">
        <x:v>6989.06</x:v>
      </x:c>
      <x:c r="G94" s="42" t="n">
        <x:v>349.45</x:v>
      </x:c>
      <x:c r="H94" s="42" t="n">
        <x:v>24969.3</x:v>
      </x:c>
      <x:c r="I94" s="39" t="n">
        <x:v>46025</x:v>
      </x:c>
    </x:row>
    <x:row r="95">
      <x:c r="A95" s="21" t="str">
        <x:v>SYN-0027</x:v>
      </x:c>
      <x:c r="B95" s="21" t="str">
        <x:v>Synthetic Supplier 0027 LLC</x:v>
      </x:c>
      <x:c r="C95" s="38" t="str">
        <x:f>"900 000 000 000 027"</x:f>
        <x:v>900 000 000 000 027</x:v>
      </x:c>
      <x:c r="D95" s="21" t="str">
        <x:v>SYN-0027-INV-03</x:v>
      </x:c>
      <x:c r="E95" s="39" t="n">
        <x:v>46064</x:v>
      </x:c>
      <x:c r="F95" s="42" t="n">
        <x:v>3952.54</x:v>
      </x:c>
      <x:c r="G95" s="42" t="n">
        <x:v>197.63</x:v>
      </x:c>
      <x:c r="H95" s="42" t="n">
        <x:v>24969.3</x:v>
      </x:c>
      <x:c r="I95" s="39" t="n">
        <x:v>46025</x:v>
      </x:c>
    </x:row>
    <x:row r="96">
      <x:c r="A96" s="21" t="str">
        <x:v>SYN-0027</x:v>
      </x:c>
      <x:c r="B96" s="21" t="str">
        <x:v>Synthetic Supplier 0027 LLC</x:v>
      </x:c>
      <x:c r="C96" s="38" t="str">
        <x:f>"900 000 000 000 027"</x:f>
        <x:v>900 000 000 000 027</x:v>
      </x:c>
      <x:c r="D96" s="21" t="str">
        <x:v>SYN-0027-INV-04</x:v>
      </x:c>
      <x:c r="E96" s="39" t="n">
        <x:v>46111</x:v>
      </x:c>
      <x:c r="F96" s="42" t="n">
        <x:v>5126.48</x:v>
      </x:c>
      <x:c r="G96" s="42" t="n">
        <x:v>256.32</x:v>
      </x:c>
      <x:c r="H96" s="42" t="n">
        <x:v>24969.3</x:v>
      </x:c>
      <x:c r="I96" s="39" t="n">
        <x:v>46025</x:v>
      </x:c>
    </x:row>
    <x:row r="97">
      <x:c r="A97" s="21" t="str">
        <x:v>SYN-0027</x:v>
      </x:c>
      <x:c r="B97" s="21" t="str">
        <x:v>Synthetic Supplier 0027 LLC</x:v>
      </x:c>
      <x:c r="C97" s="38" t="str">
        <x:f>"900 000 000 000 027"</x:f>
        <x:v>900 000 000 000 027</x:v>
      </x:c>
      <x:c r="D97" s="21" t="str">
        <x:v>SYN-0027-INV-05</x:v>
      </x:c>
      <x:c r="E97" s="39" t="n">
        <x:v>46158</x:v>
      </x:c>
      <x:c r="F97" s="42" t="n">
        <x:v>6416.57</x:v>
      </x:c>
      <x:c r="G97" s="42" t="n">
        <x:v>320.83</x:v>
      </x:c>
      <x:c r="H97" s="42" t="n">
        <x:v>24969.3</x:v>
      </x:c>
      <x:c r="I97" s="39" t="n">
        <x:v>46025</x:v>
      </x:c>
    </x:row>
    <x:row r="98">
      <x:c r="A98" s="21" t="str">
        <x:v>SYN-0028</x:v>
      </x:c>
      <x:c r="B98" s="21" t="str">
        <x:v>Synthetic Supplier 0028 LLC</x:v>
      </x:c>
      <x:c r="C98" s="38" t="str">
        <x:f>"900 000 000 000 028"</x:f>
        <x:v>900 000 000 000 028</x:v>
      </x:c>
      <x:c r="D98" s="21" t="str">
        <x:v>SYN-0028-INV-01</x:v>
      </x:c>
      <x:c r="E98" s="39" t="n">
        <x:v>45983</x:v>
      </x:c>
      <x:c r="F98" s="42" t="n">
        <x:v>13209.75</x:v>
      </x:c>
      <x:c r="G98" s="42" t="n">
        <x:v>660.49</x:v>
      </x:c>
      <x:c r="H98" s="42" t="n">
        <x:v>125903.75</x:v>
      </x:c>
      <x:c r="I98" s="39" t="n">
        <x:v>45692</x:v>
      </x:c>
    </x:row>
    <x:row r="99">
      <x:c r="A99" s="21" t="str">
        <x:v>SYN-0028</x:v>
      </x:c>
      <x:c r="B99" s="21" t="str">
        <x:v>Synthetic Supplier 0028 LLC</x:v>
      </x:c>
      <x:c r="C99" s="38" t="str">
        <x:f>"900 000 000 000 028"</x:f>
        <x:v>900 000 000 000 028</x:v>
      </x:c>
      <x:c r="D99" s="21" t="str">
        <x:v>SYN-0028-INV-02</x:v>
      </x:c>
      <x:c r="E99" s="39" t="n">
        <x:v>46030</x:v>
      </x:c>
      <x:c r="F99" s="42" t="n">
        <x:v>14768.86</x:v>
      </x:c>
      <x:c r="G99" s="42" t="n">
        <x:v>738.44</x:v>
      </x:c>
      <x:c r="H99" s="42" t="n">
        <x:v>125903.75</x:v>
      </x:c>
      <x:c r="I99" s="39" t="n">
        <x:v>45692</x:v>
      </x:c>
    </x:row>
    <x:row r="100">
      <x:c r="A100" s="21" t="str">
        <x:v>SYN-0029</x:v>
      </x:c>
      <x:c r="B100" s="21" t="str">
        <x:v>Synthetic Supplier 0029 LLC</x:v>
      </x:c>
      <x:c r="C100" s="38" t="str">
        <x:f>"900 000 000 000 029"</x:f>
        <x:v>900 000 000 000 029</x:v>
      </x:c>
      <x:c r="D100" s="21" t="str">
        <x:v>SYN-0029-INV-01</x:v>
      </x:c>
      <x:c r="E100" s="39" t="n">
        <x:v>45996</x:v>
      </x:c>
      <x:c r="F100" s="42" t="n">
        <x:v>3481.66</x:v>
      </x:c>
      <x:c r="G100" s="42" t="n">
        <x:v>174.08</x:v>
      </x:c>
      <x:c r="H100" s="42" t="n">
        <x:v>10227.12</x:v>
      </x:c>
      <x:c r="I100" s="39" t="n">
        <x:v>46086</x:v>
      </x:c>
    </x:row>
    <x:row r="101">
      <x:c r="A101" s="21" t="str">
        <x:v>SYN-0029</x:v>
      </x:c>
      <x:c r="B101" s="21" t="str">
        <x:v>Synthetic Supplier 0029 LLC</x:v>
      </x:c>
      <x:c r="C101" s="38" t="str">
        <x:f>"900 000 000 000 029"</x:f>
        <x:v>900 000 000 000 029</x:v>
      </x:c>
      <x:c r="D101" s="21" t="str">
        <x:v>SYN-0029-INV-02</x:v>
      </x:c>
      <x:c r="E101" s="39" t="n">
        <x:v>46043</x:v>
      </x:c>
      <x:c r="F101" s="42" t="n">
        <x:v>3392.87</x:v>
      </x:c>
      <x:c r="G101" s="42" t="n">
        <x:v>169.64</x:v>
      </x:c>
      <x:c r="H101" s="42" t="n">
        <x:v>10227.12</x:v>
      </x:c>
      <x:c r="I101" s="39" t="n">
        <x:v>46086</x:v>
      </x:c>
    </x:row>
    <x:row r="102">
      <x:c r="A102" s="21" t="str">
        <x:v>SYN-0029</x:v>
      </x:c>
      <x:c r="B102" s="21" t="str">
        <x:v>Synthetic Supplier 0029 LLC</x:v>
      </x:c>
      <x:c r="C102" s="38" t="str">
        <x:f>"900 000 000 000 029"</x:f>
        <x:v>900 000 000 000 029</x:v>
      </x:c>
      <x:c r="D102" s="21" t="str">
        <x:v>SYN-0029-INV-03</x:v>
      </x:c>
      <x:c r="E102" s="39" t="n">
        <x:v>46090</x:v>
      </x:c>
      <x:c r="F102" s="42" t="n">
        <x:v>4488.93</x:v>
      </x:c>
      <x:c r="G102" s="42" t="n">
        <x:v>224.45</x:v>
      </x:c>
      <x:c r="H102" s="42" t="n">
        <x:v>10227.12</x:v>
      </x:c>
      <x:c r="I102" s="39" t="n">
        <x:v>46086</x:v>
      </x:c>
    </x:row>
    <x:row r="103">
      <x:c r="A103" s="21" t="str">
        <x:v>SYN-0030</x:v>
      </x:c>
      <x:c r="B103" s="21" t="str">
        <x:v>Synthetic Supplier 0030 LLC</x:v>
      </x:c>
      <x:c r="C103" s="38" t="str">
        <x:f>"900 000 000 000 030"</x:f>
        <x:v>900 000 000 000 030</x:v>
      </x:c>
      <x:c r="D103" s="21" t="str">
        <x:v>SYN-0030-INV-01</x:v>
      </x:c>
      <x:c r="E103" s="39" t="n">
        <x:v>46009</x:v>
      </x:c>
      <x:c r="F103" s="42" t="n">
        <x:v>1969.01</x:v>
      </x:c>
      <x:c r="G103" s="42" t="n">
        <x:v>98.45</x:v>
      </x:c>
      <x:c r="H103" s="42" t="n">
        <x:v>6421.67</x:v>
      </x:c>
      <x:c r="I103" s="39"/>
    </x:row>
    <x:row r="104">
      <x:c r="A104" s="21" t="str">
        <x:v>SYN-0030</x:v>
      </x:c>
      <x:c r="B104" s="21" t="str">
        <x:v>Synthetic Supplier 0030 LLC</x:v>
      </x:c>
      <x:c r="C104" s="38" t="str">
        <x:f>"900 000 000 000 030"</x:f>
        <x:v>900 000 000 000 030</x:v>
      </x:c>
      <x:c r="D104" s="21" t="str">
        <x:v>SYN-0030-INV-02</x:v>
      </x:c>
      <x:c r="E104" s="39" t="n">
        <x:v>46056</x:v>
      </x:c>
      <x:c r="F104" s="42" t="n">
        <x:v>1815.83</x:v>
      </x:c>
      <x:c r="G104" s="42" t="n">
        <x:v>90.79</x:v>
      </x:c>
      <x:c r="H104" s="42" t="n">
        <x:v>6421.67</x:v>
      </x:c>
      <x:c r="I104" s="39"/>
    </x:row>
    <x:row r="105">
      <x:c r="A105" s="21" t="str">
        <x:v>SYN-0030</x:v>
      </x:c>
      <x:c r="B105" s="21" t="str">
        <x:v>Synthetic Supplier 0030 LLC</x:v>
      </x:c>
      <x:c r="C105" s="38" t="str">
        <x:f>"900 000 000 000 030"</x:f>
        <x:v>900 000 000 000 030</x:v>
      </x:c>
      <x:c r="D105" s="21" t="str">
        <x:v>SYN-0030-INV-03</x:v>
      </x:c>
      <x:c r="E105" s="39" t="n">
        <x:v>46103</x:v>
      </x:c>
      <x:c r="F105" s="42" t="n">
        <x:v>1399.89</x:v>
      </x:c>
      <x:c r="G105" s="42" t="n">
        <x:v>69.99</x:v>
      </x:c>
      <x:c r="H105" s="42" t="n">
        <x:v>6421.67</x:v>
      </x:c>
      <x:c r="I105" s="39"/>
    </x:row>
    <x:row r="106">
      <x:c r="A106" s="21" t="str">
        <x:v>SYN-0030</x:v>
      </x:c>
      <x:c r="B106" s="21" t="str">
        <x:v>Synthetic Supplier 0030 LLC</x:v>
      </x:c>
      <x:c r="C106" s="38" t="str">
        <x:f>"900 000 000 000 030"</x:f>
        <x:v>900 000 000 000 030</x:v>
      </x:c>
      <x:c r="D106" s="21" t="str">
        <x:v>SYN-0030-INV-04</x:v>
      </x:c>
      <x:c r="E106" s="39" t="n">
        <x:v>46150</x:v>
      </x:c>
      <x:c r="F106" s="42" t="n">
        <x:v>1950.46</x:v>
      </x:c>
      <x:c r="G106" s="42" t="n">
        <x:v>97.52</x:v>
      </x:c>
      <x:c r="H106" s="42" t="n">
        <x:v>6421.67</x:v>
      </x:c>
      <x:c r="I106" s="39"/>
    </x:row>
    <x:row r="107">
      <x:c r="A107" s="21" t="str">
        <x:v>SYN-0031</x:v>
      </x:c>
      <x:c r="B107" s="21" t="str">
        <x:v>Synthetic Supplier 0031 LLC</x:v>
      </x:c>
      <x:c r="C107" s="38" t="str">
        <x:f>"900 000 000 000 031"</x:f>
        <x:v>900 000 000 000 031</x:v>
      </x:c>
      <x:c r="D107" s="21" t="str">
        <x:v>SYN-0031-INV-01</x:v>
      </x:c>
      <x:c r="E107" s="39" t="n">
        <x:v>46022</x:v>
      </x:c>
      <x:c r="F107" s="42" t="n">
        <x:v>2227.54</x:v>
      </x:c>
      <x:c r="G107" s="42" t="n">
        <x:v>111.38</x:v>
      </x:c>
      <x:c r="H107" s="42" t="n">
        <x:v>11351.99</x:v>
      </x:c>
      <x:c r="I107" s="39" t="n">
        <x:v>46149</x:v>
      </x:c>
    </x:row>
    <x:row r="108">
      <x:c r="A108" s="21" t="str">
        <x:v>SYN-0031</x:v>
      </x:c>
      <x:c r="B108" s="21" t="str">
        <x:v>Synthetic Supplier 0031 LLC</x:v>
      </x:c>
      <x:c r="C108" s="38" t="str">
        <x:f>"900 000 000 000 031"</x:f>
        <x:v>900 000 000 000 031</x:v>
      </x:c>
      <x:c r="D108" s="21" t="str">
        <x:v>SYN-0031-INV-02</x:v>
      </x:c>
      <x:c r="E108" s="39" t="n">
        <x:v>46069</x:v>
      </x:c>
      <x:c r="F108" s="42" t="n">
        <x:v>1972.26</x:v>
      </x:c>
      <x:c r="G108" s="42" t="n">
        <x:v>98.61</x:v>
      </x:c>
      <x:c r="H108" s="42" t="n">
        <x:v>11351.99</x:v>
      </x:c>
      <x:c r="I108" s="39" t="n">
        <x:v>46149</x:v>
      </x:c>
    </x:row>
    <x:row r="109">
      <x:c r="A109" s="21" t="str">
        <x:v>SYN-0031</x:v>
      </x:c>
      <x:c r="B109" s="21" t="str">
        <x:v>Synthetic Supplier 0031 LLC</x:v>
      </x:c>
      <x:c r="C109" s="38" t="str">
        <x:f>"900 000 000 000 031"</x:f>
        <x:v>900 000 000 000 031</x:v>
      </x:c>
      <x:c r="D109" s="21" t="str">
        <x:v>SYN-0031-INV-03</x:v>
      </x:c>
      <x:c r="E109" s="39" t="n">
        <x:v>46116</x:v>
      </x:c>
      <x:c r="F109" s="42" t="n">
        <x:v>3475.6</x:v>
      </x:c>
      <x:c r="G109" s="42" t="n">
        <x:v>173.78</x:v>
      </x:c>
      <x:c r="H109" s="42" t="n">
        <x:v>11351.99</x:v>
      </x:c>
      <x:c r="I109" s="39" t="n">
        <x:v>46149</x:v>
      </x:c>
    </x:row>
    <x:row r="110">
      <x:c r="A110" s="21" t="str">
        <x:v>SYN-0031</x:v>
      </x:c>
      <x:c r="B110" s="21" t="str">
        <x:v>Synthetic Supplier 0031 LLC</x:v>
      </x:c>
      <x:c r="C110" s="38" t="str">
        <x:f>"900 000 000 000 031"</x:f>
        <x:v>900 000 000 000 031</x:v>
      </x:c>
      <x:c r="D110" s="21" t="str">
        <x:v>SYN-0031-INV-04</x:v>
      </x:c>
      <x:c r="E110" s="39" t="n">
        <x:v>46163</x:v>
      </x:c>
      <x:c r="F110" s="42" t="n">
        <x:v>3014.95</x:v>
      </x:c>
      <x:c r="G110" s="42" t="n">
        <x:v>150.75</x:v>
      </x:c>
      <x:c r="H110" s="42" t="n">
        <x:v>11351.99</x:v>
      </x:c>
      <x:c r="I110" s="39" t="n">
        <x:v>46149</x:v>
      </x:c>
    </x:row>
    <x:row r="111">
      <x:c r="A111" s="21" t="str">
        <x:v>SYN-0031</x:v>
      </x:c>
      <x:c r="B111" s="21" t="str">
        <x:v>Synthetic Supplier 0031 LLC</x:v>
      </x:c>
      <x:c r="C111" s="38" t="str">
        <x:f>"900 000 000 000 031"</x:f>
        <x:v>900 000 000 000 031</x:v>
      </x:c>
      <x:c r="D111" s="21" t="str">
        <x:v>SYN-0031-INV-05</x:v>
      </x:c>
      <x:c r="E111" s="39" t="n">
        <x:v>46210</x:v>
      </x:c>
      <x:c r="F111" s="42" t="n">
        <x:v>1922.97</x:v>
      </x:c>
      <x:c r="G111" s="42" t="n">
        <x:v>96.15</x:v>
      </x:c>
      <x:c r="H111" s="42" t="n">
        <x:v>11351.99</x:v>
      </x:c>
      <x:c r="I111" s="39" t="n">
        <x:v>46149</x:v>
      </x:c>
    </x:row>
    <x:row r="112">
      <x:c r="A112" s="21" t="str">
        <x:v>SYN-0032</x:v>
      </x:c>
      <x:c r="B112" s="21" t="str">
        <x:v>Synthetic Supplier 0032 LLC</x:v>
      </x:c>
      <x:c r="C112" s="38" t="str">
        <x:f>"900 000 000 000 032"</x:f>
        <x:v>900 000 000 000 032</x:v>
      </x:c>
      <x:c r="D112" s="21" t="str">
        <x:v>SYN-0032-INV-01</x:v>
      </x:c>
      <x:c r="E112" s="39" t="n">
        <x:v>46035</x:v>
      </x:c>
      <x:c r="F112" s="42" t="n">
        <x:v>12409.36</x:v>
      </x:c>
      <x:c r="G112" s="42" t="n">
        <x:v>620.47</x:v>
      </x:c>
      <x:c r="H112" s="42" t="n">
        <x:v>20469.28</x:v>
      </x:c>
      <x:c r="I112" s="39" t="n">
        <x:v>45816</x:v>
      </x:c>
    </x:row>
    <x:row r="113">
      <x:c r="A113" s="21" t="str">
        <x:v>SYN-0032</x:v>
      </x:c>
      <x:c r="B113" s="21" t="str">
        <x:v>Synthetic Supplier 0032 LLC</x:v>
      </x:c>
      <x:c r="C113" s="38" t="str">
        <x:f>"900 000 000 000 032"</x:f>
        <x:v>900 000 000 000 032</x:v>
      </x:c>
      <x:c r="D113" s="21" t="str">
        <x:v>SYN-0032-INV-02</x:v>
      </x:c>
      <x:c r="E113" s="39" t="n">
        <x:v>46082</x:v>
      </x:c>
      <x:c r="F113" s="42" t="n">
        <x:v>10334.28</x:v>
      </x:c>
      <x:c r="G113" s="42" t="n">
        <x:v>516.71</x:v>
      </x:c>
      <x:c r="H113" s="42" t="n">
        <x:v>20469.28</x:v>
      </x:c>
      <x:c r="I113" s="39" t="n">
        <x:v>45816</x:v>
      </x:c>
    </x:row>
    <x:row r="114">
      <x:c r="A114" s="21" t="str">
        <x:v>SYN-0033</x:v>
      </x:c>
      <x:c r="B114" s="21" t="str">
        <x:v>Synthetic Supplier 0033 LLC</x:v>
      </x:c>
      <x:c r="C114" s="38" t="str">
        <x:f>"900 000 000 000 033"</x:f>
        <x:v>900 000 000 000 033</x:v>
      </x:c>
      <x:c r="D114" s="21" t="str">
        <x:v>SYN-0033-INV-01</x:v>
      </x:c>
      <x:c r="E114" s="39" t="n">
        <x:v>46048</x:v>
      </x:c>
      <x:c r="F114" s="42" t="n">
        <x:v>5604.55</x:v>
      </x:c>
      <x:c r="G114" s="42" t="n">
        <x:v>280.23</x:v>
      </x:c>
      <x:c r="H114" s="42" t="n">
        <x:v>15070.76</x:v>
      </x:c>
      <x:c r="I114" s="39" t="n">
        <x:v>46212</x:v>
      </x:c>
    </x:row>
    <x:row r="115">
      <x:c r="A115" s="21" t="str">
        <x:v>SYN-0033</x:v>
      </x:c>
      <x:c r="B115" s="21" t="str">
        <x:v>Synthetic Supplier 0033 LLC</x:v>
      </x:c>
      <x:c r="C115" s="38" t="str">
        <x:f>"900 000 000 000 033"</x:f>
        <x:v>900 000 000 000 033</x:v>
      </x:c>
      <x:c r="D115" s="21" t="str">
        <x:v>SYN-0033-INV-02</x:v>
      </x:c>
      <x:c r="E115" s="39" t="n">
        <x:v>46095</x:v>
      </x:c>
      <x:c r="F115" s="42" t="n">
        <x:v>6056.65</x:v>
      </x:c>
      <x:c r="G115" s="42" t="n">
        <x:v>302.83</x:v>
      </x:c>
      <x:c r="H115" s="42" t="n">
        <x:v>15070.76</x:v>
      </x:c>
      <x:c r="I115" s="39" t="n">
        <x:v>46212</x:v>
      </x:c>
    </x:row>
    <x:row r="116">
      <x:c r="A116" s="21" t="str">
        <x:v>SYN-0033</x:v>
      </x:c>
      <x:c r="B116" s="21" t="str">
        <x:v>Synthetic Supplier 0033 LLC</x:v>
      </x:c>
      <x:c r="C116" s="38" t="str">
        <x:f>"900 000 000 000 033"</x:f>
        <x:v>900 000 000 000 033</x:v>
      </x:c>
      <x:c r="D116" s="21" t="str">
        <x:v>SYN-0033-INV-03</x:v>
      </x:c>
      <x:c r="E116" s="39" t="n">
        <x:v>46142</x:v>
      </x:c>
      <x:c r="F116" s="42" t="n">
        <x:v>5084.09</x:v>
      </x:c>
      <x:c r="G116" s="42" t="n">
        <x:v>254.2</x:v>
      </x:c>
      <x:c r="H116" s="42" t="n">
        <x:v>15070.76</x:v>
      </x:c>
      <x:c r="I116" s="39" t="n">
        <x:v>46212</x:v>
      </x:c>
    </x:row>
    <x:row r="117">
      <x:c r="A117" s="21" t="str">
        <x:v>SYN-0034</x:v>
      </x:c>
      <x:c r="B117" s="21" t="str">
        <x:v>Synthetic Supplier 0034 LLC</x:v>
      </x:c>
      <x:c r="C117" s="38" t="str">
        <x:f>"900 000 000 000 034"</x:f>
        <x:v>900 000 000 000 034</x:v>
      </x:c>
      <x:c r="D117" s="21" t="str">
        <x:v>SYN-0034-INV-01</x:v>
      </x:c>
      <x:c r="E117" s="39" t="n">
        <x:v>46061</x:v>
      </x:c>
      <x:c r="F117" s="42" t="n">
        <x:v>5759.96</x:v>
      </x:c>
      <x:c r="G117" s="42" t="n">
        <x:v>288</x:v>
      </x:c>
      <x:c r="H117" s="42" t="n">
        <x:v>17736.14</x:v>
      </x:c>
      <x:c r="I117" s="39" t="n">
        <x:v>45879</x:v>
      </x:c>
    </x:row>
    <x:row r="118">
      <x:c r="A118" s="21" t="str">
        <x:v>SYN-0034</x:v>
      </x:c>
      <x:c r="B118" s="21" t="str">
        <x:v>Synthetic Supplier 0034 LLC</x:v>
      </x:c>
      <x:c r="C118" s="38" t="str">
        <x:f>"900 000 000 000 034"</x:f>
        <x:v>900 000 000 000 034</x:v>
      </x:c>
      <x:c r="D118" s="21" t="str">
        <x:v>SYN-0034-INV-02</x:v>
      </x:c>
      <x:c r="E118" s="39" t="n">
        <x:v>46108</x:v>
      </x:c>
      <x:c r="F118" s="42" t="n">
        <x:v>3270.12</x:v>
      </x:c>
      <x:c r="G118" s="42" t="n">
        <x:v>163.51</x:v>
      </x:c>
      <x:c r="H118" s="42" t="n">
        <x:v>17736.14</x:v>
      </x:c>
      <x:c r="I118" s="39" t="n">
        <x:v>45879</x:v>
      </x:c>
    </x:row>
    <x:row r="119">
      <x:c r="A119" s="21" t="str">
        <x:v>SYN-0034</x:v>
      </x:c>
      <x:c r="B119" s="21" t="str">
        <x:v>Synthetic Supplier 0034 LLC</x:v>
      </x:c>
      <x:c r="C119" s="38" t="str">
        <x:f>"900 000 000 000 034"</x:f>
        <x:v>900 000 000 000 034</x:v>
      </x:c>
      <x:c r="D119" s="21" t="str">
        <x:v>SYN-0034-INV-03</x:v>
      </x:c>
      <x:c r="E119" s="39" t="n">
        <x:v>46155</x:v>
      </x:c>
      <x:c r="F119" s="42" t="n">
        <x:v>4794.02</x:v>
      </x:c>
      <x:c r="G119" s="42" t="n">
        <x:v>239.7</x:v>
      </x:c>
      <x:c r="H119" s="42" t="n">
        <x:v>17736.14</x:v>
      </x:c>
      <x:c r="I119" s="39" t="n">
        <x:v>45879</x:v>
      </x:c>
    </x:row>
    <x:row r="120">
      <x:c r="A120" s="21" t="str">
        <x:v>SYN-0034</x:v>
      </x:c>
      <x:c r="B120" s="21" t="str">
        <x:v>Synthetic Supplier 0034 LLC</x:v>
      </x:c>
      <x:c r="C120" s="38" t="str">
        <x:f>"900 000 000 000 034"</x:f>
        <x:v>900 000 000 000 034</x:v>
      </x:c>
      <x:c r="D120" s="21" t="str">
        <x:v>SYN-0034-INV-04</x:v>
      </x:c>
      <x:c r="E120" s="39" t="n">
        <x:v>46202</x:v>
      </x:c>
      <x:c r="F120" s="42" t="n">
        <x:v>5882.72</x:v>
      </x:c>
      <x:c r="G120" s="42" t="n">
        <x:v>294.14</x:v>
      </x:c>
      <x:c r="H120" s="42" t="n">
        <x:v>17736.14</x:v>
      </x:c>
      <x:c r="I120" s="39" t="n">
        <x:v>45879</x:v>
      </x:c>
    </x:row>
    <x:row r="121">
      <x:c r="A121" s="21" t="str">
        <x:v>SYN-0035</x:v>
      </x:c>
      <x:c r="B121" s="21" t="str">
        <x:v>Synthetic Supplier 0035 LLC</x:v>
      </x:c>
      <x:c r="C121" s="38" t="str">
        <x:f>"900 000 000 000 035"</x:f>
        <x:v>900 000 000 000 035</x:v>
      </x:c>
      <x:c r="D121" s="21" t="str">
        <x:v>SYN-0035-INV-01</x:v>
      </x:c>
      <x:c r="E121" s="39" t="n">
        <x:v>46074</x:v>
      </x:c>
      <x:c r="F121" s="42" t="n">
        <x:v>6114.96</x:v>
      </x:c>
      <x:c r="G121" s="42" t="n">
        <x:v>305.75</x:v>
      </x:c>
      <x:c r="H121" s="42" t="n">
        <x:v>123009.32</x:v>
      </x:c>
      <x:c r="I121" s="39"/>
    </x:row>
    <x:row r="122">
      <x:c r="A122" s="21" t="str">
        <x:v>SYN-0035</x:v>
      </x:c>
      <x:c r="B122" s="21" t="str">
        <x:v>Synthetic Supplier 0035 LLC</x:v>
      </x:c>
      <x:c r="C122" s="38" t="str">
        <x:f>"900 000 000 000 035"</x:f>
        <x:v>900 000 000 000 035</x:v>
      </x:c>
      <x:c r="D122" s="21" t="str">
        <x:v>SYN-0035-INV-02</x:v>
      </x:c>
      <x:c r="E122" s="39" t="n">
        <x:v>46121</x:v>
      </x:c>
      <x:c r="F122" s="42" t="n">
        <x:v>6897.59</x:v>
      </x:c>
      <x:c r="G122" s="42" t="n">
        <x:v>344.88</x:v>
      </x:c>
      <x:c r="H122" s="42" t="n">
        <x:v>123009.32</x:v>
      </x:c>
      <x:c r="I122" s="39"/>
    </x:row>
    <x:row r="123">
      <x:c r="A123" s="21" t="str">
        <x:v>SYN-0035</x:v>
      </x:c>
      <x:c r="B123" s="21" t="str">
        <x:v>Synthetic Supplier 0035 LLC</x:v>
      </x:c>
      <x:c r="C123" s="38" t="str">
        <x:f>"900 000 000 000 035"</x:f>
        <x:v>900 000 000 000 035</x:v>
      </x:c>
      <x:c r="D123" s="21" t="str">
        <x:v>SYN-0035-INV-03</x:v>
      </x:c>
      <x:c r="E123" s="39" t="n">
        <x:v>46168</x:v>
      </x:c>
      <x:c r="F123" s="42" t="n">
        <x:v>4805.01</x:v>
      </x:c>
      <x:c r="G123" s="42" t="n">
        <x:v>240.25</x:v>
      </x:c>
      <x:c r="H123" s="42" t="n">
        <x:v>123009.32</x:v>
      </x:c>
      <x:c r="I123" s="39"/>
    </x:row>
    <x:row r="124">
      <x:c r="A124" s="21" t="str">
        <x:v>SYN-0035</x:v>
      </x:c>
      <x:c r="B124" s="21" t="str">
        <x:v>Synthetic Supplier 0035 LLC</x:v>
      </x:c>
      <x:c r="C124" s="38" t="str">
        <x:f>"900 000 000 000 035"</x:f>
        <x:v>900 000 000 000 035</x:v>
      </x:c>
      <x:c r="D124" s="21" t="str">
        <x:v>SYN-0035-INV-04</x:v>
      </x:c>
      <x:c r="E124" s="39" t="n">
        <x:v>46215</x:v>
      </x:c>
      <x:c r="F124" s="42" t="n">
        <x:v>4975.48</x:v>
      </x:c>
      <x:c r="G124" s="42" t="n">
        <x:v>248.77</x:v>
      </x:c>
      <x:c r="H124" s="42" t="n">
        <x:v>123009.32</x:v>
      </x:c>
      <x:c r="I124" s="39"/>
    </x:row>
    <x:row r="125">
      <x:c r="A125" s="21" t="str">
        <x:v>SYN-0035</x:v>
      </x:c>
      <x:c r="B125" s="21" t="str">
        <x:v>Synthetic Supplier 0035 LLC</x:v>
      </x:c>
      <x:c r="C125" s="38" t="str">
        <x:f>"900 000 000 000 035"</x:f>
        <x:v>900 000 000 000 035</x:v>
      </x:c>
      <x:c r="D125" s="21" t="str">
        <x:v>SYN-0035-INV-05</x:v>
      </x:c>
      <x:c r="E125" s="39" t="n">
        <x:v>46262</x:v>
      </x:c>
      <x:c r="F125" s="42" t="n">
        <x:v>4542.36</x:v>
      </x:c>
      <x:c r="G125" s="42" t="n">
        <x:v>227.12</x:v>
      </x:c>
      <x:c r="H125" s="42" t="n">
        <x:v>123009.32</x:v>
      </x:c>
      <x:c r="I125" s="39"/>
    </x:row>
    <x:row r="126">
      <x:c r="A126" s="21" t="str">
        <x:v>SYN-0036</x:v>
      </x:c>
      <x:c r="B126" s="21" t="str">
        <x:v>Synthetic Supplier 0036 LLC</x:v>
      </x:c>
      <x:c r="C126" s="38" t="str">
        <x:f>"900 000 000 000 036"</x:f>
        <x:v>900 000 000 000 036</x:v>
      </x:c>
      <x:c r="D126" s="21" t="str">
        <x:v>SYN-0036-INV-01</x:v>
      </x:c>
      <x:c r="E126" s="39" t="n">
        <x:v>46087</x:v>
      </x:c>
      <x:c r="F126" s="42" t="n">
        <x:v>2785.96</x:v>
      </x:c>
      <x:c r="G126" s="42" t="n">
        <x:v>139.3</x:v>
      </x:c>
      <x:c r="H126" s="42" t="n">
        <x:v>4861.38</x:v>
      </x:c>
      <x:c r="I126" s="39" t="n">
        <x:v>45669</x:v>
      </x:c>
    </x:row>
    <x:row r="127">
      <x:c r="A127" s="21" t="str">
        <x:v>SYN-0036</x:v>
      </x:c>
      <x:c r="B127" s="21" t="str">
        <x:v>Synthetic Supplier 0036 LLC</x:v>
      </x:c>
      <x:c r="C127" s="38" t="str">
        <x:f>"900 000 000 000 036"</x:f>
        <x:v>900 000 000 000 036</x:v>
      </x:c>
      <x:c r="D127" s="21" t="str">
        <x:v>SYN-0036-INV-02</x:v>
      </x:c>
      <x:c r="E127" s="39" t="n">
        <x:v>46134</x:v>
      </x:c>
      <x:c r="F127" s="42" t="n">
        <x:v>2615.58</x:v>
      </x:c>
      <x:c r="G127" s="42" t="n">
        <x:v>130.78</x:v>
      </x:c>
      <x:c r="H127" s="42" t="n">
        <x:v>4861.38</x:v>
      </x:c>
      <x:c r="I127" s="39" t="n">
        <x:v>45669</x:v>
      </x:c>
    </x:row>
    <x:row r="128">
      <x:c r="A128" s="21" t="str">
        <x:v>SYN-0037</x:v>
      </x:c>
      <x:c r="B128" s="21" t="str">
        <x:v>Synthetic Supplier 0037 LLC</x:v>
      </x:c>
      <x:c r="C128" s="38" t="str">
        <x:f>"900 000 000 000 037"</x:f>
        <x:v>900 000 000 000 037</x:v>
      </x:c>
      <x:c r="D128" s="21" t="str">
        <x:v>SYN-0037-INV-01</x:v>
      </x:c>
      <x:c r="E128" s="39" t="n">
        <x:v>46100</x:v>
      </x:c>
      <x:c r="F128" s="42" t="n">
        <x:v>6877.51</x:v>
      </x:c>
      <x:c r="G128" s="42" t="n">
        <x:v>343.88</x:v>
      </x:c>
      <x:c r="H128" s="42" t="n">
        <x:v>16360.42</x:v>
      </x:c>
      <x:c r="I128" s="39" t="n">
        <x:v>46066</x:v>
      </x:c>
    </x:row>
    <x:row r="129">
      <x:c r="A129" s="21" t="str">
        <x:v>SYN-0037</x:v>
      </x:c>
      <x:c r="B129" s="21" t="str">
        <x:v>Synthetic Supplier 0037 LLC</x:v>
      </x:c>
      <x:c r="C129" s="38" t="str">
        <x:f>"900 000 000 000 037"</x:f>
        <x:v>900 000 000 000 037</x:v>
      </x:c>
      <x:c r="D129" s="21" t="str">
        <x:v>SYN-0037-INV-02</x:v>
      </x:c>
      <x:c r="E129" s="39" t="n">
        <x:v>46147</x:v>
      </x:c>
      <x:c r="F129" s="42" t="n">
        <x:v>6818.44</x:v>
      </x:c>
      <x:c r="G129" s="42" t="n">
        <x:v>340.92</x:v>
      </x:c>
      <x:c r="H129" s="42" t="n">
        <x:v>16360.42</x:v>
      </x:c>
      <x:c r="I129" s="39" t="n">
        <x:v>46066</x:v>
      </x:c>
    </x:row>
    <x:row r="130">
      <x:c r="A130" s="21" t="str">
        <x:v>SYN-0037</x:v>
      </x:c>
      <x:c r="B130" s="21" t="str">
        <x:v>Synthetic Supplier 0037 LLC</x:v>
      </x:c>
      <x:c r="C130" s="38" t="str">
        <x:f>"900 000 000 000 037"</x:f>
        <x:v>900 000 000 000 037</x:v>
      </x:c>
      <x:c r="D130" s="21" t="str">
        <x:v>SYN-0037-INV-03</x:v>
      </x:c>
      <x:c r="E130" s="39" t="n">
        <x:v>46194</x:v>
      </x:c>
      <x:c r="F130" s="42" t="n">
        <x:v>4482.3</x:v>
      </x:c>
      <x:c r="G130" s="42" t="n">
        <x:v>224.11</x:v>
      </x:c>
      <x:c r="H130" s="42" t="n">
        <x:v>16360.42</x:v>
      </x:c>
      <x:c r="I130" s="39" t="n">
        <x:v>46066</x:v>
      </x:c>
    </x:row>
    <x:row r="131">
      <x:c r="A131" s="21" t="str">
        <x:v>SYN-0038</x:v>
      </x:c>
      <x:c r="B131" s="21" t="str">
        <x:v>Synthetic Supplier 0038 LLC</x:v>
      </x:c>
      <x:c r="C131" s="38" t="str">
        <x:f>"900 000 000 000 038"</x:f>
        <x:v>900 000 000 000 038</x:v>
      </x:c>
      <x:c r="D131" s="21" t="str">
        <x:v>SYN-0038-INV-01</x:v>
      </x:c>
      <x:c r="E131" s="39" t="n">
        <x:v>46113</x:v>
      </x:c>
      <x:c r="F131" s="42" t="n">
        <x:v>7742.24</x:v>
      </x:c>
      <x:c r="G131" s="42" t="n">
        <x:v>387.11</x:v>
      </x:c>
      <x:c r="H131" s="42" t="n">
        <x:v>19280.65</x:v>
      </x:c>
      <x:c r="I131" s="39" t="n">
        <x:v>45730</x:v>
      </x:c>
    </x:row>
    <x:row r="132">
      <x:c r="A132" s="21" t="str">
        <x:v>SYN-0038</x:v>
      </x:c>
      <x:c r="B132" s="21" t="str">
        <x:v>Synthetic Supplier 0038 LLC</x:v>
      </x:c>
      <x:c r="C132" s="38" t="str">
        <x:f>"900 000 000 000 038"</x:f>
        <x:v>900 000 000 000 038</x:v>
      </x:c>
      <x:c r="D132" s="21" t="str">
        <x:v>SYN-0038-INV-02</x:v>
      </x:c>
      <x:c r="E132" s="39" t="n">
        <x:v>46160</x:v>
      </x:c>
      <x:c r="F132" s="42" t="n">
        <x:v>3580.59</x:v>
      </x:c>
      <x:c r="G132" s="42" t="n">
        <x:v>179.03</x:v>
      </x:c>
      <x:c r="H132" s="42" t="n">
        <x:v>19280.65</x:v>
      </x:c>
      <x:c r="I132" s="39" t="n">
        <x:v>45730</x:v>
      </x:c>
    </x:row>
    <x:row r="133">
      <x:c r="A133" s="21" t="str">
        <x:v>SYN-0038</x:v>
      </x:c>
      <x:c r="B133" s="21" t="str">
        <x:v>Synthetic Supplier 0038 LLC</x:v>
      </x:c>
      <x:c r="C133" s="38" t="str">
        <x:f>"900 000 000 000 038"</x:f>
        <x:v>900 000 000 000 038</x:v>
      </x:c>
      <x:c r="D133" s="21" t="str">
        <x:v>SYN-0038-INV-03</x:v>
      </x:c>
      <x:c r="E133" s="39" t="n">
        <x:v>46207</x:v>
      </x:c>
      <x:c r="F133" s="42" t="n">
        <x:v>6327.44</x:v>
      </x:c>
      <x:c r="G133" s="42" t="n">
        <x:v>316.37</x:v>
      </x:c>
      <x:c r="H133" s="42" t="n">
        <x:v>19280.65</x:v>
      </x:c>
      <x:c r="I133" s="39" t="n">
        <x:v>45730</x:v>
      </x:c>
    </x:row>
    <x:row r="134">
      <x:c r="A134" s="21" t="str">
        <x:v>SYN-0038</x:v>
      </x:c>
      <x:c r="B134" s="21" t="str">
        <x:v>Synthetic Supplier 0038 LLC</x:v>
      </x:c>
      <x:c r="C134" s="38" t="str">
        <x:f>"900 000 000 000 038"</x:f>
        <x:v>900 000 000 000 038</x:v>
      </x:c>
      <x:c r="D134" s="21" t="str">
        <x:v>SYN-0038-INV-04</x:v>
      </x:c>
      <x:c r="E134" s="39" t="n">
        <x:v>46254</x:v>
      </x:c>
      <x:c r="F134" s="42" t="n">
        <x:v>3772.68</x:v>
      </x:c>
      <x:c r="G134" s="42" t="n">
        <x:v>188.63</x:v>
      </x:c>
      <x:c r="H134" s="42" t="n">
        <x:v>19280.65</x:v>
      </x:c>
      <x:c r="I134" s="39" t="n">
        <x:v>45730</x:v>
      </x:c>
    </x:row>
    <x:row r="135">
      <x:c r="A135" s="21" t="str">
        <x:v>SYN-0039</x:v>
      </x:c>
      <x:c r="B135" s="21" t="str">
        <x:v>Synthetic Supplier 0039 LLC</x:v>
      </x:c>
      <x:c r="C135" s="38" t="str">
        <x:f>"900 000 000 000 039"</x:f>
        <x:v>900 000 000 000 039</x:v>
      </x:c>
      <x:c r="D135" s="21" t="str">
        <x:v>SYN-0039-INV-01</x:v>
      </x:c>
      <x:c r="E135" s="39" t="n">
        <x:v>46126</x:v>
      </x:c>
      <x:c r="F135" s="42" t="n">
        <x:v>2236.61</x:v>
      </x:c>
      <x:c r="G135" s="42" t="n">
        <x:v>111.83</x:v>
      </x:c>
      <x:c r="H135" s="42" t="n">
        <x:v>10915.93</x:v>
      </x:c>
      <x:c r="I135" s="39" t="n">
        <x:v>46127</x:v>
      </x:c>
    </x:row>
    <x:row r="136">
      <x:c r="A136" s="21" t="str">
        <x:v>SYN-0039</x:v>
      </x:c>
      <x:c r="B136" s="21" t="str">
        <x:v>Synthetic Supplier 0039 LLC</x:v>
      </x:c>
      <x:c r="C136" s="38" t="str">
        <x:f>"900 000 000 000 039"</x:f>
        <x:v>900 000 000 000 039</x:v>
      </x:c>
      <x:c r="D136" s="21" t="str">
        <x:v>SYN-0039-INV-02</x:v>
      </x:c>
      <x:c r="E136" s="39" t="n">
        <x:v>46173</x:v>
      </x:c>
      <x:c r="F136" s="42" t="n">
        <x:v>3513.74</x:v>
      </x:c>
      <x:c r="G136" s="42" t="n">
        <x:v>175.69</x:v>
      </x:c>
      <x:c r="H136" s="42" t="n">
        <x:v>10915.93</x:v>
      </x:c>
      <x:c r="I136" s="39" t="n">
        <x:v>46127</x:v>
      </x:c>
    </x:row>
    <x:row r="137">
      <x:c r="A137" s="21" t="str">
        <x:v>SYN-0039</x:v>
      </x:c>
      <x:c r="B137" s="21" t="str">
        <x:v>Synthetic Supplier 0039 LLC</x:v>
      </x:c>
      <x:c r="C137" s="38" t="str">
        <x:f>"900 000 000 000 039"</x:f>
        <x:v>900 000 000 000 039</x:v>
      </x:c>
      <x:c r="D137" s="21" t="str">
        <x:v>SYN-0039-INV-03</x:v>
      </x:c>
      <x:c r="E137" s="39" t="n">
        <x:v>46220</x:v>
      </x:c>
      <x:c r="F137" s="42" t="n">
        <x:v>2637.83</x:v>
      </x:c>
      <x:c r="G137" s="42" t="n">
        <x:v>131.89</x:v>
      </x:c>
      <x:c r="H137" s="42" t="n">
        <x:v>10915.93</x:v>
      </x:c>
      <x:c r="I137" s="39" t="n">
        <x:v>46127</x:v>
      </x:c>
    </x:row>
    <x:row r="138">
      <x:c r="A138" s="21" t="str">
        <x:v>SYN-0039</x:v>
      </x:c>
      <x:c r="B138" s="21" t="str">
        <x:v>Synthetic Supplier 0039 LLC</x:v>
      </x:c>
      <x:c r="C138" s="38" t="str">
        <x:f>"900 000 000 000 039"</x:f>
        <x:v>900 000 000 000 039</x:v>
      </x:c>
      <x:c r="D138" s="21" t="str">
        <x:v>SYN-0039-INV-04</x:v>
      </x:c>
      <x:c r="E138" s="39" t="n">
        <x:v>46267</x:v>
      </x:c>
      <x:c r="F138" s="42" t="n">
        <x:v>1918.67</x:v>
      </x:c>
      <x:c r="G138" s="42" t="n">
        <x:v>95.93</x:v>
      </x:c>
      <x:c r="H138" s="42" t="n">
        <x:v>10915.93</x:v>
      </x:c>
      <x:c r="I138" s="39" t="n">
        <x:v>46127</x:v>
      </x:c>
    </x:row>
    <x:row r="139">
      <x:c r="A139" s="21" t="str">
        <x:v>SYN-0039</x:v>
      </x:c>
      <x:c r="B139" s="21" t="str">
        <x:v>Synthetic Supplier 0039 LLC</x:v>
      </x:c>
      <x:c r="C139" s="38" t="str">
        <x:f>"900 000 000 000 039"</x:f>
        <x:v>900 000 000 000 039</x:v>
      </x:c>
      <x:c r="D139" s="21" t="str">
        <x:v>SYN-0039-INV-05</x:v>
      </x:c>
      <x:c r="E139" s="39" t="n">
        <x:v>45954</x:v>
      </x:c>
      <x:c r="F139" s="42" t="n">
        <x:v>1821.95</x:v>
      </x:c>
      <x:c r="G139" s="42" t="n">
        <x:v>91.1</x:v>
      </x:c>
      <x:c r="H139" s="42" t="n">
        <x:v>10915.93</x:v>
      </x:c>
      <x:c r="I139" s="39" t="n">
        <x:v>46127</x:v>
      </x:c>
    </x:row>
    <x:row r="140">
      <x:c r="A140" s="21" t="str">
        <x:v>SYN-0040</x:v>
      </x:c>
      <x:c r="B140" s="21" t="str">
        <x:v>Synthetic Supplier 0040 LLC</x:v>
      </x:c>
      <x:c r="C140" s="38" t="str">
        <x:f>"900 000 000 000 040"</x:f>
        <x:v>900 000 000 000 040</x:v>
      </x:c>
      <x:c r="D140" s="21" t="str">
        <x:v>SYN-0040-INV-01</x:v>
      </x:c>
      <x:c r="E140" s="39" t="n">
        <x:v>46139</x:v>
      </x:c>
      <x:c r="F140" s="42" t="n">
        <x:v>14599.49</x:v>
      </x:c>
      <x:c r="G140" s="42" t="n">
        <x:v>729.97</x:v>
      </x:c>
      <x:c r="H140" s="42" t="n">
        <x:v>22432.45</x:v>
      </x:c>
      <x:c r="I140" s="39"/>
    </x:row>
    <x:row r="141">
      <x:c r="A141" s="21" t="str">
        <x:v>SYN-0040</x:v>
      </x:c>
      <x:c r="B141" s="21" t="str">
        <x:v>Synthetic Supplier 0040 LLC</x:v>
      </x:c>
      <x:c r="C141" s="38" t="str">
        <x:f>"900 000 000 000 040"</x:f>
        <x:v>900 000 000 000 040</x:v>
      </x:c>
      <x:c r="D141" s="21" t="str">
        <x:v>SYN-0040-INV-02</x:v>
      </x:c>
      <x:c r="E141" s="39" t="n">
        <x:v>46186</x:v>
      </x:c>
      <x:c r="F141" s="42" t="n">
        <x:v>10325.46</x:v>
      </x:c>
      <x:c r="G141" s="42" t="n">
        <x:v>516.27</x:v>
      </x:c>
      <x:c r="H141" s="42" t="n">
        <x:v>22432.45</x:v>
      </x:c>
      <x:c r="I141" s="39"/>
    </x:row>
    <x:row r="142">
      <x:c r="A142" s="21" t="str">
        <x:v>SYN-0041</x:v>
      </x:c>
      <x:c r="B142" s="21" t="str">
        <x:v>Synthetic Supplier 0041 LLC</x:v>
      </x:c>
      <x:c r="C142" s="38" t="str">
        <x:f>"900 000 000 000 041"</x:f>
        <x:v>900 000 000 000 041</x:v>
      </x:c>
      <x:c r="D142" s="21" t="str">
        <x:v>SYN-0041-INV-01</x:v>
      </x:c>
      <x:c r="E142" s="39" t="n">
        <x:v>46152</x:v>
      </x:c>
      <x:c r="F142" s="42" t="n">
        <x:v>10527.51</x:v>
      </x:c>
      <x:c r="G142" s="42" t="n">
        <x:v>526.38</x:v>
      </x:c>
      <x:c r="H142" s="42" t="n">
        <x:v>23410.71</x:v>
      </x:c>
      <x:c r="I142" s="39" t="n">
        <x:v>46190</x:v>
      </x:c>
    </x:row>
    <x:row r="143">
      <x:c r="A143" s="21" t="str">
        <x:v>SYN-0041</x:v>
      </x:c>
      <x:c r="B143" s="21" t="str">
        <x:v>Synthetic Supplier 0041 LLC</x:v>
      </x:c>
      <x:c r="C143" s="38" t="str">
        <x:f>"900 000 000 000 041"</x:f>
        <x:v>900 000 000 000 041</x:v>
      </x:c>
      <x:c r="D143" s="21" t="str">
        <x:v>SYN-0041-INV-02</x:v>
      </x:c>
      <x:c r="E143" s="39" t="n">
        <x:v>46199</x:v>
      </x:c>
      <x:c r="F143" s="42" t="n">
        <x:v>6504.91</x:v>
      </x:c>
      <x:c r="G143" s="42" t="n">
        <x:v>325.25</x:v>
      </x:c>
      <x:c r="H143" s="42" t="n">
        <x:v>23410.71</x:v>
      </x:c>
      <x:c r="I143" s="39" t="n">
        <x:v>46190</x:v>
      </x:c>
    </x:row>
    <x:row r="144">
      <x:c r="A144" s="21" t="str">
        <x:v>SYN-0041</x:v>
      </x:c>
      <x:c r="B144" s="21" t="str">
        <x:v>Synthetic Supplier 0041 LLC</x:v>
      </x:c>
      <x:c r="C144" s="38" t="str">
        <x:f>"900 000 000 000 041"</x:f>
        <x:v>900 000 000 000 041</x:v>
      </x:c>
      <x:c r="D144" s="21" t="str">
        <x:v>SYN-0041-INV-03</x:v>
      </x:c>
      <x:c r="E144" s="39" t="n">
        <x:v>46246</x:v>
      </x:c>
      <x:c r="F144" s="42" t="n">
        <x:v>8979.48</x:v>
      </x:c>
      <x:c r="G144" s="42" t="n">
        <x:v>448.97</x:v>
      </x:c>
      <x:c r="H144" s="42" t="n">
        <x:v>23410.71</x:v>
      </x:c>
      <x:c r="I144" s="39" t="n">
        <x:v>46190</x:v>
      </x:c>
    </x:row>
    <x:row r="145">
      <x:c r="A145" s="21" t="str">
        <x:v>SYN-0042</x:v>
      </x:c>
      <x:c r="B145" s="21" t="str">
        <x:v>Synthetic Supplier 0042 LLC</x:v>
      </x:c>
      <x:c r="C145" s="38" t="str">
        <x:f>"900 000 000 000 042"</x:f>
        <x:v>900 000 000 000 042</x:v>
      </x:c>
      <x:c r="D145" s="21" t="str">
        <x:v>SYN-0042-INV-01</x:v>
      </x:c>
      <x:c r="E145" s="39" t="n">
        <x:v>46165</x:v>
      </x:c>
      <x:c r="F145" s="42" t="n">
        <x:v>8034.19</x:v>
      </x:c>
      <x:c r="G145" s="42" t="n">
        <x:v>401.71</x:v>
      </x:c>
      <x:c r="H145" s="42" t="n">
        <x:v>124504.21</x:v>
      </x:c>
      <x:c r="I145" s="39" t="n">
        <x:v>45856</x:v>
      </x:c>
    </x:row>
    <x:row r="146">
      <x:c r="A146" s="21" t="str">
        <x:v>SYN-0042</x:v>
      </x:c>
      <x:c r="B146" s="21" t="str">
        <x:v>Synthetic Supplier 0042 LLC</x:v>
      </x:c>
      <x:c r="C146" s="38" t="str">
        <x:f>"900 000 000 000 042"</x:f>
        <x:v>900 000 000 000 042</x:v>
      </x:c>
      <x:c r="D146" s="21" t="str">
        <x:v>SYN-0042-INV-02</x:v>
      </x:c>
      <x:c r="E146" s="39" t="n">
        <x:v>46212</x:v>
      </x:c>
      <x:c r="F146" s="42" t="n">
        <x:v>5019.69</x:v>
      </x:c>
      <x:c r="G146" s="42" t="n">
        <x:v>250.98</x:v>
      </x:c>
      <x:c r="H146" s="42" t="n">
        <x:v>124504.21</x:v>
      </x:c>
      <x:c r="I146" s="39" t="n">
        <x:v>45856</x:v>
      </x:c>
    </x:row>
    <x:row r="147">
      <x:c r="A147" s="21" t="str">
        <x:v>SYN-0042</x:v>
      </x:c>
      <x:c r="B147" s="21" t="str">
        <x:v>Synthetic Supplier 0042 LLC</x:v>
      </x:c>
      <x:c r="C147" s="38" t="str">
        <x:f>"900 000 000 000 042"</x:f>
        <x:v>900 000 000 000 042</x:v>
      </x:c>
      <x:c r="D147" s="21" t="str">
        <x:v>SYN-0042-INV-03</x:v>
      </x:c>
      <x:c r="E147" s="39" t="n">
        <x:v>46259</x:v>
      </x:c>
      <x:c r="F147" s="42" t="n">
        <x:v>6266.45</x:v>
      </x:c>
      <x:c r="G147" s="42" t="n">
        <x:v>313.32</x:v>
      </x:c>
      <x:c r="H147" s="42" t="n">
        <x:v>124504.21</x:v>
      </x:c>
      <x:c r="I147" s="39" t="n">
        <x:v>45856</x:v>
      </x:c>
    </x:row>
    <x:row r="148">
      <x:c r="A148" s="21" t="str">
        <x:v>SYN-0042</x:v>
      </x:c>
      <x:c r="B148" s="21" t="str">
        <x:v>Synthetic Supplier 0042 LLC</x:v>
      </x:c>
      <x:c r="C148" s="38" t="str">
        <x:f>"900 000 000 000 042"</x:f>
        <x:v>900 000 000 000 042</x:v>
      </x:c>
      <x:c r="D148" s="21" t="str">
        <x:v>SYN-0042-INV-04</x:v>
      </x:c>
      <x:c r="E148" s="39" t="n">
        <x:v>45946</x:v>
      </x:c>
      <x:c r="F148" s="42" t="n">
        <x:v>8347.27</x:v>
      </x:c>
      <x:c r="G148" s="42" t="n">
        <x:v>417.36</x:v>
      </x:c>
      <x:c r="H148" s="42" t="n">
        <x:v>124504.21</x:v>
      </x:c>
      <x:c r="I148" s="39" t="n">
        <x:v>45856</x:v>
      </x:c>
    </x:row>
    <x:row r="149">
      <x:c r="A149" s="21" t="str">
        <x:v>SYN-0043</x:v>
      </x:c>
      <x:c r="B149" s="21" t="str">
        <x:v>Synthetic Supplier 0043 LLC</x:v>
      </x:c>
      <x:c r="C149" s="38" t="str">
        <x:f>"900 000 000 000 043"</x:f>
        <x:v>900 000 000 000 043</x:v>
      </x:c>
      <x:c r="D149" s="21" t="str">
        <x:v>SYN-0043-INV-01</x:v>
      </x:c>
      <x:c r="E149" s="39" t="n">
        <x:v>46178</x:v>
      </x:c>
      <x:c r="F149" s="42" t="n">
        <x:v>4897.73</x:v>
      </x:c>
      <x:c r="G149" s="42" t="n">
        <x:v>244.89</x:v>
      </x:c>
      <x:c r="H149" s="42" t="n">
        <x:v>17907.02</x:v>
      </x:c>
      <x:c r="I149" s="39" t="n">
        <x:v>46253</x:v>
      </x:c>
    </x:row>
    <x:row r="150">
      <x:c r="A150" s="21" t="str">
        <x:v>SYN-0043</x:v>
      </x:c>
      <x:c r="B150" s="21" t="str">
        <x:v>Synthetic Supplier 0043 LLC</x:v>
      </x:c>
      <x:c r="C150" s="38" t="str">
        <x:f>"900 000 000 000 043"</x:f>
        <x:v>900 000 000 000 043</x:v>
      </x:c>
      <x:c r="D150" s="21" t="str">
        <x:v>SYN-0043-INV-02</x:v>
      </x:c>
      <x:c r="E150" s="39" t="n">
        <x:v>46225</x:v>
      </x:c>
      <x:c r="F150" s="42" t="n">
        <x:v>3400.49</x:v>
      </x:c>
      <x:c r="G150" s="42" t="n">
        <x:v>170.02</x:v>
      </x:c>
      <x:c r="H150" s="42" t="n">
        <x:v>17907.02</x:v>
      </x:c>
      <x:c r="I150" s="39" t="n">
        <x:v>46253</x:v>
      </x:c>
    </x:row>
    <x:row r="151">
      <x:c r="A151" s="21" t="str">
        <x:v>SYN-0043</x:v>
      </x:c>
      <x:c r="B151" s="21" t="str">
        <x:v>Synthetic Supplier 0043 LLC</x:v>
      </x:c>
      <x:c r="C151" s="38" t="str">
        <x:f>"900 000 000 000 043"</x:f>
        <x:v>900 000 000 000 043</x:v>
      </x:c>
      <x:c r="D151" s="21" t="str">
        <x:v>SYN-0043-INV-03</x:v>
      </x:c>
      <x:c r="E151" s="39" t="n">
        <x:v>46272</x:v>
      </x:c>
      <x:c r="F151" s="42" t="n">
        <x:v>2377.25</x:v>
      </x:c>
      <x:c r="G151" s="42" t="n">
        <x:v>118.86</x:v>
      </x:c>
      <x:c r="H151" s="42" t="n">
        <x:v>17907.02</x:v>
      </x:c>
      <x:c r="I151" s="39" t="n">
        <x:v>46253</x:v>
      </x:c>
    </x:row>
    <x:row r="152">
      <x:c r="A152" s="21" t="str">
        <x:v>SYN-0043</x:v>
      </x:c>
      <x:c r="B152" s="21" t="str">
        <x:v>Synthetic Supplier 0043 LLC</x:v>
      </x:c>
      <x:c r="C152" s="38" t="str">
        <x:f>"900 000 000 000 043"</x:f>
        <x:v>900 000 000 000 043</x:v>
      </x:c>
      <x:c r="D152" s="21" t="str">
        <x:v>SYN-0043-INV-04</x:v>
      </x:c>
      <x:c r="E152" s="39" t="n">
        <x:v>45959</x:v>
      </x:c>
      <x:c r="F152" s="42" t="n">
        <x:v>5246.88</x:v>
      </x:c>
      <x:c r="G152" s="42" t="n">
        <x:v>262.34</x:v>
      </x:c>
      <x:c r="H152" s="42" t="n">
        <x:v>17907.02</x:v>
      </x:c>
      <x:c r="I152" s="39" t="n">
        <x:v>46253</x:v>
      </x:c>
    </x:row>
    <x:row r="153">
      <x:c r="A153" s="21" t="str">
        <x:v>SYN-0043</x:v>
      </x:c>
      <x:c r="B153" s="21" t="str">
        <x:v>Synthetic Supplier 0043 LLC</x:v>
      </x:c>
      <x:c r="C153" s="38" t="str">
        <x:f>"900 000 000 000 043"</x:f>
        <x:v>900 000 000 000 043</x:v>
      </x:c>
      <x:c r="D153" s="21" t="str">
        <x:v>SYN-0043-INV-05</x:v>
      </x:c>
      <x:c r="E153" s="39" t="n">
        <x:v>46006</x:v>
      </x:c>
      <x:c r="F153" s="42" t="n">
        <x:v>3974.33</x:v>
      </x:c>
      <x:c r="G153" s="42" t="n">
        <x:v>198.72</x:v>
      </x:c>
      <x:c r="H153" s="42" t="n">
        <x:v>17907.02</x:v>
      </x:c>
      <x:c r="I153" s="39" t="n">
        <x:v>46253</x:v>
      </x:c>
    </x:row>
    <x:row r="154">
      <x:c r="A154" s="21" t="str">
        <x:v>SYN-0044</x:v>
      </x:c>
      <x:c r="B154" s="21" t="str">
        <x:v>Synthetic Supplier 0044 LLC</x:v>
      </x:c>
      <x:c r="C154" s="38" t="str">
        <x:f>"900 000 000 000 044"</x:f>
        <x:v>900 000 000 000 044</x:v>
      </x:c>
      <x:c r="D154" s="21" t="str">
        <x:v>SYN-0044-INV-01</x:v>
      </x:c>
      <x:c r="E154" s="39" t="n">
        <x:v>46191</x:v>
      </x:c>
      <x:c r="F154" s="42" t="n">
        <x:v>5705.72</x:v>
      </x:c>
      <x:c r="G154" s="42" t="n">
        <x:v>285.29</x:v>
      </x:c>
      <x:c r="H154" s="42" t="n">
        <x:v>11374.32</x:v>
      </x:c>
      <x:c r="I154" s="39" t="n">
        <x:v>45920</x:v>
      </x:c>
    </x:row>
    <x:row r="155">
      <x:c r="A155" s="21" t="str">
        <x:v>SYN-0044</x:v>
      </x:c>
      <x:c r="B155" s="21" t="str">
        <x:v>Synthetic Supplier 0044 LLC</x:v>
      </x:c>
      <x:c r="C155" s="38" t="str">
        <x:f>"900 000 000 000 044"</x:f>
        <x:v>900 000 000 000 044</x:v>
      </x:c>
      <x:c r="D155" s="21" t="str">
        <x:v>SYN-0044-INV-02</x:v>
      </x:c>
      <x:c r="E155" s="39" t="n">
        <x:v>46238</x:v>
      </x:c>
      <x:c r="F155" s="42" t="n">
        <x:v>6932.41</x:v>
      </x:c>
      <x:c r="G155" s="42" t="n">
        <x:v>346.62</x:v>
      </x:c>
      <x:c r="H155" s="42" t="n">
        <x:v>11374.32</x:v>
      </x:c>
      <x:c r="I155" s="39" t="n">
        <x:v>45920</x:v>
      </x:c>
    </x:row>
    <x:row r="156">
      <x:c r="A156" s="21" t="str">
        <x:v>SYN-0045</x:v>
      </x:c>
      <x:c r="B156" s="21" t="str">
        <x:v>Synthetic Supplier 0045 LLC</x:v>
      </x:c>
      <x:c r="C156" s="38" t="str">
        <x:f>"900 000 000 000 045"</x:f>
        <x:v>900 000 000 000 045</x:v>
      </x:c>
      <x:c r="D156" s="21" t="str">
        <x:v>SYN-0045-INV-01</x:v>
      </x:c>
      <x:c r="E156" s="39" t="n">
        <x:v>46204</x:v>
      </x:c>
      <x:c r="F156" s="42" t="n">
        <x:v>5657.96</x:v>
      </x:c>
      <x:c r="G156" s="42" t="n">
        <x:v>282.9</x:v>
      </x:c>
      <x:c r="H156" s="42" t="n">
        <x:v>13475.26</x:v>
      </x:c>
      <x:c r="I156" s="39"/>
    </x:row>
    <x:row r="157">
      <x:c r="A157" s="21" t="str">
        <x:v>SYN-0045</x:v>
      </x:c>
      <x:c r="B157" s="21" t="str">
        <x:v>Synthetic Supplier 0045 LLC</x:v>
      </x:c>
      <x:c r="C157" s="38" t="str">
        <x:f>"900 000 000 000 045"</x:f>
        <x:v>900 000 000 000 045</x:v>
      </x:c>
      <x:c r="D157" s="21" t="str">
        <x:v>SYN-0045-INV-02</x:v>
      </x:c>
      <x:c r="E157" s="39" t="n">
        <x:v>46251</x:v>
      </x:c>
      <x:c r="F157" s="42" t="n">
        <x:v>4308.02</x:v>
      </x:c>
      <x:c r="G157" s="42" t="n">
        <x:v>215.4</x:v>
      </x:c>
      <x:c r="H157" s="42" t="n">
        <x:v>13475.26</x:v>
      </x:c>
      <x:c r="I157" s="39"/>
    </x:row>
    <x:row r="158">
      <x:c r="A158" s="21" t="str">
        <x:v>SYN-0045</x:v>
      </x:c>
      <x:c r="B158" s="21" t="str">
        <x:v>Synthetic Supplier 0045 LLC</x:v>
      </x:c>
      <x:c r="C158" s="38" t="str">
        <x:f>"900 000 000 000 045"</x:f>
        <x:v>900 000 000 000 045</x:v>
      </x:c>
      <x:c r="D158" s="21" t="str">
        <x:v>SYN-0045-INV-03</x:v>
      </x:c>
      <x:c r="E158" s="39" t="n">
        <x:v>45938</x:v>
      </x:c>
      <x:c r="F158" s="42" t="n">
        <x:v>5006.53</x:v>
      </x:c>
      <x:c r="G158" s="42" t="n">
        <x:v>250.33</x:v>
      </x:c>
      <x:c r="H158" s="42" t="n">
        <x:v>13475.26</x:v>
      </x:c>
      <x:c r="I158" s="39"/>
    </x:row>
    <x:row r="159">
      <x:c r="A159" s="21" t="str">
        <x:v>SYN-0046</x:v>
      </x:c>
      <x:c r="B159" s="21" t="str">
        <x:v>Synthetic Supplier 0046 LLC</x:v>
      </x:c>
      <x:c r="C159" s="38" t="str">
        <x:f>"900 000 000 000 046"</x:f>
        <x:v>900 000 000 000 046</x:v>
      </x:c>
      <x:c r="D159" s="21" t="str">
        <x:v>SYN-0046-INV-01</x:v>
      </x:c>
      <x:c r="E159" s="39" t="n">
        <x:v>46217</x:v>
      </x:c>
      <x:c r="F159" s="42" t="n">
        <x:v>2508.02</x:v>
      </x:c>
      <x:c r="G159" s="42" t="n">
        <x:v>125.4</x:v>
      </x:c>
      <x:c r="H159" s="42" t="n">
        <x:v>10445.52</x:v>
      </x:c>
      <x:c r="I159" s="39" t="n">
        <x:v>45710</x:v>
      </x:c>
    </x:row>
    <x:row r="160">
      <x:c r="A160" s="21" t="str">
        <x:v>SYN-0046</x:v>
      </x:c>
      <x:c r="B160" s="21" t="str">
        <x:v>Synthetic Supplier 0046 LLC</x:v>
      </x:c>
      <x:c r="C160" s="38" t="str">
        <x:f>"900 000 000 000 046"</x:f>
        <x:v>900 000 000 000 046</x:v>
      </x:c>
      <x:c r="D160" s="21" t="str">
        <x:v>SYN-0046-INV-02</x:v>
      </x:c>
      <x:c r="E160" s="39" t="n">
        <x:v>46264</x:v>
      </x:c>
      <x:c r="F160" s="42" t="n">
        <x:v>3022.28</x:v>
      </x:c>
      <x:c r="G160" s="42" t="n">
        <x:v>151.11</x:v>
      </x:c>
      <x:c r="H160" s="42" t="n">
        <x:v>10445.52</x:v>
      </x:c>
      <x:c r="I160" s="39" t="n">
        <x:v>45710</x:v>
      </x:c>
    </x:row>
    <x:row r="161">
      <x:c r="A161" s="21" t="str">
        <x:v>SYN-0046</x:v>
      </x:c>
      <x:c r="B161" s="21" t="str">
        <x:v>Synthetic Supplier 0046 LLC</x:v>
      </x:c>
      <x:c r="C161" s="38" t="str">
        <x:f>"900 000 000 000 046"</x:f>
        <x:v>900 000 000 000 046</x:v>
      </x:c>
      <x:c r="D161" s="21" t="str">
        <x:v>SYN-0046-INV-03</x:v>
      </x:c>
      <x:c r="E161" s="39" t="n">
        <x:v>45951</x:v>
      </x:c>
      <x:c r="F161" s="42" t="n">
        <x:v>2926.84</x:v>
      </x:c>
      <x:c r="G161" s="42" t="n">
        <x:v>146.34</x:v>
      </x:c>
      <x:c r="H161" s="42" t="n">
        <x:v>10445.52</x:v>
      </x:c>
      <x:c r="I161" s="39" t="n">
        <x:v>45710</x:v>
      </x:c>
    </x:row>
    <x:row r="162">
      <x:c r="A162" s="21" t="str">
        <x:v>SYN-0046</x:v>
      </x:c>
      <x:c r="B162" s="21" t="str">
        <x:v>Synthetic Supplier 0046 LLC</x:v>
      </x:c>
      <x:c r="C162" s="38" t="str">
        <x:f>"900 000 000 000 046"</x:f>
        <x:v>900 000 000 000 046</x:v>
      </x:c>
      <x:c r="D162" s="21" t="str">
        <x:v>SYN-0046-INV-04</x:v>
      </x:c>
      <x:c r="E162" s="39" t="n">
        <x:v>45998</x:v>
      </x:c>
      <x:c r="F162" s="42" t="n">
        <x:v>3148.99</x:v>
      </x:c>
      <x:c r="G162" s="42" t="n">
        <x:v>157.45</x:v>
      </x:c>
      <x:c r="H162" s="42" t="n">
        <x:v>10445.52</x:v>
      </x:c>
      <x:c r="I162" s="39" t="n">
        <x:v>45710</x:v>
      </x:c>
    </x:row>
    <x:row r="163">
      <x:c r="A163" s="21" t="str">
        <x:v>SYN-0047</x:v>
      </x:c>
      <x:c r="B163" s="21" t="str">
        <x:v>Synthetic Supplier 0047 LLC</x:v>
      </x:c>
      <x:c r="C163" s="38" t="str">
        <x:f>"900 000 000 000 047"</x:f>
        <x:v>900 000 000 000 047</x:v>
      </x:c>
      <x:c r="D163" s="21" t="str">
        <x:v>SYN-0047-INV-01</x:v>
      </x:c>
      <x:c r="E163" s="39" t="n">
        <x:v>46230</x:v>
      </x:c>
      <x:c r="F163" s="42" t="n">
        <x:v>3090.93</x:v>
      </x:c>
      <x:c r="G163" s="42" t="n">
        <x:v>154.55</x:v>
      </x:c>
      <x:c r="H163" s="42" t="n">
        <x:v>13804.66</x:v>
      </x:c>
      <x:c r="I163" s="39" t="n">
        <x:v>46104</x:v>
      </x:c>
    </x:row>
    <x:row r="164">
      <x:c r="A164" s="21" t="str">
        <x:v>SYN-0047</x:v>
      </x:c>
      <x:c r="B164" s="21" t="str">
        <x:v>Synthetic Supplier 0047 LLC</x:v>
      </x:c>
      <x:c r="C164" s="38" t="str">
        <x:f>"900 000 000 000 047"</x:f>
        <x:v>900 000 000 000 047</x:v>
      </x:c>
      <x:c r="D164" s="21" t="str">
        <x:v>SYN-0047-INV-02</x:v>
      </x:c>
      <x:c r="E164" s="39" t="n">
        <x:v>46277</x:v>
      </x:c>
      <x:c r="F164" s="42" t="n">
        <x:v>3307.52</x:v>
      </x:c>
      <x:c r="G164" s="42" t="n">
        <x:v>165.38</x:v>
      </x:c>
      <x:c r="H164" s="42" t="n">
        <x:v>13804.66</x:v>
      </x:c>
      <x:c r="I164" s="39" t="n">
        <x:v>46104</x:v>
      </x:c>
    </x:row>
    <x:row r="165">
      <x:c r="A165" s="21" t="str">
        <x:v>SYN-0047</x:v>
      </x:c>
      <x:c r="B165" s="21" t="str">
        <x:v>Synthetic Supplier 0047 LLC</x:v>
      </x:c>
      <x:c r="C165" s="38" t="str">
        <x:f>"900 000 000 000 047"</x:f>
        <x:v>900 000 000 000 047</x:v>
      </x:c>
      <x:c r="D165" s="21" t="str">
        <x:v>SYN-0047-INV-03</x:v>
      </x:c>
      <x:c r="E165" s="39" t="n">
        <x:v>45964</x:v>
      </x:c>
      <x:c r="F165" s="42" t="n">
        <x:v>3413.98</x:v>
      </x:c>
      <x:c r="G165" s="42" t="n">
        <x:v>170.7</x:v>
      </x:c>
      <x:c r="H165" s="42" t="n">
        <x:v>13804.66</x:v>
      </x:c>
      <x:c r="I165" s="39" t="n">
        <x:v>46104</x:v>
      </x:c>
    </x:row>
    <x:row r="166">
      <x:c r="A166" s="21" t="str">
        <x:v>SYN-0047</x:v>
      </x:c>
      <x:c r="B166" s="21" t="str">
        <x:v>Synthetic Supplier 0047 LLC</x:v>
      </x:c>
      <x:c r="C166" s="38" t="str">
        <x:f>"900 000 000 000 047"</x:f>
        <x:v>900 000 000 000 047</x:v>
      </x:c>
      <x:c r="D166" s="21" t="str">
        <x:v>SYN-0047-INV-04</x:v>
      </x:c>
      <x:c r="E166" s="39" t="n">
        <x:v>46011</x:v>
      </x:c>
      <x:c r="F166" s="42" t="n">
        <x:v>3035.78</x:v>
      </x:c>
      <x:c r="G166" s="42" t="n">
        <x:v>151.79</x:v>
      </x:c>
      <x:c r="H166" s="42" t="n">
        <x:v>13804.66</x:v>
      </x:c>
      <x:c r="I166" s="39" t="n">
        <x:v>46104</x:v>
      </x:c>
    </x:row>
    <x:row r="167">
      <x:c r="A167" s="21" t="str">
        <x:v>SYN-0047</x:v>
      </x:c>
      <x:c r="B167" s="21" t="str">
        <x:v>Synthetic Supplier 0047 LLC</x:v>
      </x:c>
      <x:c r="C167" s="38" t="str">
        <x:f>"900 000 000 000 047"</x:f>
        <x:v>900 000 000 000 047</x:v>
      </x:c>
      <x:c r="D167" s="21" t="str">
        <x:v>SYN-0047-INV-05</x:v>
      </x:c>
      <x:c r="E167" s="39" t="n">
        <x:v>46058</x:v>
      </x:c>
      <x:c r="F167" s="42" t="n">
        <x:v>2490.29</x:v>
      </x:c>
      <x:c r="G167" s="42" t="n">
        <x:v>124.51</x:v>
      </x:c>
      <x:c r="H167" s="42" t="n">
        <x:v>13804.66</x:v>
      </x:c>
      <x:c r="I167" s="39" t="n">
        <x:v>46104</x:v>
      </x:c>
    </x:row>
    <x:row r="168">
      <x:c r="A168" s="21" t="str">
        <x:v>SYN-0048</x:v>
      </x:c>
      <x:c r="B168" s="21" t="str">
        <x:v>Synthetic Supplier 0048 LLC</x:v>
      </x:c>
      <x:c r="C168" s="38" t="str">
        <x:f>"900 000 000 000 048"</x:f>
        <x:v>900 000 000 000 048</x:v>
      </x:c>
      <x:c r="D168" s="21" t="str">
        <x:v>SYN-0048-INV-01</x:v>
      </x:c>
      <x:c r="E168" s="39" t="n">
        <x:v>46243</x:v>
      </x:c>
      <x:c r="F168" s="42" t="n">
        <x:v>7191.73</x:v>
      </x:c>
      <x:c r="G168" s="42" t="n">
        <x:v>359.59</x:v>
      </x:c>
      <x:c r="H168" s="42" t="n">
        <x:v>10585.2</x:v>
      </x:c>
      <x:c r="I168" s="39" t="n">
        <x:v>45771</x:v>
      </x:c>
    </x:row>
    <x:row r="169">
      <x:c r="A169" s="21" t="str">
        <x:v>SYN-0048</x:v>
      </x:c>
      <x:c r="B169" s="21" t="str">
        <x:v>Synthetic Supplier 0048 LLC</x:v>
      </x:c>
      <x:c r="C169" s="38" t="str">
        <x:f>"900 000 000 000 048"</x:f>
        <x:v>900 000 000 000 048</x:v>
      </x:c>
      <x:c r="D169" s="21" t="str">
        <x:v>SYN-0048-INV-02</x:v>
      </x:c>
      <x:c r="E169" s="39" t="n">
        <x:v>46290</x:v>
      </x:c>
      <x:c r="F169" s="42" t="n">
        <x:v>4569.6</x:v>
      </x:c>
      <x:c r="G169" s="42" t="n">
        <x:v>228.48</x:v>
      </x:c>
      <x:c r="H169" s="42" t="n">
        <x:v>10585.2</x:v>
      </x:c>
      <x:c r="I169" s="39" t="n">
        <x:v>45771</x:v>
      </x:c>
    </x:row>
    <x:row r="170">
      <x:c r="A170" s="21" t="str">
        <x:v>SYN-0049</x:v>
      </x:c>
      <x:c r="B170" s="21" t="str">
        <x:v>Synthetic Supplier 0049 LLC</x:v>
      </x:c>
      <x:c r="C170" s="38" t="str">
        <x:f>"900 000 000 000 049"</x:f>
        <x:v>900 000 000 000 049</x:v>
      </x:c>
      <x:c r="D170" s="21" t="str">
        <x:v>SYN-0049-INV-01</x:v>
      </x:c>
      <x:c r="E170" s="39" t="n">
        <x:v>46256</x:v>
      </x:c>
      <x:c r="F170" s="42" t="n">
        <x:v>5137.62</x:v>
      </x:c>
      <x:c r="G170" s="42" t="n">
        <x:v>256.88</x:v>
      </x:c>
      <x:c r="H170" s="42" t="n">
        <x:v>84721.07</x:v>
      </x:c>
      <x:c r="I170" s="39" t="n">
        <x:v>46167</x:v>
      </x:c>
    </x:row>
    <x:row r="171">
      <x:c r="A171" s="21" t="str">
        <x:v>SYN-0049</x:v>
      </x:c>
      <x:c r="B171" s="21" t="str">
        <x:v>Synthetic Supplier 0049 LLC</x:v>
      </x:c>
      <x:c r="C171" s="38" t="str">
        <x:f>"900 000 000 000 049"</x:f>
        <x:v>900 000 000 000 049</x:v>
      </x:c>
      <x:c r="D171" s="21" t="str">
        <x:v>SYN-0049-INV-02</x:v>
      </x:c>
      <x:c r="E171" s="39" t="n">
        <x:v>45943</x:v>
      </x:c>
      <x:c r="F171" s="42" t="n">
        <x:v>5928.79</x:v>
      </x:c>
      <x:c r="G171" s="42" t="n">
        <x:v>296.44</x:v>
      </x:c>
      <x:c r="H171" s="42" t="n">
        <x:v>84721.07</x:v>
      </x:c>
      <x:c r="I171" s="39" t="n">
        <x:v>46167</x:v>
      </x:c>
    </x:row>
    <x:row r="172">
      <x:c r="A172" s="21" t="str">
        <x:v>SYN-0049</x:v>
      </x:c>
      <x:c r="B172" s="21" t="str">
        <x:v>Synthetic Supplier 0049 LLC</x:v>
      </x:c>
      <x:c r="C172" s="38" t="str">
        <x:f>"900 000 000 000 049"</x:f>
        <x:v>900 000 000 000 049</x:v>
      </x:c>
      <x:c r="D172" s="21" t="str">
        <x:v>SYN-0049-INV-03</x:v>
      </x:c>
      <x:c r="E172" s="39" t="n">
        <x:v>45990</x:v>
      </x:c>
      <x:c r="F172" s="42" t="n">
        <x:v>7760.49</x:v>
      </x:c>
      <x:c r="G172" s="42" t="n">
        <x:v>388.02</x:v>
      </x:c>
      <x:c r="H172" s="42" t="n">
        <x:v>84721.07</x:v>
      </x:c>
      <x:c r="I172" s="39" t="n">
        <x:v>46167</x:v>
      </x:c>
    </x:row>
    <x:row r="173">
      <x:c r="A173" s="21" t="str">
        <x:v>SYN-0050</x:v>
      </x:c>
      <x:c r="B173" s="21" t="str">
        <x:v>Synthetic Supplier 0050 LLC</x:v>
      </x:c>
      <x:c r="C173" s="38" t="str">
        <x:f>"900 000 000 000 050"</x:f>
        <x:v>900 000 000 000 050</x:v>
      </x:c>
      <x:c r="D173" s="21" t="str">
        <x:v>SYN-0050-INV-01</x:v>
      </x:c>
      <x:c r="E173" s="39" t="n">
        <x:v>46269</x:v>
      </x:c>
      <x:c r="F173" s="42" t="n">
        <x:v>2428.97</x:v>
      </x:c>
      <x:c r="G173" s="42" t="n">
        <x:v>121.45</x:v>
      </x:c>
      <x:c r="H173" s="42" t="n">
        <x:v>10199.88</x:v>
      </x:c>
      <x:c r="I173" s="39"/>
    </x:row>
    <x:row r="174">
      <x:c r="A174" s="21" t="str">
        <x:v>SYN-0050</x:v>
      </x:c>
      <x:c r="B174" s="21" t="str">
        <x:v>Synthetic Supplier 0050 LLC</x:v>
      </x:c>
      <x:c r="C174" s="38" t="str">
        <x:f>"900 000 000 000 050"</x:f>
        <x:v>900 000 000 000 050</x:v>
      </x:c>
      <x:c r="D174" s="21" t="str">
        <x:v>SYN-0050-INV-02</x:v>
      </x:c>
      <x:c r="E174" s="39" t="n">
        <x:v>45956</x:v>
      </x:c>
      <x:c r="F174" s="42" t="n">
        <x:v>3432.33</x:v>
      </x:c>
      <x:c r="G174" s="42" t="n">
        <x:v>171.62</x:v>
      </x:c>
      <x:c r="H174" s="42" t="n">
        <x:v>10199.88</x:v>
      </x:c>
      <x:c r="I174" s="39"/>
    </x:row>
    <x:row r="175">
      <x:c r="A175" s="21" t="str">
        <x:v>SYN-0050</x:v>
      </x:c>
      <x:c r="B175" s="21" t="str">
        <x:v>Synthetic Supplier 0050 LLC</x:v>
      </x:c>
      <x:c r="C175" s="38" t="str">
        <x:f>"900 000 000 000 050"</x:f>
        <x:v>900 000 000 000 050</x:v>
      </x:c>
      <x:c r="D175" s="21" t="str">
        <x:v>SYN-0050-INV-03</x:v>
      </x:c>
      <x:c r="E175" s="39" t="n">
        <x:v>46003</x:v>
      </x:c>
      <x:c r="F175" s="42" t="n">
        <x:v>2265.73</x:v>
      </x:c>
      <x:c r="G175" s="42" t="n">
        <x:v>113.29</x:v>
      </x:c>
      <x:c r="H175" s="42" t="n">
        <x:v>10199.88</x:v>
      </x:c>
      <x:c r="I175" s="39"/>
    </x:row>
    <x:row r="176">
      <x:c r="A176" s="21" t="str">
        <x:v>SYN-0050</x:v>
      </x:c>
      <x:c r="B176" s="21" t="str">
        <x:v>Synthetic Supplier 0050 LLC</x:v>
      </x:c>
      <x:c r="C176" s="38" t="str">
        <x:f>"900 000 000 000 050"</x:f>
        <x:v>900 000 000 000 050</x:v>
      </x:c>
      <x:c r="D176" s="21" t="str">
        <x:v>SYN-0050-INV-04</x:v>
      </x:c>
      <x:c r="E176" s="39" t="n">
        <x:v>46050</x:v>
      </x:c>
      <x:c r="F176" s="42" t="n">
        <x:v>3206.17</x:v>
      </x:c>
      <x:c r="G176" s="42" t="n">
        <x:v>160.31</x:v>
      </x:c>
      <x:c r="H176" s="42" t="n">
        <x:v>10199.88</x:v>
      </x:c>
      <x:c r="I176" s="39"/>
    </x:row>
    <x:row r="177">
      <x:c r="A177" s="21" t="str">
        <x:v>SYN-0051</x:v>
      </x:c>
      <x:c r="B177" s="21" t="str">
        <x:v>Synthetic Supplier 0051 LLC</x:v>
      </x:c>
      <x:c r="C177" s="38" t="str">
        <x:f>"900 000 000 000 051"</x:f>
        <x:v>900 000 000 000 051</x:v>
      </x:c>
      <x:c r="D177" s="21" t="str">
        <x:v>SYN-0051-INV-01</x:v>
      </x:c>
      <x:c r="E177" s="39" t="n">
        <x:v>46282</x:v>
      </x:c>
      <x:c r="F177" s="42" t="n">
        <x:v>1160.05</x:v>
      </x:c>
      <x:c r="G177" s="42" t="n">
        <x:v>58</x:v>
      </x:c>
      <x:c r="H177" s="42" t="n">
        <x:v>4894.26</x:v>
      </x:c>
      <x:c r="I177" s="39" t="n">
        <x:v>46205</x:v>
      </x:c>
    </x:row>
    <x:row r="178">
      <x:c r="A178" s="21" t="str">
        <x:v>SYN-0051</x:v>
      </x:c>
      <x:c r="B178" s="21" t="str">
        <x:v>Synthetic Supplier 0051 LLC</x:v>
      </x:c>
      <x:c r="C178" s="38" t="str">
        <x:f>"900 000 000 000 051"</x:f>
        <x:v>900 000 000 000 051</x:v>
      </x:c>
      <x:c r="D178" s="21" t="str">
        <x:v>SYN-0051-INV-02</x:v>
      </x:c>
      <x:c r="E178" s="39" t="n">
        <x:v>45969</x:v>
      </x:c>
      <x:c r="F178" s="42" t="n">
        <x:v>1085.42</x:v>
      </x:c>
      <x:c r="G178" s="42" t="n">
        <x:v>54.27</x:v>
      </x:c>
      <x:c r="H178" s="42" t="n">
        <x:v>4894.26</x:v>
      </x:c>
      <x:c r="I178" s="39" t="n">
        <x:v>46205</x:v>
      </x:c>
    </x:row>
    <x:row r="179">
      <x:c r="A179" s="21" t="str">
        <x:v>SYN-0051</x:v>
      </x:c>
      <x:c r="B179" s="21" t="str">
        <x:v>Synthetic Supplier 0051 LLC</x:v>
      </x:c>
      <x:c r="C179" s="38" t="str">
        <x:f>"900 000 000 000 051"</x:f>
        <x:v>900 000 000 000 051</x:v>
      </x:c>
      <x:c r="D179" s="21" t="str">
        <x:v>SYN-0051-INV-03</x:v>
      </x:c>
      <x:c r="E179" s="39" t="n">
        <x:v>46016</x:v>
      </x:c>
      <x:c r="F179" s="42" t="n">
        <x:v>964.69</x:v>
      </x:c>
      <x:c r="G179" s="42" t="n">
        <x:v>48.23</x:v>
      </x:c>
      <x:c r="H179" s="42" t="n">
        <x:v>4894.26</x:v>
      </x:c>
      <x:c r="I179" s="39" t="n">
        <x:v>46205</x:v>
      </x:c>
    </x:row>
    <x:row r="180">
      <x:c r="A180" s="21" t="str">
        <x:v>SYN-0051</x:v>
      </x:c>
      <x:c r="B180" s="21" t="str">
        <x:v>Synthetic Supplier 0051 LLC</x:v>
      </x:c>
      <x:c r="C180" s="38" t="str">
        <x:f>"900 000 000 000 051"</x:f>
        <x:v>900 000 000 000 051</x:v>
      </x:c>
      <x:c r="D180" s="21" t="str">
        <x:v>SYN-0051-INV-04</x:v>
      </x:c>
      <x:c r="E180" s="39" t="n">
        <x:v>46063</x:v>
      </x:c>
      <x:c r="F180" s="42" t="n">
        <x:v>1373.39</x:v>
      </x:c>
      <x:c r="G180" s="42" t="n">
        <x:v>68.67</x:v>
      </x:c>
      <x:c r="H180" s="42" t="n">
        <x:v>4894.26</x:v>
      </x:c>
      <x:c r="I180" s="39" t="n">
        <x:v>46205</x:v>
      </x:c>
    </x:row>
    <x:row r="181">
      <x:c r="A181" s="21" t="str">
        <x:v>SYN-0051</x:v>
      </x:c>
      <x:c r="B181" s="21" t="str">
        <x:v>Synthetic Supplier 0051 LLC</x:v>
      </x:c>
      <x:c r="C181" s="38" t="str">
        <x:f>"900 000 000 000 051"</x:f>
        <x:v>900 000 000 000 051</x:v>
      </x:c>
      <x:c r="D181" s="21" t="str">
        <x:v>SYN-0051-INV-05</x:v>
      </x:c>
      <x:c r="E181" s="39" t="n">
        <x:v>46110</x:v>
      </x:c>
      <x:c r="F181" s="42" t="n">
        <x:v>854.51</x:v>
      </x:c>
      <x:c r="G181" s="42" t="n">
        <x:v>42.73</x:v>
      </x:c>
      <x:c r="H181" s="42" t="n">
        <x:v>4894.26</x:v>
      </x:c>
      <x:c r="I181" s="39" t="n">
        <x:v>46205</x:v>
      </x:c>
    </x:row>
    <x:row r="182">
      <x:c r="A182" s="21" t="str">
        <x:v>SYN-0052</x:v>
      </x:c>
      <x:c r="B182" s="21" t="str">
        <x:v>Synthetic Supplier 0052 LLC</x:v>
      </x:c>
      <x:c r="C182" s="38" t="str">
        <x:f>"900 000 000 000 052"</x:f>
        <x:v>900 000 000 000 052</x:v>
      </x:c>
      <x:c r="D182" s="21" t="str">
        <x:v>SYN-0052-INV-01</x:v>
      </x:c>
      <x:c r="E182" s="39" t="n">
        <x:v>45935</x:v>
      </x:c>
      <x:c r="F182" s="42" t="n">
        <x:v>2955.35</x:v>
      </x:c>
      <x:c r="G182" s="42" t="n">
        <x:v>147.77</x:v>
      </x:c>
      <x:c r="H182" s="42" t="n">
        <x:v>5558.09</x:v>
      </x:c>
      <x:c r="I182" s="39" t="n">
        <x:v>45872</x:v>
      </x:c>
    </x:row>
    <x:row r="183">
      <x:c r="A183" s="21" t="str">
        <x:v>SYN-0052</x:v>
      </x:c>
      <x:c r="B183" s="21" t="str">
        <x:v>Synthetic Supplier 0052 LLC</x:v>
      </x:c>
      <x:c r="C183" s="38" t="str">
        <x:f>"900 000 000 000 052"</x:f>
        <x:v>900 000 000 000 052</x:v>
      </x:c>
      <x:c r="D183" s="21" t="str">
        <x:v>SYN-0052-INV-02</x:v>
      </x:c>
      <x:c r="E183" s="39" t="n">
        <x:v>45982</x:v>
      </x:c>
      <x:c r="F183" s="42" t="n">
        <x:v>3220.31</x:v>
      </x:c>
      <x:c r="G183" s="42" t="n">
        <x:v>161.02</x:v>
      </x:c>
      <x:c r="H183" s="42" t="n">
        <x:v>5558.09</x:v>
      </x:c>
      <x:c r="I183" s="39" t="n">
        <x:v>45872</x:v>
      </x:c>
    </x:row>
    <x:row r="184">
      <x:c r="A184" s="21" t="str">
        <x:v>SYN-0053</x:v>
      </x:c>
      <x:c r="B184" s="21" t="str">
        <x:v>Synthetic Supplier 0053 LLC</x:v>
      </x:c>
      <x:c r="C184" s="38" t="str">
        <x:f>"900 000 000 000 053"</x:f>
        <x:v>900 000 000 000 053</x:v>
      </x:c>
      <x:c r="D184" s="21" t="str">
        <x:v>SYN-0053-INV-01</x:v>
      </x:c>
      <x:c r="E184" s="39" t="n">
        <x:v>45948</x:v>
      </x:c>
      <x:c r="F184" s="42" t="n">
        <x:v>2640.1</x:v>
      </x:c>
      <x:c r="G184" s="42" t="n">
        <x:v>132</x:v>
      </x:c>
      <x:c r="H184" s="42" t="n">
        <x:v>8640.44</x:v>
      </x:c>
      <x:c r="I184" s="39" t="n">
        <x:v>46269</x:v>
      </x:c>
    </x:row>
    <x:row r="185">
      <x:c r="A185" s="21" t="str">
        <x:v>SYN-0053</x:v>
      </x:c>
      <x:c r="B185" s="21" t="str">
        <x:v>Synthetic Supplier 0053 LLC</x:v>
      </x:c>
      <x:c r="C185" s="38" t="str">
        <x:f>"900 000 000 000 053"</x:f>
        <x:v>900 000 000 000 053</x:v>
      </x:c>
      <x:c r="D185" s="21" t="str">
        <x:v>SYN-0053-INV-02</x:v>
      </x:c>
      <x:c r="E185" s="39" t="n">
        <x:v>45995</x:v>
      </x:c>
      <x:c r="F185" s="42" t="n">
        <x:v>4098.46</x:v>
      </x:c>
      <x:c r="G185" s="42" t="n">
        <x:v>204.92</x:v>
      </x:c>
      <x:c r="H185" s="42" t="n">
        <x:v>8640.44</x:v>
      </x:c>
      <x:c r="I185" s="39" t="n">
        <x:v>46269</x:v>
      </x:c>
    </x:row>
    <x:row r="186">
      <x:c r="A186" s="21" t="str">
        <x:v>SYN-0053</x:v>
      </x:c>
      <x:c r="B186" s="21" t="str">
        <x:v>Synthetic Supplier 0053 LLC</x:v>
      </x:c>
      <x:c r="C186" s="38" t="str">
        <x:f>"900 000 000 000 053"</x:f>
        <x:v>900 000 000 000 053</x:v>
      </x:c>
      <x:c r="D186" s="21" t="str">
        <x:v>SYN-0053-INV-03</x:v>
      </x:c>
      <x:c r="E186" s="39" t="n">
        <x:v>46042</x:v>
      </x:c>
      <x:c r="F186" s="42" t="n">
        <x:v>2861.93</x:v>
      </x:c>
      <x:c r="G186" s="42" t="n">
        <x:v>143.1</x:v>
      </x:c>
      <x:c r="H186" s="42" t="n">
        <x:v>8640.44</x:v>
      </x:c>
      <x:c r="I186" s="39" t="n">
        <x:v>46269</x:v>
      </x:c>
    </x:row>
    <x:row r="187">
      <x:c r="A187" s="21" t="str">
        <x:v>SYN-0054</x:v>
      </x:c>
      <x:c r="B187" s="21" t="str">
        <x:v>Synthetic Supplier 0054 LLC</x:v>
      </x:c>
      <x:c r="C187" s="38" t="str">
        <x:f>"900 000 000 000 054"</x:f>
        <x:v>900 000 000 000 054</x:v>
      </x:c>
      <x:c r="D187" s="21" t="str">
        <x:v>SYN-0054-INV-01</x:v>
      </x:c>
      <x:c r="E187" s="39" t="n">
        <x:v>45961</x:v>
      </x:c>
      <x:c r="F187" s="42" t="n">
        <x:v>2226.89</x:v>
      </x:c>
      <x:c r="G187" s="42" t="n">
        <x:v>111.34</x:v>
      </x:c>
      <x:c r="H187" s="42" t="n">
        <x:v>10141.48</x:v>
      </x:c>
      <x:c r="I187" s="39" t="n">
        <x:v>45662</x:v>
      </x:c>
    </x:row>
    <x:row r="188">
      <x:c r="A188" s="21" t="str">
        <x:v>SYN-0054</x:v>
      </x:c>
      <x:c r="B188" s="21" t="str">
        <x:v>Synthetic Supplier 0054 LLC</x:v>
      </x:c>
      <x:c r="C188" s="38" t="str">
        <x:f>"900 000 000 000 054"</x:f>
        <x:v>900 000 000 000 054</x:v>
      </x:c>
      <x:c r="D188" s="21" t="str">
        <x:v>SYN-0054-INV-02</x:v>
      </x:c>
      <x:c r="E188" s="39" t="n">
        <x:v>46008</x:v>
      </x:c>
      <x:c r="F188" s="42" t="n">
        <x:v>2604.61</x:v>
      </x:c>
      <x:c r="G188" s="42" t="n">
        <x:v>130.23</x:v>
      </x:c>
      <x:c r="H188" s="42" t="n">
        <x:v>10141.48</x:v>
      </x:c>
      <x:c r="I188" s="39" t="n">
        <x:v>45662</x:v>
      </x:c>
    </x:row>
    <x:row r="189">
      <x:c r="A189" s="21" t="str">
        <x:v>SYN-0054</x:v>
      </x:c>
      <x:c r="B189" s="21" t="str">
        <x:v>Synthetic Supplier 0054 LLC</x:v>
      </x:c>
      <x:c r="C189" s="38" t="str">
        <x:f>"900 000 000 000 054"</x:f>
        <x:v>900 000 000 000 054</x:v>
      </x:c>
      <x:c r="D189" s="21" t="str">
        <x:v>SYN-0054-INV-03</x:v>
      </x:c>
      <x:c r="E189" s="39" t="n">
        <x:v>46055</x:v>
      </x:c>
      <x:c r="F189" s="42" t="n">
        <x:v>3100.36</x:v>
      </x:c>
      <x:c r="G189" s="42" t="n">
        <x:v>155.02</x:v>
      </x:c>
      <x:c r="H189" s="42" t="n">
        <x:v>10141.48</x:v>
      </x:c>
      <x:c r="I189" s="39" t="n">
        <x:v>45662</x:v>
      </x:c>
    </x:row>
    <x:row r="190">
      <x:c r="A190" s="21" t="str">
        <x:v>SYN-0054</x:v>
      </x:c>
      <x:c r="B190" s="21" t="str">
        <x:v>Synthetic Supplier 0054 LLC</x:v>
      </x:c>
      <x:c r="C190" s="38" t="str">
        <x:f>"900 000 000 000 054"</x:f>
        <x:v>900 000 000 000 054</x:v>
      </x:c>
      <x:c r="D190" s="21" t="str">
        <x:v>SYN-0054-INV-04</x:v>
      </x:c>
      <x:c r="E190" s="39" t="n">
        <x:v>46102</x:v>
      </x:c>
      <x:c r="F190" s="42" t="n">
        <x:v>3336.45</x:v>
      </x:c>
      <x:c r="G190" s="42" t="n">
        <x:v>166.82</x:v>
      </x:c>
      <x:c r="H190" s="42" t="n">
        <x:v>10141.48</x:v>
      </x:c>
      <x:c r="I190" s="39" t="n">
        <x:v>45662</x:v>
      </x:c>
    </x:row>
    <x:row r="191">
      <x:c r="A191" s="21" t="str">
        <x:v>SYN-0055</x:v>
      </x:c>
      <x:c r="B191" s="21" t="str">
        <x:v>Synthetic Supplier 0055 LLC</x:v>
      </x:c>
      <x:c r="C191" s="38" t="str">
        <x:f>"900 000 000 000 055"</x:f>
        <x:v>900 000 000 000 055</x:v>
      </x:c>
      <x:c r="D191" s="21" t="str">
        <x:v>SYN-0055-INV-01</x:v>
      </x:c>
      <x:c r="E191" s="39" t="n">
        <x:v>45974</x:v>
      </x:c>
      <x:c r="F191" s="42" t="n">
        <x:v>3189.29</x:v>
      </x:c>
      <x:c r="G191" s="42" t="n">
        <x:v>159.46</x:v>
      </x:c>
      <x:c r="H191" s="42" t="n">
        <x:v>12341.7</x:v>
      </x:c>
      <x:c r="I191" s="39"/>
    </x:row>
    <x:row r="192">
      <x:c r="A192" s="21" t="str">
        <x:v>SYN-0055</x:v>
      </x:c>
      <x:c r="B192" s="21" t="str">
        <x:v>Synthetic Supplier 0055 LLC</x:v>
      </x:c>
      <x:c r="C192" s="38" t="str">
        <x:f>"900 000 000 000 055"</x:f>
        <x:v>900 000 000 000 055</x:v>
      </x:c>
      <x:c r="D192" s="21" t="str">
        <x:v>SYN-0055-INV-02</x:v>
      </x:c>
      <x:c r="E192" s="39" t="n">
        <x:v>46021</x:v>
      </x:c>
      <x:c r="F192" s="42" t="n">
        <x:v>2241.08</x:v>
      </x:c>
      <x:c r="G192" s="42" t="n">
        <x:v>112.05</x:v>
      </x:c>
      <x:c r="H192" s="42" t="n">
        <x:v>12341.7</x:v>
      </x:c>
      <x:c r="I192" s="39"/>
    </x:row>
    <x:row r="193">
      <x:c r="A193" s="21" t="str">
        <x:v>SYN-0055</x:v>
      </x:c>
      <x:c r="B193" s="21" t="str">
        <x:v>Synthetic Supplier 0055 LLC</x:v>
      </x:c>
      <x:c r="C193" s="38" t="str">
        <x:f>"900 000 000 000 055"</x:f>
        <x:v>900 000 000 000 055</x:v>
      </x:c>
      <x:c r="D193" s="21" t="str">
        <x:v>SYN-0055-INV-03</x:v>
      </x:c>
      <x:c r="E193" s="39" t="n">
        <x:v>46068</x:v>
      </x:c>
      <x:c r="F193" s="42" t="n">
        <x:v>3304.34</x:v>
      </x:c>
      <x:c r="G193" s="42" t="n">
        <x:v>165.22</x:v>
      </x:c>
      <x:c r="H193" s="42" t="n">
        <x:v>12341.7</x:v>
      </x:c>
      <x:c r="I193" s="39"/>
    </x:row>
    <x:row r="194">
      <x:c r="A194" s="21" t="str">
        <x:v>SYN-0055</x:v>
      </x:c>
      <x:c r="B194" s="21" t="str">
        <x:v>Synthetic Supplier 0055 LLC</x:v>
      </x:c>
      <x:c r="C194" s="38" t="str">
        <x:f>"900 000 000 000 055"</x:f>
        <x:v>900 000 000 000 055</x:v>
      </x:c>
      <x:c r="D194" s="21" t="str">
        <x:v>SYN-0055-INV-04</x:v>
      </x:c>
      <x:c r="E194" s="39" t="n">
        <x:v>46115</x:v>
      </x:c>
      <x:c r="F194" s="42" t="n">
        <x:v>2600.01</x:v>
      </x:c>
      <x:c r="G194" s="42" t="n">
        <x:v>130</x:v>
      </x:c>
      <x:c r="H194" s="42" t="n">
        <x:v>12341.7</x:v>
      </x:c>
      <x:c r="I194" s="39"/>
    </x:row>
    <x:row r="195">
      <x:c r="A195" s="21" t="str">
        <x:v>SYN-0055</x:v>
      </x:c>
      <x:c r="B195" s="21" t="str">
        <x:v>Synthetic Supplier 0055 LLC</x:v>
      </x:c>
      <x:c r="C195" s="38" t="str">
        <x:f>"900 000 000 000 055"</x:f>
        <x:v>900 000 000 000 055</x:v>
      </x:c>
      <x:c r="D195" s="21" t="str">
        <x:v>SYN-0055-INV-05</x:v>
      </x:c>
      <x:c r="E195" s="39" t="n">
        <x:v>46162</x:v>
      </x:c>
      <x:c r="F195" s="42" t="n">
        <x:v>2378.28</x:v>
      </x:c>
      <x:c r="G195" s="42" t="n">
        <x:v>118.91</x:v>
      </x:c>
      <x:c r="H195" s="42" t="n">
        <x:v>12341.7</x:v>
      </x:c>
      <x:c r="I195" s="39"/>
    </x:row>
    <x:row r="196">
      <x:c r="A196" s="21" t="str">
        <x:v>SYN-0056</x:v>
      </x:c>
      <x:c r="B196" s="21" t="str">
        <x:v>Synthetic Supplier 0056 LLC</x:v>
      </x:c>
      <x:c r="C196" s="38" t="str">
        <x:f>"900 000 000 000 056"</x:f>
        <x:v>900 000 000 000 056</x:v>
      </x:c>
      <x:c r="D196" s="21" t="str">
        <x:v>SYN-0056-INV-01</x:v>
      </x:c>
      <x:c r="E196" s="39" t="n">
        <x:v>45987</x:v>
      </x:c>
      <x:c r="F196" s="42" t="n">
        <x:v>7046.87</x:v>
      </x:c>
      <x:c r="G196" s="42" t="n">
        <x:v>352.34</x:v>
      </x:c>
      <x:c r="H196" s="42" t="n">
        <x:v>50719.42</x:v>
      </x:c>
      <x:c r="I196" s="39" t="n">
        <x:v>45723</x:v>
      </x:c>
    </x:row>
    <x:row r="197">
      <x:c r="A197" s="21" t="str">
        <x:v>SYN-0056</x:v>
      </x:c>
      <x:c r="B197" s="21" t="str">
        <x:v>Synthetic Supplier 0056 LLC</x:v>
      </x:c>
      <x:c r="C197" s="38" t="str">
        <x:f>"900 000 000 000 056"</x:f>
        <x:v>900 000 000 000 056</x:v>
      </x:c>
      <x:c r="D197" s="21" t="str">
        <x:v>SYN-0056-INV-02</x:v>
      </x:c>
      <x:c r="E197" s="39" t="n">
        <x:v>46034</x:v>
      </x:c>
      <x:c r="F197" s="42" t="n">
        <x:v>4224.12</x:v>
      </x:c>
      <x:c r="G197" s="42" t="n">
        <x:v>211.21</x:v>
      </x:c>
      <x:c r="H197" s="42" t="n">
        <x:v>50719.42</x:v>
      </x:c>
      <x:c r="I197" s="39" t="n">
        <x:v>45723</x:v>
      </x:c>
    </x:row>
    <x:row r="198">
      <x:c r="A198" s="21" t="str">
        <x:v>SYN-0057</x:v>
      </x:c>
      <x:c r="B198" s="21" t="str">
        <x:v>Synthetic Supplier 0057 LLC</x:v>
      </x:c>
      <x:c r="C198" s="38" t="str">
        <x:f>"900 000 000 000 057"</x:f>
        <x:v>900 000 000 000 057</x:v>
      </x:c>
      <x:c r="D198" s="21" t="str">
        <x:v>SYN-0057-INV-01</x:v>
      </x:c>
      <x:c r="E198" s="39" t="n">
        <x:v>46000</x:v>
      </x:c>
      <x:c r="F198" s="42" t="n">
        <x:v>2534.58</x:v>
      </x:c>
      <x:c r="G198" s="42" t="n">
        <x:v>126.73</x:v>
      </x:c>
      <x:c r="H198" s="42" t="n">
        <x:v>6599.46</x:v>
      </x:c>
      <x:c r="I198" s="39" t="n">
        <x:v>46120</x:v>
      </x:c>
    </x:row>
    <x:row r="199">
      <x:c r="A199" s="21" t="str">
        <x:v>SYN-0057</x:v>
      </x:c>
      <x:c r="B199" s="21" t="str">
        <x:v>Synthetic Supplier 0057 LLC</x:v>
      </x:c>
      <x:c r="C199" s="38" t="str">
        <x:f>"900 000 000 000 057"</x:f>
        <x:v>900 000 000 000 057</x:v>
      </x:c>
      <x:c r="D199" s="21" t="str">
        <x:v>SYN-0057-INV-02</x:v>
      </x:c>
      <x:c r="E199" s="39" t="n">
        <x:v>46047</x:v>
      </x:c>
      <x:c r="F199" s="42" t="n">
        <x:v>3232.96</x:v>
      </x:c>
      <x:c r="G199" s="42" t="n">
        <x:v>161.65</x:v>
      </x:c>
      <x:c r="H199" s="42" t="n">
        <x:v>6599.46</x:v>
      </x:c>
      <x:c r="I199" s="39" t="n">
        <x:v>46120</x:v>
      </x:c>
    </x:row>
    <x:row r="200">
      <x:c r="A200" s="21" t="str">
        <x:v>SYN-0057</x:v>
      </x:c>
      <x:c r="B200" s="21" t="str">
        <x:v>Synthetic Supplier 0057 LLC</x:v>
      </x:c>
      <x:c r="C200" s="38" t="str">
        <x:f>"900 000 000 000 057"</x:f>
        <x:v>900 000 000 000 057</x:v>
      </x:c>
      <x:c r="D200" s="21" t="str">
        <x:v>SYN-0057-INV-03</x:v>
      </x:c>
      <x:c r="E200" s="39" t="n">
        <x:v>46094</x:v>
      </x:c>
      <x:c r="F200" s="42" t="n">
        <x:v>1565.2</x:v>
      </x:c>
      <x:c r="G200" s="42" t="n">
        <x:v>78.26</x:v>
      </x:c>
      <x:c r="H200" s="42" t="n">
        <x:v>6599.46</x:v>
      </x:c>
      <x:c r="I200" s="39" t="n">
        <x:v>46120</x:v>
      </x:c>
    </x:row>
    <x:row r="201">
      <x:c r="A201" s="21" t="str">
        <x:v>SYN-0058</x:v>
      </x:c>
      <x:c r="B201" s="21" t="str">
        <x:v>Synthetic Supplier 0058 LLC</x:v>
      </x:c>
      <x:c r="C201" s="38" t="str">
        <x:f>"900 000 000 000 058"</x:f>
        <x:v>900 000 000 000 058</x:v>
      </x:c>
      <x:c r="D201" s="21" t="str">
        <x:v>SYN-0058-INV-01</x:v>
      </x:c>
      <x:c r="E201" s="39" t="n">
        <x:v>46013</x:v>
      </x:c>
      <x:c r="F201" s="42" t="n">
        <x:v>4259.54</x:v>
      </x:c>
      <x:c r="G201" s="42" t="n">
        <x:v>212.98</x:v>
      </x:c>
      <x:c r="H201" s="42" t="n">
        <x:v>17677.37</x:v>
      </x:c>
      <x:c r="I201" s="39" t="n">
        <x:v>45786</x:v>
      </x:c>
    </x:row>
    <x:row r="202">
      <x:c r="A202" s="21" t="str">
        <x:v>SYN-0058</x:v>
      </x:c>
      <x:c r="B202" s="21" t="str">
        <x:v>Synthetic Supplier 0058 LLC</x:v>
      </x:c>
      <x:c r="C202" s="38" t="str">
        <x:f>"900 000 000 000 058"</x:f>
        <x:v>900 000 000 000 058</x:v>
      </x:c>
      <x:c r="D202" s="21" t="str">
        <x:v>SYN-0058-INV-02</x:v>
      </x:c>
      <x:c r="E202" s="39" t="n">
        <x:v>46060</x:v>
      </x:c>
      <x:c r="F202" s="42" t="n">
        <x:v>6259.99</x:v>
      </x:c>
      <x:c r="G202" s="42" t="n">
        <x:v>313</x:v>
      </x:c>
      <x:c r="H202" s="42" t="n">
        <x:v>17677.37</x:v>
      </x:c>
      <x:c r="I202" s="39" t="n">
        <x:v>45786</x:v>
      </x:c>
    </x:row>
    <x:row r="203">
      <x:c r="A203" s="21" t="str">
        <x:v>SYN-0058</x:v>
      </x:c>
      <x:c r="B203" s="21" t="str">
        <x:v>Synthetic Supplier 0058 LLC</x:v>
      </x:c>
      <x:c r="C203" s="38" t="str">
        <x:f>"900 000 000 000 058"</x:f>
        <x:v>900 000 000 000 058</x:v>
      </x:c>
      <x:c r="D203" s="21" t="str">
        <x:v>SYN-0058-INV-03</x:v>
      </x:c>
      <x:c r="E203" s="39" t="n">
        <x:v>46107</x:v>
      </x:c>
      <x:c r="F203" s="42" t="n">
        <x:v>3938.97</x:v>
      </x:c>
      <x:c r="G203" s="42" t="n">
        <x:v>196.95</x:v>
      </x:c>
      <x:c r="H203" s="42" t="n">
        <x:v>17677.37</x:v>
      </x:c>
      <x:c r="I203" s="39" t="n">
        <x:v>45786</x:v>
      </x:c>
    </x:row>
    <x:row r="204">
      <x:c r="A204" s="21" t="str">
        <x:v>SYN-0058</x:v>
      </x:c>
      <x:c r="B204" s="21" t="str">
        <x:v>Synthetic Supplier 0058 LLC</x:v>
      </x:c>
      <x:c r="C204" s="38" t="str">
        <x:f>"900 000 000 000 058"</x:f>
        <x:v>900 000 000 000 058</x:v>
      </x:c>
      <x:c r="D204" s="21" t="str">
        <x:v>SYN-0058-INV-04</x:v>
      </x:c>
      <x:c r="E204" s="39" t="n">
        <x:v>46154</x:v>
      </x:c>
      <x:c r="F204" s="42" t="n">
        <x:v>5183.03</x:v>
      </x:c>
      <x:c r="G204" s="42" t="n">
        <x:v>259.15</x:v>
      </x:c>
      <x:c r="H204" s="42" t="n">
        <x:v>17677.37</x:v>
      </x:c>
      <x:c r="I204" s="39" t="n">
        <x:v>45786</x:v>
      </x:c>
    </x:row>
    <x:row r="205">
      <x:c r="A205" s="21" t="str">
        <x:v>SYN-0059</x:v>
      </x:c>
      <x:c r="B205" s="21" t="str">
        <x:v>Synthetic Supplier 0059 LLC</x:v>
      </x:c>
      <x:c r="C205" s="38" t="str">
        <x:f>"900 000 000 000 059"</x:f>
        <x:v>900 000 000 000 059</x:v>
      </x:c>
      <x:c r="D205" s="21" t="str">
        <x:v>SYN-0059-INV-01</x:v>
      </x:c>
      <x:c r="E205" s="39" t="n">
        <x:v>46026</x:v>
      </x:c>
      <x:c r="F205" s="42" t="n">
        <x:v>2139.54</x:v>
      </x:c>
      <x:c r="G205" s="42" t="n">
        <x:v>106.98</x:v>
      </x:c>
      <x:c r="H205" s="42" t="n">
        <x:v>14043.49</x:v>
      </x:c>
      <x:c r="I205" s="39" t="n">
        <x:v>46183</x:v>
      </x:c>
    </x:row>
    <x:row r="206">
      <x:c r="A206" s="21" t="str">
        <x:v>SYN-0059</x:v>
      </x:c>
      <x:c r="B206" s="21" t="str">
        <x:v>Synthetic Supplier 0059 LLC</x:v>
      </x:c>
      <x:c r="C206" s="38" t="str">
        <x:f>"900 000 000 000 059"</x:f>
        <x:v>900 000 000 000 059</x:v>
      </x:c>
      <x:c r="D206" s="21" t="str">
        <x:v>SYN-0059-INV-02</x:v>
      </x:c>
      <x:c r="E206" s="39" t="n">
        <x:v>46073</x:v>
      </x:c>
      <x:c r="F206" s="42" t="n">
        <x:v>2380.14</x:v>
      </x:c>
      <x:c r="G206" s="42" t="n">
        <x:v>119.01</x:v>
      </x:c>
      <x:c r="H206" s="42" t="n">
        <x:v>14043.49</x:v>
      </x:c>
      <x:c r="I206" s="39" t="n">
        <x:v>46183</x:v>
      </x:c>
    </x:row>
    <x:row r="207">
      <x:c r="A207" s="21" t="str">
        <x:v>SYN-0059</x:v>
      </x:c>
      <x:c r="B207" s="21" t="str">
        <x:v>Synthetic Supplier 0059 LLC</x:v>
      </x:c>
      <x:c r="C207" s="38" t="str">
        <x:f>"900 000 000 000 059"</x:f>
        <x:v>900 000 000 000 059</x:v>
      </x:c>
      <x:c r="D207" s="21" t="str">
        <x:v>SYN-0059-INV-03</x:v>
      </x:c>
      <x:c r="E207" s="39" t="n">
        <x:v>46120</x:v>
      </x:c>
      <x:c r="F207" s="42" t="n">
        <x:v>4539.71</x:v>
      </x:c>
      <x:c r="G207" s="42" t="n">
        <x:v>226.99</x:v>
      </x:c>
      <x:c r="H207" s="42" t="n">
        <x:v>14043.49</x:v>
      </x:c>
      <x:c r="I207" s="39" t="n">
        <x:v>46183</x:v>
      </x:c>
    </x:row>
    <x:row r="208">
      <x:c r="A208" s="21" t="str">
        <x:v>SYN-0059</x:v>
      </x:c>
      <x:c r="B208" s="21" t="str">
        <x:v>Synthetic Supplier 0059 LLC</x:v>
      </x:c>
      <x:c r="C208" s="38" t="str">
        <x:f>"900 000 000 000 059"</x:f>
        <x:v>900 000 000 000 059</x:v>
      </x:c>
      <x:c r="D208" s="21" t="str">
        <x:v>SYN-0059-INV-04</x:v>
      </x:c>
      <x:c r="E208" s="39" t="n">
        <x:v>46167</x:v>
      </x:c>
      <x:c r="F208" s="42" t="n">
        <x:v>2724.65</x:v>
      </x:c>
      <x:c r="G208" s="42" t="n">
        <x:v>136.23</x:v>
      </x:c>
      <x:c r="H208" s="42" t="n">
        <x:v>14043.49</x:v>
      </x:c>
      <x:c r="I208" s="39" t="n">
        <x:v>46183</x:v>
      </x:c>
    </x:row>
    <x:row r="209">
      <x:c r="A209" s="21" t="str">
        <x:v>SYN-0059</x:v>
      </x:c>
      <x:c r="B209" s="21" t="str">
        <x:v>Synthetic Supplier 0059 LLC</x:v>
      </x:c>
      <x:c r="C209" s="38" t="str">
        <x:f>"900 000 000 000 059"</x:f>
        <x:v>900 000 000 000 059</x:v>
      </x:c>
      <x:c r="D209" s="21" t="str">
        <x:v>SYN-0059-INV-05</x:v>
      </x:c>
      <x:c r="E209" s="39" t="n">
        <x:v>46214</x:v>
      </x:c>
      <x:c r="F209" s="42" t="n">
        <x:v>3819.85</x:v>
      </x:c>
      <x:c r="G209" s="42" t="n">
        <x:v>190.99</x:v>
      </x:c>
      <x:c r="H209" s="42" t="n">
        <x:v>14043.49</x:v>
      </x:c>
      <x:c r="I209" s="39" t="n">
        <x:v>46183</x:v>
      </x:c>
    </x:row>
    <x:row r="210">
      <x:c r="A210" s="21" t="str">
        <x:v>SYN-0060</x:v>
      </x:c>
      <x:c r="B210" s="21" t="str">
        <x:v>Synthetic Supplier 0060 LLC</x:v>
      </x:c>
      <x:c r="C210" s="38" t="str">
        <x:f>"900 000 000 000 060"</x:f>
        <x:v>900 000 000 000 060</x:v>
      </x:c>
      <x:c r="D210" s="21" t="str">
        <x:v>SYN-0060-INV-01</x:v>
      </x:c>
      <x:c r="E210" s="39" t="n">
        <x:v>46039</x:v>
      </x:c>
      <x:c r="F210" s="42" t="n">
        <x:v>3598.99</x:v>
      </x:c>
      <x:c r="G210" s="42" t="n">
        <x:v>179.95</x:v>
      </x:c>
      <x:c r="H210" s="42" t="n">
        <x:v>8364.22</x:v>
      </x:c>
      <x:c r="I210" s="39"/>
    </x:row>
    <x:row r="211">
      <x:c r="A211" s="21" t="str">
        <x:v>SYN-0060</x:v>
      </x:c>
      <x:c r="B211" s="21" t="str">
        <x:v>Synthetic Supplier 0060 LLC</x:v>
      </x:c>
      <x:c r="C211" s="38" t="str">
        <x:f>"900 000 000 000 060"</x:f>
        <x:v>900 000 000 000 060</x:v>
      </x:c>
      <x:c r="D211" s="21" t="str">
        <x:v>SYN-0060-INV-02</x:v>
      </x:c>
      <x:c r="E211" s="39" t="n">
        <x:v>46086</x:v>
      </x:c>
      <x:c r="F211" s="42" t="n">
        <x:v>5694.59</x:v>
      </x:c>
      <x:c r="G211" s="42" t="n">
        <x:v>284.73</x:v>
      </x:c>
      <x:c r="H211" s="42" t="n">
        <x:v>8364.22</x:v>
      </x:c>
      <x:c r="I211" s="39"/>
    </x:row>
    <x:row r="212">
      <x:c r="A212" s="21" t="str">
        <x:v>SYN-0061</x:v>
      </x:c>
      <x:c r="B212" s="21" t="str">
        <x:v>Synthetic Supplier 0061 LLC</x:v>
      </x:c>
      <x:c r="C212" s="38" t="str">
        <x:f>"900 000 000 000 061"</x:f>
        <x:v>900 000 000 000 061</x:v>
      </x:c>
      <x:c r="D212" s="21" t="str">
        <x:v>SYN-0061-INV-01</x:v>
      </x:c>
      <x:c r="E212" s="39" t="n">
        <x:v>46052</x:v>
      </x:c>
      <x:c r="F212" s="42" t="n">
        <x:v>7914.77</x:v>
      </x:c>
      <x:c r="G212" s="42" t="n">
        <x:v>395.74</x:v>
      </x:c>
      <x:c r="H212" s="42" t="n">
        <x:v>18001.76</x:v>
      </x:c>
      <x:c r="I212" s="39" t="n">
        <x:v>46246</x:v>
      </x:c>
    </x:row>
    <x:row r="213">
      <x:c r="A213" s="21" t="str">
        <x:v>SYN-0061</x:v>
      </x:c>
      <x:c r="B213" s="21" t="str">
        <x:v>Synthetic Supplier 0061 LLC</x:v>
      </x:c>
      <x:c r="C213" s="38" t="str">
        <x:f>"900 000 000 000 061"</x:f>
        <x:v>900 000 000 000 061</x:v>
      </x:c>
      <x:c r="D213" s="21" t="str">
        <x:v>SYN-0061-INV-02</x:v>
      </x:c>
      <x:c r="E213" s="39" t="n">
        <x:v>46099</x:v>
      </x:c>
      <x:c r="F213" s="42" t="n">
        <x:v>5745.19</x:v>
      </x:c>
      <x:c r="G213" s="42" t="n">
        <x:v>287.26</x:v>
      </x:c>
      <x:c r="H213" s="42" t="n">
        <x:v>18001.76</x:v>
      </x:c>
      <x:c r="I213" s="39" t="n">
        <x:v>46246</x:v>
      </x:c>
    </x:row>
    <x:row r="214">
      <x:c r="A214" s="21" t="str">
        <x:v>SYN-0061</x:v>
      </x:c>
      <x:c r="B214" s="21" t="str">
        <x:v>Synthetic Supplier 0061 LLC</x:v>
      </x:c>
      <x:c r="C214" s="38" t="str">
        <x:f>"900 000 000 000 061"</x:f>
        <x:v>900 000 000 000 061</x:v>
      </x:c>
      <x:c r="D214" s="21" t="str">
        <x:v>SYN-0061-INV-03</x:v>
      </x:c>
      <x:c r="E214" s="39" t="n">
        <x:v>46146</x:v>
      </x:c>
      <x:c r="F214" s="42" t="n">
        <x:v>6341.99</x:v>
      </x:c>
      <x:c r="G214" s="42" t="n">
        <x:v>317.1</x:v>
      </x:c>
      <x:c r="H214" s="42" t="n">
        <x:v>18001.76</x:v>
      </x:c>
      <x:c r="I214" s="39" t="n">
        <x:v>46246</x:v>
      </x:c>
    </x:row>
    <x:row r="215">
      <x:c r="A215" s="21" t="str">
        <x:v>SYN-0062</x:v>
      </x:c>
      <x:c r="B215" s="21" t="str">
        <x:v>Synthetic Supplier 0062 LLC</x:v>
      </x:c>
      <x:c r="C215" s="38" t="str">
        <x:f>"900 000 000 000 062"</x:f>
        <x:v>900 000 000 000 062</x:v>
      </x:c>
      <x:c r="D215" s="21" t="str">
        <x:v>SYN-0062-INV-01</x:v>
      </x:c>
      <x:c r="E215" s="39" t="n">
        <x:v>46065</x:v>
      </x:c>
      <x:c r="F215" s="42" t="n">
        <x:v>5363.66</x:v>
      </x:c>
      <x:c r="G215" s="42" t="n">
        <x:v>268.18</x:v>
      </x:c>
      <x:c r="H215" s="42" t="n">
        <x:v>26041.98</x:v>
      </x:c>
      <x:c r="I215" s="39" t="n">
        <x:v>45913</x:v>
      </x:c>
    </x:row>
    <x:row r="216">
      <x:c r="A216" s="21" t="str">
        <x:v>SYN-0062</x:v>
      </x:c>
      <x:c r="B216" s="21" t="str">
        <x:v>Synthetic Supplier 0062 LLC</x:v>
      </x:c>
      <x:c r="C216" s="38" t="str">
        <x:f>"900 000 000 000 062"</x:f>
        <x:v>900 000 000 000 062</x:v>
      </x:c>
      <x:c r="D216" s="21" t="str">
        <x:v>SYN-0062-INV-02</x:v>
      </x:c>
      <x:c r="E216" s="39" t="n">
        <x:v>46112</x:v>
      </x:c>
      <x:c r="F216" s="42" t="n">
        <x:v>9238.56</x:v>
      </x:c>
      <x:c r="G216" s="42" t="n">
        <x:v>461.93</x:v>
      </x:c>
      <x:c r="H216" s="42" t="n">
        <x:v>26041.98</x:v>
      </x:c>
      <x:c r="I216" s="39" t="n">
        <x:v>45913</x:v>
      </x:c>
    </x:row>
    <x:row r="217">
      <x:c r="A217" s="21" t="str">
        <x:v>SYN-0062</x:v>
      </x:c>
      <x:c r="B217" s="21" t="str">
        <x:v>Synthetic Supplier 0062 LLC</x:v>
      </x:c>
      <x:c r="C217" s="38" t="str">
        <x:f>"900 000 000 000 062"</x:f>
        <x:v>900 000 000 000 062</x:v>
      </x:c>
      <x:c r="D217" s="21" t="str">
        <x:v>SYN-0062-INV-03</x:v>
      </x:c>
      <x:c r="E217" s="39" t="n">
        <x:v>46159</x:v>
      </x:c>
      <x:c r="F217" s="42" t="n">
        <x:v>8623.38</x:v>
      </x:c>
      <x:c r="G217" s="42" t="n">
        <x:v>431.17</x:v>
      </x:c>
      <x:c r="H217" s="42" t="n">
        <x:v>26041.98</x:v>
      </x:c>
      <x:c r="I217" s="39" t="n">
        <x:v>45913</x:v>
      </x:c>
    </x:row>
    <x:row r="218">
      <x:c r="A218" s="21" t="str">
        <x:v>SYN-0062</x:v>
      </x:c>
      <x:c r="B218" s="21" t="str">
        <x:v>Synthetic Supplier 0062 LLC</x:v>
      </x:c>
      <x:c r="C218" s="38" t="str">
        <x:f>"900 000 000 000 062"</x:f>
        <x:v>900 000 000 000 062</x:v>
      </x:c>
      <x:c r="D218" s="21" t="str">
        <x:v>SYN-0062-INV-04</x:v>
      </x:c>
      <x:c r="E218" s="39" t="n">
        <x:v>46206</x:v>
      </x:c>
      <x:c r="F218" s="42" t="n">
        <x:v>5709.93</x:v>
      </x:c>
      <x:c r="G218" s="42" t="n">
        <x:v>285.5</x:v>
      </x:c>
      <x:c r="H218" s="42" t="n">
        <x:v>26041.98</x:v>
      </x:c>
      <x:c r="I218" s="39" t="n">
        <x:v>45913</x:v>
      </x:c>
    </x:row>
    <x:row r="219">
      <x:c r="A219" s="21" t="str">
        <x:v>SYN-0063</x:v>
      </x:c>
      <x:c r="B219" s="21" t="str">
        <x:v>Synthetic Supplier 0063 LLC</x:v>
      </x:c>
      <x:c r="C219" s="38" t="str">
        <x:f>"900 000 000 000 063"</x:f>
        <x:v>900 000 000 000 063</x:v>
      </x:c>
      <x:c r="D219" s="21" t="str">
        <x:v>SYN-0063-INV-01</x:v>
      </x:c>
      <x:c r="E219" s="39" t="n">
        <x:v>46078</x:v>
      </x:c>
      <x:c r="F219" s="42" t="n">
        <x:v>6119.58</x:v>
      </x:c>
      <x:c r="G219" s="42" t="n">
        <x:v>305.98</x:v>
      </x:c>
      <x:c r="H219" s="42" t="n">
        <x:v>106022.01</x:v>
      </x:c>
      <x:c r="I219" s="39" t="n">
        <x:v>46036</x:v>
      </x:c>
    </x:row>
    <x:row r="220">
      <x:c r="A220" s="21" t="str">
        <x:v>SYN-0063</x:v>
      </x:c>
      <x:c r="B220" s="21" t="str">
        <x:v>Synthetic Supplier 0063 LLC</x:v>
      </x:c>
      <x:c r="C220" s="38" t="str">
        <x:f>"900 000 000 000 063"</x:f>
        <x:v>900 000 000 000 063</x:v>
      </x:c>
      <x:c r="D220" s="21" t="str">
        <x:v>SYN-0063-INV-02</x:v>
      </x:c>
      <x:c r="E220" s="39" t="n">
        <x:v>46125</x:v>
      </x:c>
      <x:c r="F220" s="42" t="n">
        <x:v>4336.92</x:v>
      </x:c>
      <x:c r="G220" s="42" t="n">
        <x:v>216.85</x:v>
      </x:c>
      <x:c r="H220" s="42" t="n">
        <x:v>106022.01</x:v>
      </x:c>
      <x:c r="I220" s="39" t="n">
        <x:v>46036</x:v>
      </x:c>
    </x:row>
    <x:row r="221">
      <x:c r="A221" s="21" t="str">
        <x:v>SYN-0063</x:v>
      </x:c>
      <x:c r="B221" s="21" t="str">
        <x:v>Synthetic Supplier 0063 LLC</x:v>
      </x:c>
      <x:c r="C221" s="38" t="str">
        <x:f>"900 000 000 000 063"</x:f>
        <x:v>900 000 000 000 063</x:v>
      </x:c>
      <x:c r="D221" s="21" t="str">
        <x:v>SYN-0063-INV-03</x:v>
      </x:c>
      <x:c r="E221" s="39" t="n">
        <x:v>46172</x:v>
      </x:c>
      <x:c r="F221" s="42" t="n">
        <x:v>3371.04</x:v>
      </x:c>
      <x:c r="G221" s="42" t="n">
        <x:v>168.55</x:v>
      </x:c>
      <x:c r="H221" s="42" t="n">
        <x:v>106022.01</x:v>
      </x:c>
      <x:c r="I221" s="39" t="n">
        <x:v>46036</x:v>
      </x:c>
    </x:row>
    <x:row r="222">
      <x:c r="A222" s="21" t="str">
        <x:v>SYN-0063</x:v>
      </x:c>
      <x:c r="B222" s="21" t="str">
        <x:v>Synthetic Supplier 0063 LLC</x:v>
      </x:c>
      <x:c r="C222" s="38" t="str">
        <x:f>"900 000 000 000 063"</x:f>
        <x:v>900 000 000 000 063</x:v>
      </x:c>
      <x:c r="D222" s="21" t="str">
        <x:v>SYN-0063-INV-04</x:v>
      </x:c>
      <x:c r="E222" s="39" t="n">
        <x:v>46219</x:v>
      </x:c>
      <x:c r="F222" s="42" t="n">
        <x:v>3410.27</x:v>
      </x:c>
      <x:c r="G222" s="42" t="n">
        <x:v>170.51</x:v>
      </x:c>
      <x:c r="H222" s="42" t="n">
        <x:v>106022.01</x:v>
      </x:c>
      <x:c r="I222" s="39" t="n">
        <x:v>46036</x:v>
      </x:c>
    </x:row>
    <x:row r="223">
      <x:c r="A223" s="21" t="str">
        <x:v>SYN-0063</x:v>
      </x:c>
      <x:c r="B223" s="21" t="str">
        <x:v>Synthetic Supplier 0063 LLC</x:v>
      </x:c>
      <x:c r="C223" s="38" t="str">
        <x:f>"900 000 000 000 063"</x:f>
        <x:v>900 000 000 000 063</x:v>
      </x:c>
      <x:c r="D223" s="21" t="str">
        <x:v>SYN-0063-INV-05</x:v>
      </x:c>
      <x:c r="E223" s="39" t="n">
        <x:v>46266</x:v>
      </x:c>
      <x:c r="F223" s="42" t="n">
        <x:v>6322.63</x:v>
      </x:c>
      <x:c r="G223" s="42" t="n">
        <x:v>316.13</x:v>
      </x:c>
      <x:c r="H223" s="42" t="n">
        <x:v>106022.01</x:v>
      </x:c>
      <x:c r="I223" s="39" t="n">
        <x:v>46036</x:v>
      </x:c>
    </x:row>
    <x:row r="224">
      <x:c r="A224" s="21" t="str">
        <x:v>SYN-0064</x:v>
      </x:c>
      <x:c r="B224" s="21" t="str">
        <x:v>Synthetic Supplier 0064 LLC</x:v>
      </x:c>
      <x:c r="C224" s="38" t="str">
        <x:f>"900 000 000 000 064"</x:f>
        <x:v>900 000 000 000 064</x:v>
      </x:c>
      <x:c r="D224" s="21" t="str">
        <x:v>SYN-0064-INV-01</x:v>
      </x:c>
      <x:c r="E224" s="39" t="n">
        <x:v>46091</x:v>
      </x:c>
      <x:c r="F224" s="42" t="n">
        <x:v>7124.56</x:v>
      </x:c>
      <x:c r="G224" s="42" t="n">
        <x:v>356.23</x:v>
      </x:c>
      <x:c r="H224" s="42" t="n">
        <x:v>10667.63</x:v>
      </x:c>
      <x:c r="I224" s="39" t="n">
        <x:v>45703</x:v>
      </x:c>
    </x:row>
    <x:row r="225">
      <x:c r="A225" s="21" t="str">
        <x:v>SYN-0064</x:v>
      </x:c>
      <x:c r="B225" s="21" t="str">
        <x:v>Synthetic Supplier 0064 LLC</x:v>
      </x:c>
      <x:c r="C225" s="38" t="str">
        <x:f>"900 000 000 000 064"</x:f>
        <x:v>900 000 000 000 064</x:v>
      </x:c>
      <x:c r="D225" s="21" t="str">
        <x:v>SYN-0064-INV-02</x:v>
      </x:c>
      <x:c r="E225" s="39" t="n">
        <x:v>46138</x:v>
      </x:c>
      <x:c r="F225" s="42" t="n">
        <x:v>4728.36</x:v>
      </x:c>
      <x:c r="G225" s="42" t="n">
        <x:v>236.42</x:v>
      </x:c>
      <x:c r="H225" s="42" t="n">
        <x:v>10667.63</x:v>
      </x:c>
      <x:c r="I225" s="39" t="n">
        <x:v>45703</x:v>
      </x:c>
    </x:row>
    <x:row r="226">
      <x:c r="A226" s="21" t="str">
        <x:v>SYN-0065</x:v>
      </x:c>
      <x:c r="B226" s="21" t="str">
        <x:v>Synthetic Supplier 0065 LLC</x:v>
      </x:c>
      <x:c r="C226" s="38" t="str">
        <x:f>"900 000 000 000 065"</x:f>
        <x:v>900 000 000 000 065</x:v>
      </x:c>
      <x:c r="D226" s="21" t="str">
        <x:v>SYN-0065-INV-01</x:v>
      </x:c>
      <x:c r="E226" s="39" t="n">
        <x:v>46104</x:v>
      </x:c>
      <x:c r="F226" s="42" t="n">
        <x:v>2920.33</x:v>
      </x:c>
      <x:c r="G226" s="42" t="n">
        <x:v>146.02</x:v>
      </x:c>
      <x:c r="H226" s="42" t="n">
        <x:v>8403.46</x:v>
      </x:c>
      <x:c r="I226" s="39"/>
    </x:row>
    <x:row r="227">
      <x:c r="A227" s="21" t="str">
        <x:v>SYN-0065</x:v>
      </x:c>
      <x:c r="B227" s="21" t="str">
        <x:v>Synthetic Supplier 0065 LLC</x:v>
      </x:c>
      <x:c r="C227" s="38" t="str">
        <x:f>"900 000 000 000 065"</x:f>
        <x:v>900 000 000 000 065</x:v>
      </x:c>
      <x:c r="D227" s="21" t="str">
        <x:v>SYN-0065-INV-02</x:v>
      </x:c>
      <x:c r="E227" s="39" t="n">
        <x:v>46151</x:v>
      </x:c>
      <x:c r="F227" s="42" t="n">
        <x:v>2277.6</x:v>
      </x:c>
      <x:c r="G227" s="42" t="n">
        <x:v>113.88</x:v>
      </x:c>
      <x:c r="H227" s="42" t="n">
        <x:v>8403.46</x:v>
      </x:c>
      <x:c r="I227" s="39"/>
    </x:row>
    <x:row r="228">
      <x:c r="A228" s="21" t="str">
        <x:v>SYN-0065</x:v>
      </x:c>
      <x:c r="B228" s="21" t="str">
        <x:v>Synthetic Supplier 0065 LLC</x:v>
      </x:c>
      <x:c r="C228" s="38" t="str">
        <x:f>"900 000 000 000 065"</x:f>
        <x:v>900 000 000 000 065</x:v>
      </x:c>
      <x:c r="D228" s="21" t="str">
        <x:v>SYN-0065-INV-03</x:v>
      </x:c>
      <x:c r="E228" s="39" t="n">
        <x:v>46198</x:v>
      </x:c>
      <x:c r="F228" s="42" t="n">
        <x:v>4139.25</x:v>
      </x:c>
      <x:c r="G228" s="42" t="n">
        <x:v>206.96</x:v>
      </x:c>
      <x:c r="H228" s="42" t="n">
        <x:v>8403.46</x:v>
      </x:c>
      <x:c r="I228" s="39"/>
    </x:row>
    <x:row r="229">
      <x:c r="A229" s="21" t="str">
        <x:v>SYN-0066</x:v>
      </x:c>
      <x:c r="B229" s="21" t="str">
        <x:v>Synthetic Supplier 0066 LLC</x:v>
      </x:c>
      <x:c r="C229" s="38" t="str">
        <x:f>"900 000 000 000 066"</x:f>
        <x:v>900 000 000 000 066</x:v>
      </x:c>
      <x:c r="D229" s="21" t="str">
        <x:v>SYN-0066-INV-01</x:v>
      </x:c>
      <x:c r="E229" s="39" t="n">
        <x:v>46117</x:v>
      </x:c>
      <x:c r="F229" s="42" t="n">
        <x:v>10491.3</x:v>
      </x:c>
      <x:c r="G229" s="42" t="n">
        <x:v>524.56</x:v>
      </x:c>
      <x:c r="H229" s="42" t="n">
        <x:v>25750.26</x:v>
      </x:c>
      <x:c r="I229" s="39" t="n">
        <x:v>45764</x:v>
      </x:c>
    </x:row>
    <x:row r="230">
      <x:c r="A230" s="21" t="str">
        <x:v>SYN-0066</x:v>
      </x:c>
      <x:c r="B230" s="21" t="str">
        <x:v>Synthetic Supplier 0066 LLC</x:v>
      </x:c>
      <x:c r="C230" s="38" t="str">
        <x:f>"900 000 000 000 066"</x:f>
        <x:v>900 000 000 000 066</x:v>
      </x:c>
      <x:c r="D230" s="21" t="str">
        <x:v>SYN-0066-INV-02</x:v>
      </x:c>
      <x:c r="E230" s="39" t="n">
        <x:v>46164</x:v>
      </x:c>
      <x:c r="F230" s="42" t="n">
        <x:v>8265.62</x:v>
      </x:c>
      <x:c r="G230" s="42" t="n">
        <x:v>413.28</x:v>
      </x:c>
      <x:c r="H230" s="42" t="n">
        <x:v>25750.26</x:v>
      </x:c>
      <x:c r="I230" s="39" t="n">
        <x:v>45764</x:v>
      </x:c>
    </x:row>
    <x:row r="231">
      <x:c r="A231" s="21" t="str">
        <x:v>SYN-0066</x:v>
      </x:c>
      <x:c r="B231" s="21" t="str">
        <x:v>Synthetic Supplier 0066 LLC</x:v>
      </x:c>
      <x:c r="C231" s="38" t="str">
        <x:f>"900 000 000 000 066"</x:f>
        <x:v>900 000 000 000 066</x:v>
      </x:c>
      <x:c r="D231" s="21" t="str">
        <x:v>SYN-0066-INV-03</x:v>
      </x:c>
      <x:c r="E231" s="39" t="n">
        <x:v>46211</x:v>
      </x:c>
      <x:c r="F231" s="42" t="n">
        <x:v>5279.54</x:v>
      </x:c>
      <x:c r="G231" s="42" t="n">
        <x:v>263.98</x:v>
      </x:c>
      <x:c r="H231" s="42" t="n">
        <x:v>25750.26</x:v>
      </x:c>
      <x:c r="I231" s="39" t="n">
        <x:v>45764</x:v>
      </x:c>
    </x:row>
    <x:row r="232">
      <x:c r="A232" s="21" t="str">
        <x:v>SYN-0066</x:v>
      </x:c>
      <x:c r="B232" s="21" t="str">
        <x:v>Synthetic Supplier 0066 LLC</x:v>
      </x:c>
      <x:c r="C232" s="38" t="str">
        <x:f>"900 000 000 000 066"</x:f>
        <x:v>900 000 000 000 066</x:v>
      </x:c>
      <x:c r="D232" s="21" t="str">
        <x:v>SYN-0066-INV-04</x:v>
      </x:c>
      <x:c r="E232" s="39" t="n">
        <x:v>46258</x:v>
      </x:c>
      <x:c r="F232" s="42" t="n">
        <x:v>4574.94</x:v>
      </x:c>
      <x:c r="G232" s="42" t="n">
        <x:v>228.75</x:v>
      </x:c>
      <x:c r="H232" s="42" t="n">
        <x:v>25750.26</x:v>
      </x:c>
      <x:c r="I232" s="39" t="n">
        <x:v>45764</x:v>
      </x:c>
    </x:row>
    <x:row r="233">
      <x:c r="A233" s="21" t="str">
        <x:v>SYN-0067</x:v>
      </x:c>
      <x:c r="B233" s="21" t="str">
        <x:v>Synthetic Supplier 0067 LLC</x:v>
      </x:c>
      <x:c r="C233" s="38" t="str">
        <x:f>"900 000 000 000 067"</x:f>
        <x:v>900 000 000 000 067</x:v>
      </x:c>
      <x:c r="D233" s="21" t="str">
        <x:v>SYN-0067-INV-01</x:v>
      </x:c>
      <x:c r="E233" s="39" t="n">
        <x:v>46130</x:v>
      </x:c>
      <x:c r="F233" s="42" t="n">
        <x:v>4286.15</x:v>
      </x:c>
      <x:c r="G233" s="42" t="n">
        <x:v>214.31</x:v>
      </x:c>
      <x:c r="H233" s="42" t="n">
        <x:v>17324.83</x:v>
      </x:c>
      <x:c r="I233" s="39" t="n">
        <x:v>46160</x:v>
      </x:c>
    </x:row>
    <x:row r="234">
      <x:c r="A234" s="21" t="str">
        <x:v>SYN-0067</x:v>
      </x:c>
      <x:c r="B234" s="21" t="str">
        <x:v>Synthetic Supplier 0067 LLC</x:v>
      </x:c>
      <x:c r="C234" s="38" t="str">
        <x:f>"900 000 000 000 067"</x:f>
        <x:v>900 000 000 000 067</x:v>
      </x:c>
      <x:c r="D234" s="21" t="str">
        <x:v>SYN-0067-INV-02</x:v>
      </x:c>
      <x:c r="E234" s="39" t="n">
        <x:v>46177</x:v>
      </x:c>
      <x:c r="F234" s="42" t="n">
        <x:v>3762.88</x:v>
      </x:c>
      <x:c r="G234" s="42" t="n">
        <x:v>188.14</x:v>
      </x:c>
      <x:c r="H234" s="42" t="n">
        <x:v>17324.83</x:v>
      </x:c>
      <x:c r="I234" s="39" t="n">
        <x:v>46160</x:v>
      </x:c>
    </x:row>
    <x:row r="235">
      <x:c r="A235" s="21" t="str">
        <x:v>SYN-0067</x:v>
      </x:c>
      <x:c r="B235" s="21" t="str">
        <x:v>Synthetic Supplier 0067 LLC</x:v>
      </x:c>
      <x:c r="C235" s="38" t="str">
        <x:f>"900 000 000 000 067"</x:f>
        <x:v>900 000 000 000 067</x:v>
      </x:c>
      <x:c r="D235" s="21" t="str">
        <x:v>SYN-0067-INV-03</x:v>
      </x:c>
      <x:c r="E235" s="39" t="n">
        <x:v>46224</x:v>
      </x:c>
      <x:c r="F235" s="42" t="n">
        <x:v>3303.36</x:v>
      </x:c>
      <x:c r="G235" s="42" t="n">
        <x:v>165.17</x:v>
      </x:c>
      <x:c r="H235" s="42" t="n">
        <x:v>17324.83</x:v>
      </x:c>
      <x:c r="I235" s="39" t="n">
        <x:v>46160</x:v>
      </x:c>
    </x:row>
    <x:row r="236">
      <x:c r="A236" s="21" t="str">
        <x:v>SYN-0067</x:v>
      </x:c>
      <x:c r="B236" s="21" t="str">
        <x:v>Synthetic Supplier 0067 LLC</x:v>
      </x:c>
      <x:c r="C236" s="38" t="str">
        <x:f>"900 000 000 000 067"</x:f>
        <x:v>900 000 000 000 067</x:v>
      </x:c>
      <x:c r="D236" s="21" t="str">
        <x:v>SYN-0067-INV-04</x:v>
      </x:c>
      <x:c r="E236" s="39" t="n">
        <x:v>46271</x:v>
      </x:c>
      <x:c r="F236" s="42" t="n">
        <x:v>3418.52</x:v>
      </x:c>
      <x:c r="G236" s="42" t="n">
        <x:v>170.93</x:v>
      </x:c>
      <x:c r="H236" s="42" t="n">
        <x:v>17324.83</x:v>
      </x:c>
      <x:c r="I236" s="39" t="n">
        <x:v>46160</x:v>
      </x:c>
    </x:row>
    <x:row r="237">
      <x:c r="A237" s="21" t="str">
        <x:v>SYN-0067</x:v>
      </x:c>
      <x:c r="B237" s="21" t="str">
        <x:v>Synthetic Supplier 0067 LLC</x:v>
      </x:c>
      <x:c r="C237" s="38" t="str">
        <x:f>"900 000 000 000 067"</x:f>
        <x:v>900 000 000 000 067</x:v>
      </x:c>
      <x:c r="D237" s="21" t="str">
        <x:v>SYN-0067-INV-05</x:v>
      </x:c>
      <x:c r="E237" s="39" t="n">
        <x:v>45958</x:v>
      </x:c>
      <x:c r="F237" s="42" t="n">
        <x:v>4478.9</x:v>
      </x:c>
      <x:c r="G237" s="42" t="n">
        <x:v>223.95</x:v>
      </x:c>
      <x:c r="H237" s="42" t="n">
        <x:v>17324.83</x:v>
      </x:c>
      <x:c r="I237" s="39" t="n">
        <x:v>46160</x:v>
      </x:c>
    </x:row>
    <x:row r="238">
      <x:c r="A238" s="21" t="str">
        <x:v>SYN-0068</x:v>
      </x:c>
      <x:c r="B238" s="21" t="str">
        <x:v>Synthetic Supplier 0068 LLC</x:v>
      </x:c>
      <x:c r="C238" s="38" t="str">
        <x:f>"900 000 000 000 068"</x:f>
        <x:v>900 000 000 000 068</x:v>
      </x:c>
      <x:c r="D238" s="21" t="str">
        <x:v>SYN-0068-INV-01</x:v>
      </x:c>
      <x:c r="E238" s="39" t="n">
        <x:v>46143</x:v>
      </x:c>
      <x:c r="F238" s="42" t="n">
        <x:v>13443.77</x:v>
      </x:c>
      <x:c r="G238" s="42" t="n">
        <x:v>672.19</x:v>
      </x:c>
      <x:c r="H238" s="42" t="n">
        <x:v>18608.72</x:v>
      </x:c>
      <x:c r="I238" s="39" t="n">
        <x:v>45827</x:v>
      </x:c>
    </x:row>
    <x:row r="239">
      <x:c r="A239" s="21" t="str">
        <x:v>SYN-0068</x:v>
      </x:c>
      <x:c r="B239" s="21" t="str">
        <x:v>Synthetic Supplier 0068 LLC</x:v>
      </x:c>
      <x:c r="C239" s="38" t="str">
        <x:f>"900 000 000 000 068"</x:f>
        <x:v>900 000 000 000 068</x:v>
      </x:c>
      <x:c r="D239" s="21" t="str">
        <x:v>SYN-0068-INV-02</x:v>
      </x:c>
      <x:c r="E239" s="39" t="n">
        <x:v>46190</x:v>
      </x:c>
      <x:c r="F239" s="42" t="n">
        <x:v>7232.58</x:v>
      </x:c>
      <x:c r="G239" s="42" t="n">
        <x:v>361.63</x:v>
      </x:c>
      <x:c r="H239" s="42" t="n">
        <x:v>18608.72</x:v>
      </x:c>
      <x:c r="I239" s="39" t="n">
        <x:v>45827</x:v>
      </x:c>
    </x:row>
    <x:row r="240">
      <x:c r="A240" s="21" t="str">
        <x:v>SYN-0069</x:v>
      </x:c>
      <x:c r="B240" s="21" t="str">
        <x:v>Synthetic Supplier 0069 LLC</x:v>
      </x:c>
      <x:c r="C240" s="38" t="str">
        <x:f>"900 000 000 000 069"</x:f>
        <x:v>900 000 000 000 069</x:v>
      </x:c>
      <x:c r="D240" s="21" t="str">
        <x:v>SYN-0069-INV-01</x:v>
      </x:c>
      <x:c r="E240" s="39" t="n">
        <x:v>46156</x:v>
      </x:c>
      <x:c r="F240" s="42" t="n">
        <x:v>6435.66</x:v>
      </x:c>
      <x:c r="G240" s="42" t="n">
        <x:v>321.78</x:v>
      </x:c>
      <x:c r="H240" s="42" t="n">
        <x:v>16432.51</x:v>
      </x:c>
      <x:c r="I240" s="39" t="n">
        <x:v>46223</x:v>
      </x:c>
    </x:row>
    <x:row r="241">
      <x:c r="A241" s="21" t="str">
        <x:v>SYN-0069</x:v>
      </x:c>
      <x:c r="B241" s="21" t="str">
        <x:v>Synthetic Supplier 0069 LLC</x:v>
      </x:c>
      <x:c r="C241" s="38" t="str">
        <x:f>"900 000 000 000 069"</x:f>
        <x:v>900 000 000 000 069</x:v>
      </x:c>
      <x:c r="D241" s="21" t="str">
        <x:v>SYN-0069-INV-02</x:v>
      </x:c>
      <x:c r="E241" s="39" t="n">
        <x:v>46203</x:v>
      </x:c>
      <x:c r="F241" s="42" t="n">
        <x:v>6878.84</x:v>
      </x:c>
      <x:c r="G241" s="42" t="n">
        <x:v>343.94</x:v>
      </x:c>
      <x:c r="H241" s="42" t="n">
        <x:v>16432.51</x:v>
      </x:c>
      <x:c r="I241" s="39" t="n">
        <x:v>46223</x:v>
      </x:c>
    </x:row>
    <x:row r="242">
      <x:c r="A242" s="21" t="str">
        <x:v>SYN-0069</x:v>
      </x:c>
      <x:c r="B242" s="21" t="str">
        <x:v>Synthetic Supplier 0069 LLC</x:v>
      </x:c>
      <x:c r="C242" s="38" t="str">
        <x:f>"900 000 000 000 069"</x:f>
        <x:v>900 000 000 000 069</x:v>
      </x:c>
      <x:c r="D242" s="21" t="str">
        <x:v>SYN-0069-INV-03</x:v>
      </x:c>
      <x:c r="E242" s="39" t="n">
        <x:v>46250</x:v>
      </x:c>
      <x:c r="F242" s="42" t="n">
        <x:v>4943.85</x:v>
      </x:c>
      <x:c r="G242" s="42" t="n">
        <x:v>247.19</x:v>
      </x:c>
      <x:c r="H242" s="42" t="n">
        <x:v>16432.51</x:v>
      </x:c>
      <x:c r="I242" s="39" t="n">
        <x:v>46223</x:v>
      </x:c>
    </x:row>
    <x:row r="243">
      <x:c r="A243" s="21" t="str">
        <x:v>SYN-0070</x:v>
      </x:c>
      <x:c r="B243" s="21" t="str">
        <x:v>Synthetic Supplier 0070 LLC</x:v>
      </x:c>
      <x:c r="C243" s="38" t="str">
        <x:f>"900 000 000 000 070"</x:f>
        <x:v>900 000 000 000 070</x:v>
      </x:c>
      <x:c r="D243" s="21" t="str">
        <x:v>SYN-0070-INV-01</x:v>
      </x:c>
      <x:c r="E243" s="39" t="n">
        <x:v>46169</x:v>
      </x:c>
      <x:c r="F243" s="42" t="n">
        <x:v>2568.1</x:v>
      </x:c>
      <x:c r="G243" s="42" t="n">
        <x:v>128.41</x:v>
      </x:c>
      <x:c r="H243" s="42" t="n">
        <x:v>39795.26</x:v>
      </x:c>
      <x:c r="I243" s="39"/>
    </x:row>
    <x:row r="244">
      <x:c r="A244" s="21" t="str">
        <x:v>SYN-0070</x:v>
      </x:c>
      <x:c r="B244" s="21" t="str">
        <x:v>Synthetic Supplier 0070 LLC</x:v>
      </x:c>
      <x:c r="C244" s="38" t="str">
        <x:f>"900 000 000 000 070"</x:f>
        <x:v>900 000 000 000 070</x:v>
      </x:c>
      <x:c r="D244" s="21" t="str">
        <x:v>SYN-0070-INV-02</x:v>
      </x:c>
      <x:c r="E244" s="39" t="n">
        <x:v>46216</x:v>
      </x:c>
      <x:c r="F244" s="42" t="n">
        <x:v>2127.35</x:v>
      </x:c>
      <x:c r="G244" s="42" t="n">
        <x:v>106.37</x:v>
      </x:c>
      <x:c r="H244" s="42" t="n">
        <x:v>39795.26</x:v>
      </x:c>
      <x:c r="I244" s="39"/>
    </x:row>
    <x:row r="245">
      <x:c r="A245" s="21" t="str">
        <x:v>SYN-0070</x:v>
      </x:c>
      <x:c r="B245" s="21" t="str">
        <x:v>Synthetic Supplier 0070 LLC</x:v>
      </x:c>
      <x:c r="C245" s="38" t="str">
        <x:f>"900 000 000 000 070"</x:f>
        <x:v>900 000 000 000 070</x:v>
      </x:c>
      <x:c r="D245" s="21" t="str">
        <x:v>SYN-0070-INV-03</x:v>
      </x:c>
      <x:c r="E245" s="39" t="n">
        <x:v>46263</x:v>
      </x:c>
      <x:c r="F245" s="42" t="n">
        <x:v>1927</x:v>
      </x:c>
      <x:c r="G245" s="42" t="n">
        <x:v>96.35</x:v>
      </x:c>
      <x:c r="H245" s="42" t="n">
        <x:v>39795.26</x:v>
      </x:c>
      <x:c r="I245" s="39"/>
    </x:row>
    <x:row r="246">
      <x:c r="A246" s="21" t="str">
        <x:v>SYN-0070</x:v>
      </x:c>
      <x:c r="B246" s="21" t="str">
        <x:v>Synthetic Supplier 0070 LLC</x:v>
      </x:c>
      <x:c r="C246" s="38" t="str">
        <x:f>"900 000 000 000 070"</x:f>
        <x:v>900 000 000 000 070</x:v>
      </x:c>
      <x:c r="D246" s="21" t="str">
        <x:v>SYN-0070-INV-04</x:v>
      </x:c>
      <x:c r="E246" s="39" t="n">
        <x:v>45950</x:v>
      </x:c>
      <x:c r="F246" s="42" t="n">
        <x:v>2220.94</x:v>
      </x:c>
      <x:c r="G246" s="42" t="n">
        <x:v>111.05</x:v>
      </x:c>
      <x:c r="H246" s="42" t="n">
        <x:v>39795.26</x:v>
      </x:c>
      <x:c r="I246" s="39"/>
    </x:row>
    <x:row r="247">
      <x:c r="A247" s="21" t="str">
        <x:v>SYN-0071</x:v>
      </x:c>
      <x:c r="B247" s="21" t="str">
        <x:v>Synthetic Supplier 0071 LLC</x:v>
      </x:c>
      <x:c r="C247" s="38" t="str">
        <x:f>"900 000 000 000 071"</x:f>
        <x:v>900 000 000 000 071</x:v>
      </x:c>
      <x:c r="D247" s="21" t="str">
        <x:v>SYN-0071-INV-01</x:v>
      </x:c>
      <x:c r="E247" s="39" t="n">
        <x:v>46182</x:v>
      </x:c>
      <x:c r="F247" s="42" t="n">
        <x:v>2578.51</x:v>
      </x:c>
      <x:c r="G247" s="42" t="n">
        <x:v>128.93</x:v>
      </x:c>
      <x:c r="H247" s="42" t="n">
        <x:v>14729.41</x:v>
      </x:c>
      <x:c r="I247" s="39" t="n">
        <x:v>46287</x:v>
      </x:c>
    </x:row>
    <x:row r="248">
      <x:c r="A248" s="21" t="str">
        <x:v>SYN-0071</x:v>
      </x:c>
      <x:c r="B248" s="21" t="str">
        <x:v>Synthetic Supplier 0071 LLC</x:v>
      </x:c>
      <x:c r="C248" s="38" t="str">
        <x:f>"900 000 000 000 071"</x:f>
        <x:v>900 000 000 000 071</x:v>
      </x:c>
      <x:c r="D248" s="21" t="str">
        <x:v>SYN-0071-INV-02</x:v>
      </x:c>
      <x:c r="E248" s="39" t="n">
        <x:v>46229</x:v>
      </x:c>
      <x:c r="F248" s="42" t="n">
        <x:v>3613.01</x:v>
      </x:c>
      <x:c r="G248" s="42" t="n">
        <x:v>180.65</x:v>
      </x:c>
      <x:c r="H248" s="42" t="n">
        <x:v>14729.41</x:v>
      </x:c>
      <x:c r="I248" s="39" t="n">
        <x:v>46287</x:v>
      </x:c>
    </x:row>
    <x:row r="249">
      <x:c r="A249" s="21" t="str">
        <x:v>SYN-0071</x:v>
      </x:c>
      <x:c r="B249" s="21" t="str">
        <x:v>Synthetic Supplier 0071 LLC</x:v>
      </x:c>
      <x:c r="C249" s="38" t="str">
        <x:f>"900 000 000 000 071"</x:f>
        <x:v>900 000 000 000 071</x:v>
      </x:c>
      <x:c r="D249" s="21" t="str">
        <x:v>SYN-0071-INV-03</x:v>
      </x:c>
      <x:c r="E249" s="39" t="n">
        <x:v>46276</x:v>
      </x:c>
      <x:c r="F249" s="42" t="n">
        <x:v>3893.24</x:v>
      </x:c>
      <x:c r="G249" s="42" t="n">
        <x:v>194.66</x:v>
      </x:c>
      <x:c r="H249" s="42" t="n">
        <x:v>14729.41</x:v>
      </x:c>
      <x:c r="I249" s="39" t="n">
        <x:v>46287</x:v>
      </x:c>
    </x:row>
    <x:row r="250">
      <x:c r="A250" s="21" t="str">
        <x:v>SYN-0071</x:v>
      </x:c>
      <x:c r="B250" s="21" t="str">
        <x:v>Synthetic Supplier 0071 LLC</x:v>
      </x:c>
      <x:c r="C250" s="38" t="str">
        <x:f>"900 000 000 000 071"</x:f>
        <x:v>900 000 000 000 071</x:v>
      </x:c>
      <x:c r="D250" s="21" t="str">
        <x:v>SYN-0071-INV-04</x:v>
      </x:c>
      <x:c r="E250" s="39" t="n">
        <x:v>45963</x:v>
      </x:c>
      <x:c r="F250" s="42" t="n">
        <x:v>2562.94</x:v>
      </x:c>
      <x:c r="G250" s="42" t="n">
        <x:v>128.15</x:v>
      </x:c>
      <x:c r="H250" s="42" t="n">
        <x:v>14729.41</x:v>
      </x:c>
      <x:c r="I250" s="39" t="n">
        <x:v>46287</x:v>
      </x:c>
    </x:row>
    <x:row r="251">
      <x:c r="A251" s="21" t="str">
        <x:v>SYN-0071</x:v>
      </x:c>
      <x:c r="B251" s="21" t="str">
        <x:v>Synthetic Supplier 0071 LLC</x:v>
      </x:c>
      <x:c r="C251" s="38" t="str">
        <x:f>"900 000 000 000 071"</x:f>
        <x:v>900 000 000 000 071</x:v>
      </x:c>
      <x:c r="D251" s="21" t="str">
        <x:v>SYN-0071-INV-05</x:v>
      </x:c>
      <x:c r="E251" s="39" t="n">
        <x:v>46010</x:v>
      </x:c>
      <x:c r="F251" s="42" t="n">
        <x:v>3718.31</x:v>
      </x:c>
      <x:c r="G251" s="42" t="n">
        <x:v>185.92</x:v>
      </x:c>
      <x:c r="H251" s="42" t="n">
        <x:v>14729.41</x:v>
      </x:c>
      <x:c r="I251" s="39" t="n">
        <x:v>46287</x:v>
      </x:c>
    </x:row>
    <x:row r="252">
      <x:c r="A252" s="21" t="str">
        <x:v>SYN-0072</x:v>
      </x:c>
      <x:c r="B252" s="21" t="str">
        <x:v>Synthetic Supplier 0072 LLC</x:v>
      </x:c>
      <x:c r="C252" s="38" t="str">
        <x:f>"900 000 000 000 072"</x:f>
        <x:v>900 000 000 000 072</x:v>
      </x:c>
      <x:c r="D252" s="21" t="str">
        <x:v>SYN-0072-INV-01</x:v>
      </x:c>
      <x:c r="E252" s="39" t="n">
        <x:v>46195</x:v>
      </x:c>
      <x:c r="F252" s="42" t="n">
        <x:v>11817.23</x:v>
      </x:c>
      <x:c r="G252" s="42" t="n">
        <x:v>590.86</x:v>
      </x:c>
      <x:c r="H252" s="42" t="n">
        <x:v>16035.97</x:v>
      </x:c>
      <x:c r="I252" s="39" t="n">
        <x:v>45680</x:v>
      </x:c>
    </x:row>
    <x:row r="253">
      <x:c r="A253" s="21" t="str">
        <x:v>SYN-0072</x:v>
      </x:c>
      <x:c r="B253" s="21" t="str">
        <x:v>Synthetic Supplier 0072 LLC</x:v>
      </x:c>
      <x:c r="C253" s="38" t="str">
        <x:f>"900 000 000 000 072"</x:f>
        <x:v>900 000 000 000 072</x:v>
      </x:c>
      <x:c r="D253" s="21" t="str">
        <x:v>SYN-0072-INV-02</x:v>
      </x:c>
      <x:c r="E253" s="39" t="n">
        <x:v>46242</x:v>
      </x:c>
      <x:c r="F253" s="42" t="n">
        <x:v>6000.52</x:v>
      </x:c>
      <x:c r="G253" s="42" t="n">
        <x:v>300.03</x:v>
      </x:c>
      <x:c r="H253" s="42" t="n">
        <x:v>16035.97</x:v>
      </x:c>
      <x:c r="I253" s="39" t="n">
        <x:v>45680</x:v>
      </x:c>
    </x:row>
    <x:row r="254">
      <x:c r="A254" s="21" t="str">
        <x:v>SYN-0073</x:v>
      </x:c>
      <x:c r="B254" s="21" t="str">
        <x:v>Synthetic Supplier 0073 LLC</x:v>
      </x:c>
      <x:c r="C254" s="38" t="str">
        <x:f>"900 000 000 000 073"</x:f>
        <x:v>900 000 000 000 073</x:v>
      </x:c>
      <x:c r="D254" s="21" t="str">
        <x:v>SYN-0073-INV-01</x:v>
      </x:c>
      <x:c r="E254" s="39" t="n">
        <x:v>46208</x:v>
      </x:c>
      <x:c r="F254" s="42" t="n">
        <x:v>10010.67</x:v>
      </x:c>
      <x:c r="G254" s="42" t="n">
        <x:v>500.53</x:v>
      </x:c>
      <x:c r="H254" s="42" t="n">
        <x:v>22632.21</x:v>
      </x:c>
      <x:c r="I254" s="39" t="n">
        <x:v>46077</x:v>
      </x:c>
    </x:row>
    <x:row r="255">
      <x:c r="A255" s="21" t="str">
        <x:v>SYN-0073</x:v>
      </x:c>
      <x:c r="B255" s="21" t="str">
        <x:v>Synthetic Supplier 0073 LLC</x:v>
      </x:c>
      <x:c r="C255" s="38" t="str">
        <x:f>"900 000 000 000 073"</x:f>
        <x:v>900 000 000 000 073</x:v>
      </x:c>
      <x:c r="D255" s="21" t="str">
        <x:v>SYN-0073-INV-02</x:v>
      </x:c>
      <x:c r="E255" s="39" t="n">
        <x:v>46255</x:v>
      </x:c>
      <x:c r="F255" s="42" t="n">
        <x:v>8706.62</x:v>
      </x:c>
      <x:c r="G255" s="42" t="n">
        <x:v>435.33</x:v>
      </x:c>
      <x:c r="H255" s="42" t="n">
        <x:v>22632.21</x:v>
      </x:c>
      <x:c r="I255" s="39" t="n">
        <x:v>46077</x:v>
      </x:c>
    </x:row>
    <x:row r="256">
      <x:c r="A256" s="21" t="str">
        <x:v>SYN-0073</x:v>
      </x:c>
      <x:c r="B256" s="21" t="str">
        <x:v>Synthetic Supplier 0073 LLC</x:v>
      </x:c>
      <x:c r="C256" s="38" t="str">
        <x:f>"900 000 000 000 073"</x:f>
        <x:v>900 000 000 000 073</x:v>
      </x:c>
      <x:c r="D256" s="21" t="str">
        <x:v>SYN-0073-INV-03</x:v>
      </x:c>
      <x:c r="E256" s="39" t="n">
        <x:v>45942</x:v>
      </x:c>
      <x:c r="F256" s="42" t="n">
        <x:v>6429.61</x:v>
      </x:c>
      <x:c r="G256" s="42" t="n">
        <x:v>321.48</x:v>
      </x:c>
      <x:c r="H256" s="42" t="n">
        <x:v>22632.21</x:v>
      </x:c>
      <x:c r="I256" s="39" t="n">
        <x:v>46077</x:v>
      </x:c>
    </x:row>
    <x:row r="257">
      <x:c r="A257" s="21" t="str">
        <x:v>SYN-0074</x:v>
      </x:c>
      <x:c r="B257" s="21" t="str">
        <x:v>Synthetic Supplier 0074 LLC</x:v>
      </x:c>
      <x:c r="C257" s="38" t="str">
        <x:f>"900 000 000 000 074"</x:f>
        <x:v>900 000 000 000 074</x:v>
      </x:c>
      <x:c r="D257" s="21" t="str">
        <x:v>SYN-0074-INV-01</x:v>
      </x:c>
      <x:c r="E257" s="39" t="n">
        <x:v>46221</x:v>
      </x:c>
      <x:c r="F257" s="42" t="n">
        <x:v>1567.59</x:v>
      </x:c>
      <x:c r="G257" s="42" t="n">
        <x:v>78.38</x:v>
      </x:c>
      <x:c r="H257" s="42" t="n">
        <x:v>7042.04</x:v>
      </x:c>
      <x:c r="I257" s="39" t="n">
        <x:v>45741</x:v>
      </x:c>
    </x:row>
    <x:row r="258">
      <x:c r="A258" s="21" t="str">
        <x:v>SYN-0074</x:v>
      </x:c>
      <x:c r="B258" s="21" t="str">
        <x:v>Synthetic Supplier 0074 LLC</x:v>
      </x:c>
      <x:c r="C258" s="38" t="str">
        <x:f>"900 000 000 000 074"</x:f>
        <x:v>900 000 000 000 074</x:v>
      </x:c>
      <x:c r="D258" s="21" t="str">
        <x:v>SYN-0074-INV-02</x:v>
      </x:c>
      <x:c r="E258" s="39" t="n">
        <x:v>46268</x:v>
      </x:c>
      <x:c r="F258" s="42" t="n">
        <x:v>1456.82</x:v>
      </x:c>
      <x:c r="G258" s="42" t="n">
        <x:v>72.84</x:v>
      </x:c>
      <x:c r="H258" s="42" t="n">
        <x:v>7042.04</x:v>
      </x:c>
      <x:c r="I258" s="39" t="n">
        <x:v>45741</x:v>
      </x:c>
    </x:row>
    <x:row r="259">
      <x:c r="A259" s="21" t="str">
        <x:v>SYN-0074</x:v>
      </x:c>
      <x:c r="B259" s="21" t="str">
        <x:v>Synthetic Supplier 0074 LLC</x:v>
      </x:c>
      <x:c r="C259" s="38" t="str">
        <x:f>"900 000 000 000 074"</x:f>
        <x:v>900 000 000 000 074</x:v>
      </x:c>
      <x:c r="D259" s="21" t="str">
        <x:v>SYN-0074-INV-03</x:v>
      </x:c>
      <x:c r="E259" s="39" t="n">
        <x:v>45955</x:v>
      </x:c>
      <x:c r="F259" s="42" t="n">
        <x:v>2421.02</x:v>
      </x:c>
      <x:c r="G259" s="42" t="n">
        <x:v>121.05</x:v>
      </x:c>
      <x:c r="H259" s="42" t="n">
        <x:v>7042.04</x:v>
      </x:c>
      <x:c r="I259" s="39" t="n">
        <x:v>45741</x:v>
      </x:c>
    </x:row>
    <x:row r="260">
      <x:c r="A260" s="21" t="str">
        <x:v>SYN-0074</x:v>
      </x:c>
      <x:c r="B260" s="21" t="str">
        <x:v>Synthetic Supplier 0074 LLC</x:v>
      </x:c>
      <x:c r="C260" s="38" t="str">
        <x:f>"900 000 000 000 074"</x:f>
        <x:v>900 000 000 000 074</x:v>
      </x:c>
      <x:c r="D260" s="21" t="str">
        <x:v>SYN-0074-INV-04</x:v>
      </x:c>
      <x:c r="E260" s="39" t="n">
        <x:v>46002</x:v>
      </x:c>
      <x:c r="F260" s="42" t="n">
        <x:v>2379.05</x:v>
      </x:c>
      <x:c r="G260" s="42" t="n">
        <x:v>118.95</x:v>
      </x:c>
      <x:c r="H260" s="42" t="n">
        <x:v>7042.04</x:v>
      </x:c>
      <x:c r="I260" s="39" t="n">
        <x:v>45741</x:v>
      </x:c>
    </x:row>
    <x:row r="261">
      <x:c r="A261" s="21" t="str">
        <x:v>SYN-0075</x:v>
      </x:c>
      <x:c r="B261" s="21" t="str">
        <x:v>Synthetic Supplier 0075 LLC</x:v>
      </x:c>
      <x:c r="C261" s="38" t="str">
        <x:f>"900 000 000 000 075"</x:f>
        <x:v>900 000 000 000 075</x:v>
      </x:c>
      <x:c r="D261" s="21" t="str">
        <x:v>SYN-0075-INV-01</x:v>
      </x:c>
      <x:c r="E261" s="39" t="n">
        <x:v>46234</x:v>
      </x:c>
      <x:c r="F261" s="42" t="n">
        <x:v>2479.8</x:v>
      </x:c>
      <x:c r="G261" s="42" t="n">
        <x:v>123.99</x:v>
      </x:c>
      <x:c r="H261" s="42" t="n">
        <x:v>11036.53</x:v>
      </x:c>
      <x:c r="I261" s="39"/>
    </x:row>
    <x:row r="262">
      <x:c r="A262" s="21" t="str">
        <x:v>SYN-0075</x:v>
      </x:c>
      <x:c r="B262" s="21" t="str">
        <x:v>Synthetic Supplier 0075 LLC</x:v>
      </x:c>
      <x:c r="C262" s="38" t="str">
        <x:f>"900 000 000 000 075"</x:f>
        <x:v>900 000 000 000 075</x:v>
      </x:c>
      <x:c r="D262" s="21" t="str">
        <x:v>SYN-0075-INV-02</x:v>
      </x:c>
      <x:c r="E262" s="39" t="n">
        <x:v>46281</x:v>
      </x:c>
      <x:c r="F262" s="42" t="n">
        <x:v>2567.09</x:v>
      </x:c>
      <x:c r="G262" s="42" t="n">
        <x:v>128.35</x:v>
      </x:c>
      <x:c r="H262" s="42" t="n">
        <x:v>11036.53</x:v>
      </x:c>
      <x:c r="I262" s="39"/>
    </x:row>
    <x:row r="263">
      <x:c r="A263" s="21" t="str">
        <x:v>SYN-0075</x:v>
      </x:c>
      <x:c r="B263" s="21" t="str">
        <x:v>Synthetic Supplier 0075 LLC</x:v>
      </x:c>
      <x:c r="C263" s="38" t="str">
        <x:f>"900 000 000 000 075"</x:f>
        <x:v>900 000 000 000 075</x:v>
      </x:c>
      <x:c r="D263" s="21" t="str">
        <x:v>SYN-0075-INV-03</x:v>
      </x:c>
      <x:c r="E263" s="39" t="n">
        <x:v>45968</x:v>
      </x:c>
      <x:c r="F263" s="42" t="n">
        <x:v>2318.27</x:v>
      </x:c>
      <x:c r="G263" s="42" t="n">
        <x:v>115.91</x:v>
      </x:c>
      <x:c r="H263" s="42" t="n">
        <x:v>11036.53</x:v>
      </x:c>
      <x:c r="I263" s="39"/>
    </x:row>
    <x:row r="264">
      <x:c r="A264" s="21" t="str">
        <x:v>SYN-0075</x:v>
      </x:c>
      <x:c r="B264" s="21" t="str">
        <x:v>Synthetic Supplier 0075 LLC</x:v>
      </x:c>
      <x:c r="C264" s="38" t="str">
        <x:f>"900 000 000 000 075"</x:f>
        <x:v>900 000 000 000 075</x:v>
      </x:c>
      <x:c r="D264" s="21" t="str">
        <x:v>SYN-0075-INV-04</x:v>
      </x:c>
      <x:c r="E264" s="39" t="n">
        <x:v>46015</x:v>
      </x:c>
      <x:c r="F264" s="42" t="n">
        <x:v>2526.61</x:v>
      </x:c>
      <x:c r="G264" s="42" t="n">
        <x:v>126.33</x:v>
      </x:c>
      <x:c r="H264" s="42" t="n">
        <x:v>11036.53</x:v>
      </x:c>
      <x:c r="I264" s="39"/>
    </x:row>
    <x:row r="265">
      <x:c r="A265" s="21" t="str">
        <x:v>SYN-0075</x:v>
      </x:c>
      <x:c r="B265" s="21" t="str">
        <x:v>Synthetic Supplier 0075 LLC</x:v>
      </x:c>
      <x:c r="C265" s="38" t="str">
        <x:f>"900 000 000 000 075"</x:f>
        <x:v>900 000 000 000 075</x:v>
      </x:c>
      <x:c r="D265" s="21" t="str">
        <x:v>SYN-0075-INV-05</x:v>
      </x:c>
      <x:c r="E265" s="39" t="n">
        <x:v>46062</x:v>
      </x:c>
      <x:c r="F265" s="42" t="n">
        <x:v>2371.02</x:v>
      </x:c>
      <x:c r="G265" s="42" t="n">
        <x:v>118.55</x:v>
      </x:c>
      <x:c r="H265" s="42" t="n">
        <x:v>11036.53</x:v>
      </x:c>
      <x:c r="I265" s="39"/>
    </x:row>
    <x:row r="266">
      <x:c r="A266" s="21" t="str">
        <x:v>SYN-0076</x:v>
      </x:c>
      <x:c r="B266" s="21" t="str">
        <x:v>Synthetic Supplier 0076 LLC</x:v>
      </x:c>
      <x:c r="C266" s="38" t="str">
        <x:f>"900 000 000 000 076"</x:f>
        <x:v>900 000 000 000 076</x:v>
      </x:c>
      <x:c r="D266" s="21" t="str">
        <x:v>SYN-0076-INV-01</x:v>
      </x:c>
      <x:c r="E266" s="39" t="n">
        <x:v>46247</x:v>
      </x:c>
      <x:c r="F266" s="42" t="n">
        <x:v>6198.42</x:v>
      </x:c>
      <x:c r="G266" s="42" t="n">
        <x:v>309.92</x:v>
      </x:c>
      <x:c r="H266" s="42" t="n">
        <x:v>10647.83</x:v>
      </x:c>
      <x:c r="I266" s="39" t="n">
        <x:v>45779</x:v>
      </x:c>
    </x:row>
    <x:row r="267">
      <x:c r="A267" s="21" t="str">
        <x:v>SYN-0076</x:v>
      </x:c>
      <x:c r="B267" s="21" t="str">
        <x:v>Synthetic Supplier 0076 LLC</x:v>
      </x:c>
      <x:c r="C267" s="38" t="str">
        <x:f>"900 000 000 000 076"</x:f>
        <x:v>900 000 000 000 076</x:v>
      </x:c>
      <x:c r="D267" s="21" t="str">
        <x:v>SYN-0076-INV-02</x:v>
      </x:c>
      <x:c r="E267" s="39" t="n">
        <x:v>45934</x:v>
      </x:c>
      <x:c r="F267" s="42" t="n">
        <x:v>5632.5</x:v>
      </x:c>
      <x:c r="G267" s="42" t="n">
        <x:v>281.62</x:v>
      </x:c>
      <x:c r="H267" s="42" t="n">
        <x:v>10647.83</x:v>
      </x:c>
      <x:c r="I267" s="39" t="n">
        <x:v>45779</x:v>
      </x:c>
    </x:row>
    <x:row r="268">
      <x:c r="A268" s="21" t="str">
        <x:v>SYN-0077</x:v>
      </x:c>
      <x:c r="B268" s="21" t="str">
        <x:v>Synthetic Supplier 0077 LLC</x:v>
      </x:c>
      <x:c r="C268" s="38" t="str">
        <x:f>"900 000 000 000 077"</x:f>
        <x:v>900 000 000 000 077</x:v>
      </x:c>
      <x:c r="D268" s="21" t="str">
        <x:v>SYN-0077-INV-01</x:v>
      </x:c>
      <x:c r="E268" s="39" t="n">
        <x:v>46260</x:v>
      </x:c>
      <x:c r="F268" s="42" t="n">
        <x:v>5350.76</x:v>
      </x:c>
      <x:c r="G268" s="42" t="n">
        <x:v>267.54</x:v>
      </x:c>
      <x:c r="H268" s="42" t="n">
        <x:v>65463.38</x:v>
      </x:c>
      <x:c r="I268" s="39" t="n">
        <x:v>46176</x:v>
      </x:c>
    </x:row>
    <x:row r="269">
      <x:c r="A269" s="21" t="str">
        <x:v>SYN-0077</x:v>
      </x:c>
      <x:c r="B269" s="21" t="str">
        <x:v>Synthetic Supplier 0077 LLC</x:v>
      </x:c>
      <x:c r="C269" s="38" t="str">
        <x:f>"900 000 000 000 077"</x:f>
        <x:v>900 000 000 000 077</x:v>
      </x:c>
      <x:c r="D269" s="21" t="str">
        <x:v>SYN-0077-INV-02</x:v>
      </x:c>
      <x:c r="E269" s="39" t="n">
        <x:v>45947</x:v>
      </x:c>
      <x:c r="F269" s="42" t="n">
        <x:v>5551.21</x:v>
      </x:c>
      <x:c r="G269" s="42" t="n">
        <x:v>277.56</x:v>
      </x:c>
      <x:c r="H269" s="42" t="n">
        <x:v>65463.38</x:v>
      </x:c>
      <x:c r="I269" s="39" t="n">
        <x:v>46176</x:v>
      </x:c>
    </x:row>
    <x:row r="270">
      <x:c r="A270" s="21" t="str">
        <x:v>SYN-0077</x:v>
      </x:c>
      <x:c r="B270" s="21" t="str">
        <x:v>Synthetic Supplier 0077 LLC</x:v>
      </x:c>
      <x:c r="C270" s="38" t="str">
        <x:f>"900 000 000 000 077"</x:f>
        <x:v>900 000 000 000 077</x:v>
      </x:c>
      <x:c r="D270" s="21" t="str">
        <x:v>SYN-0077-INV-03</x:v>
      </x:c>
      <x:c r="E270" s="39" t="n">
        <x:v>45994</x:v>
      </x:c>
      <x:c r="F270" s="42" t="n">
        <x:v>3645.44</x:v>
      </x:c>
      <x:c r="G270" s="42" t="n">
        <x:v>182.27</x:v>
      </x:c>
      <x:c r="H270" s="42" t="n">
        <x:v>65463.38</x:v>
      </x:c>
      <x:c r="I270" s="39" t="n">
        <x:v>46176</x:v>
      </x:c>
    </x:row>
    <x:row r="271">
      <x:c r="A271" s="21" t="str">
        <x:v>SYN-0078</x:v>
      </x:c>
      <x:c r="B271" s="21" t="str">
        <x:v>Synthetic Supplier 0078 LLC</x:v>
      </x:c>
      <x:c r="C271" s="38" t="str">
        <x:f>"900 000 000 000 078"</x:f>
        <x:v>900 000 000 000 078</x:v>
      </x:c>
      <x:c r="D271" s="21" t="str">
        <x:v>SYN-0078-INV-01</x:v>
      </x:c>
      <x:c r="E271" s="39" t="n">
        <x:v>46273</x:v>
      </x:c>
      <x:c r="F271" s="42" t="n">
        <x:v>2095.2</x:v>
      </x:c>
      <x:c r="G271" s="42" t="n">
        <x:v>104.76</x:v>
      </x:c>
      <x:c r="H271" s="42" t="n">
        <x:v>6279.82</x:v>
      </x:c>
      <x:c r="I271" s="39" t="n">
        <x:v>45842</x:v>
      </x:c>
    </x:row>
    <x:row r="272">
      <x:c r="A272" s="21" t="str">
        <x:v>SYN-0078</x:v>
      </x:c>
      <x:c r="B272" s="21" t="str">
        <x:v>Synthetic Supplier 0078 LLC</x:v>
      </x:c>
      <x:c r="C272" s="38" t="str">
        <x:f>"900 000 000 000 078"</x:f>
        <x:v>900 000 000 000 078</x:v>
      </x:c>
      <x:c r="D272" s="21" t="str">
        <x:v>SYN-0078-INV-02</x:v>
      </x:c>
      <x:c r="E272" s="39" t="n">
        <x:v>45960</x:v>
      </x:c>
      <x:c r="F272" s="42" t="n">
        <x:v>2190.49</x:v>
      </x:c>
      <x:c r="G272" s="42" t="n">
        <x:v>109.52</x:v>
      </x:c>
      <x:c r="H272" s="42" t="n">
        <x:v>6279.82</x:v>
      </x:c>
      <x:c r="I272" s="39" t="n">
        <x:v>45842</x:v>
      </x:c>
    </x:row>
    <x:row r="273">
      <x:c r="A273" s="21" t="str">
        <x:v>SYN-0078</x:v>
      </x:c>
      <x:c r="B273" s="21" t="str">
        <x:v>Synthetic Supplier 0078 LLC</x:v>
      </x:c>
      <x:c r="C273" s="38" t="str">
        <x:f>"900 000 000 000 078"</x:f>
        <x:v>900 000 000 000 078</x:v>
      </x:c>
      <x:c r="D273" s="21" t="str">
        <x:v>SYN-0078-INV-03</x:v>
      </x:c>
      <x:c r="E273" s="39" t="n">
        <x:v>46007</x:v>
      </x:c>
      <x:c r="F273" s="42" t="n">
        <x:v>1132.75</x:v>
      </x:c>
      <x:c r="G273" s="42" t="n">
        <x:v>56.64</x:v>
      </x:c>
      <x:c r="H273" s="42" t="n">
        <x:v>6279.82</x:v>
      </x:c>
      <x:c r="I273" s="39" t="n">
        <x:v>45842</x:v>
      </x:c>
    </x:row>
    <x:row r="274">
      <x:c r="A274" s="21" t="str">
        <x:v>SYN-0078</x:v>
      </x:c>
      <x:c r="B274" s="21" t="str">
        <x:v>Synthetic Supplier 0078 LLC</x:v>
      </x:c>
      <x:c r="C274" s="38" t="str">
        <x:f>"900 000 000 000 078"</x:f>
        <x:v>900 000 000 000 078</x:v>
      </x:c>
      <x:c r="D274" s="21" t="str">
        <x:v>SYN-0078-INV-04</x:v>
      </x:c>
      <x:c r="E274" s="39" t="n">
        <x:v>46054</x:v>
      </x:c>
      <x:c r="F274" s="42" t="n">
        <x:v>1559.13</x:v>
      </x:c>
      <x:c r="G274" s="42" t="n">
        <x:v>77.96</x:v>
      </x:c>
      <x:c r="H274" s="42" t="n">
        <x:v>6279.82</x:v>
      </x:c>
      <x:c r="I274" s="39" t="n">
        <x:v>45842</x:v>
      </x:c>
    </x:row>
    <x:row r="275">
      <x:c r="A275" s="21" t="str">
        <x:v>SYN-0079</x:v>
      </x:c>
      <x:c r="B275" s="21" t="str">
        <x:v>Synthetic Supplier 0079 LLC</x:v>
      </x:c>
      <x:c r="C275" s="38" t="str">
        <x:f>"900 000 000 000 079"</x:f>
        <x:v>900 000 000 000 079</x:v>
      </x:c>
      <x:c r="D275" s="21" t="str">
        <x:v>SYN-0079-INV-01</x:v>
      </x:c>
      <x:c r="E275" s="39" t="n">
        <x:v>46286</x:v>
      </x:c>
      <x:c r="F275" s="42" t="n">
        <x:v>3056.98</x:v>
      </x:c>
      <x:c r="G275" s="42" t="n">
        <x:v>152.85</x:v>
      </x:c>
      <x:c r="H275" s="42" t="n">
        <x:v>19404.77</x:v>
      </x:c>
      <x:c r="I275" s="39" t="n">
        <x:v>46239</x:v>
      </x:c>
    </x:row>
    <x:row r="276">
      <x:c r="A276" s="21" t="str">
        <x:v>SYN-0079</x:v>
      </x:c>
      <x:c r="B276" s="21" t="str">
        <x:v>Synthetic Supplier 0079 LLC</x:v>
      </x:c>
      <x:c r="C276" s="38" t="str">
        <x:f>"900 000 000 000 079"</x:f>
        <x:v>900 000 000 000 079</x:v>
      </x:c>
      <x:c r="D276" s="21" t="str">
        <x:v>SYN-0079-INV-02</x:v>
      </x:c>
      <x:c r="E276" s="39" t="n">
        <x:v>45973</x:v>
      </x:c>
      <x:c r="F276" s="42" t="n">
        <x:v>3140.7</x:v>
      </x:c>
      <x:c r="G276" s="42" t="n">
        <x:v>157.03</x:v>
      </x:c>
      <x:c r="H276" s="42" t="n">
        <x:v>19404.77</x:v>
      </x:c>
      <x:c r="I276" s="39" t="n">
        <x:v>46239</x:v>
      </x:c>
    </x:row>
    <x:row r="277">
      <x:c r="A277" s="21" t="str">
        <x:v>SYN-0079</x:v>
      </x:c>
      <x:c r="B277" s="21" t="str">
        <x:v>Synthetic Supplier 0079 LLC</x:v>
      </x:c>
      <x:c r="C277" s="38" t="str">
        <x:f>"900 000 000 000 079"</x:f>
        <x:v>900 000 000 000 079</x:v>
      </x:c>
      <x:c r="D277" s="21" t="str">
        <x:v>SYN-0079-INV-03</x:v>
      </x:c>
      <x:c r="E277" s="39" t="n">
        <x:v>46020</x:v>
      </x:c>
      <x:c r="F277" s="42" t="n">
        <x:v>5536.84</x:v>
      </x:c>
      <x:c r="G277" s="42" t="n">
        <x:v>276.84</x:v>
      </x:c>
      <x:c r="H277" s="42" t="n">
        <x:v>19404.77</x:v>
      </x:c>
      <x:c r="I277" s="39" t="n">
        <x:v>46239</x:v>
      </x:c>
    </x:row>
    <x:row r="278">
      <x:c r="A278" s="21" t="str">
        <x:v>SYN-0079</x:v>
      </x:c>
      <x:c r="B278" s="21" t="str">
        <x:v>Synthetic Supplier 0079 LLC</x:v>
      </x:c>
      <x:c r="C278" s="38" t="str">
        <x:f>"900 000 000 000 079"</x:f>
        <x:v>900 000 000 000 079</x:v>
      </x:c>
      <x:c r="D278" s="21" t="str">
        <x:v>SYN-0079-INV-04</x:v>
      </x:c>
      <x:c r="E278" s="39" t="n">
        <x:v>46067</x:v>
      </x:c>
      <x:c r="F278" s="42" t="n">
        <x:v>4788.52</x:v>
      </x:c>
      <x:c r="G278" s="42" t="n">
        <x:v>239.43</x:v>
      </x:c>
      <x:c r="H278" s="42" t="n">
        <x:v>19404.77</x:v>
      </x:c>
      <x:c r="I278" s="39" t="n">
        <x:v>46239</x:v>
      </x:c>
    </x:row>
    <x:row r="279">
      <x:c r="A279" s="21" t="str">
        <x:v>SYN-0079</x:v>
      </x:c>
      <x:c r="B279" s="21" t="str">
        <x:v>Synthetic Supplier 0079 LLC</x:v>
      </x:c>
      <x:c r="C279" s="38" t="str">
        <x:f>"900 000 000 000 079"</x:f>
        <x:v>900 000 000 000 079</x:v>
      </x:c>
      <x:c r="D279" s="21" t="str">
        <x:v>SYN-0079-INV-05</x:v>
      </x:c>
      <x:c r="E279" s="39" t="n">
        <x:v>46114</x:v>
      </x:c>
      <x:c r="F279" s="42" t="n">
        <x:v>5037.82</x:v>
      </x:c>
      <x:c r="G279" s="42" t="n">
        <x:v>251.89</x:v>
      </x:c>
      <x:c r="H279" s="42" t="n">
        <x:v>19404.77</x:v>
      </x:c>
      <x:c r="I279" s="39" t="n">
        <x:v>46239</x:v>
      </x:c>
    </x:row>
    <x:row r="280">
      <x:c r="A280" s="21" t="str">
        <x:v>SYN-0080</x:v>
      </x:c>
      <x:c r="B280" s="21" t="str">
        <x:v>Synthetic Supplier 0080 LLC</x:v>
      </x:c>
      <x:c r="C280" s="38" t="str">
        <x:f>"900 000 000 000 080"</x:f>
        <x:v>900 000 000 000 080</x:v>
      </x:c>
      <x:c r="D280" s="21" t="str">
        <x:v>SYN-0080-INV-01</x:v>
      </x:c>
      <x:c r="E280" s="39" t="n">
        <x:v>45939</x:v>
      </x:c>
      <x:c r="F280" s="42" t="n">
        <x:v>9844.88</x:v>
      </x:c>
      <x:c r="G280" s="42" t="n">
        <x:v>492.24</x:v>
      </x:c>
      <x:c r="H280" s="42" t="n">
        <x:v>21969.55</x:v>
      </x:c>
      <x:c r="I280" s="39"/>
    </x:row>
    <x:row r="281">
      <x:c r="A281" s="21" t="str">
        <x:v>SYN-0080</x:v>
      </x:c>
      <x:c r="B281" s="21" t="str">
        <x:v>Synthetic Supplier 0080 LLC</x:v>
      </x:c>
      <x:c r="C281" s="38" t="str">
        <x:f>"900 000 000 000 080"</x:f>
        <x:v>900 000 000 000 080</x:v>
      </x:c>
      <x:c r="D281" s="21" t="str">
        <x:v>SYN-0080-INV-02</x:v>
      </x:c>
      <x:c r="E281" s="39" t="n">
        <x:v>45986</x:v>
      </x:c>
      <x:c r="F281" s="42" t="n">
        <x:v>14565.74</x:v>
      </x:c>
      <x:c r="G281" s="42" t="n">
        <x:v>728.29</x:v>
      </x:c>
      <x:c r="H281" s="42" t="n">
        <x:v>21969.55</x:v>
      </x:c>
      <x:c r="I281" s="39"/>
    </x:row>
    <x:row r="282">
      <x:c r="A282" s="21" t="str">
        <x:v>SYN-0081</x:v>
      </x:c>
      <x:c r="B282" s="21" t="str">
        <x:v>Synthetic Supplier 0081 LLC</x:v>
      </x:c>
      <x:c r="C282" s="38" t="str">
        <x:f>"900 000 000 000 081"</x:f>
        <x:v>900 000 000 000 081</x:v>
      </x:c>
      <x:c r="D282" s="21" t="str">
        <x:v>SYN-0081-INV-01</x:v>
      </x:c>
      <x:c r="E282" s="39" t="n">
        <x:v>45952</x:v>
      </x:c>
      <x:c r="F282" s="42" t="n">
        <x:v>2142.44</x:v>
      </x:c>
      <x:c r="G282" s="42" t="n">
        <x:v>107.12</x:v>
      </x:c>
      <x:c r="H282" s="42" t="n">
        <x:v>6063.17</x:v>
      </x:c>
      <x:c r="I282" s="39" t="n">
        <x:v>46029</x:v>
      </x:c>
    </x:row>
    <x:row r="283">
      <x:c r="A283" s="21" t="str">
        <x:v>SYN-0081</x:v>
      </x:c>
      <x:c r="B283" s="21" t="str">
        <x:v>Synthetic Supplier 0081 LLC</x:v>
      </x:c>
      <x:c r="C283" s="38" t="str">
        <x:f>"900 000 000 000 081"</x:f>
        <x:v>900 000 000 000 081</x:v>
      </x:c>
      <x:c r="D283" s="21" t="str">
        <x:v>SYN-0081-INV-02</x:v>
      </x:c>
      <x:c r="E283" s="39" t="n">
        <x:v>45999</x:v>
      </x:c>
      <x:c r="F283" s="42" t="n">
        <x:v>1807.36</x:v>
      </x:c>
      <x:c r="G283" s="42" t="n">
        <x:v>90.37</x:v>
      </x:c>
      <x:c r="H283" s="42" t="n">
        <x:v>6063.17</x:v>
      </x:c>
      <x:c r="I283" s="39" t="n">
        <x:v>46029</x:v>
      </x:c>
    </x:row>
    <x:row r="284">
      <x:c r="A284" s="21" t="str">
        <x:v>SYN-0081</x:v>
      </x:c>
      <x:c r="B284" s="21" t="str">
        <x:v>Synthetic Supplier 0081 LLC</x:v>
      </x:c>
      <x:c r="C284" s="38" t="str">
        <x:f>"900 000 000 000 081"</x:f>
        <x:v>900 000 000 000 081</x:v>
      </x:c>
      <x:c r="D284" s="21" t="str">
        <x:v>SYN-0081-INV-03</x:v>
      </x:c>
      <x:c r="E284" s="39" t="n">
        <x:v>46046</x:v>
      </x:c>
      <x:c r="F284" s="42" t="n">
        <x:v>2787.06</x:v>
      </x:c>
      <x:c r="G284" s="42" t="n">
        <x:v>139.35</x:v>
      </x:c>
      <x:c r="H284" s="42" t="n">
        <x:v>6063.17</x:v>
      </x:c>
      <x:c r="I284" s="39" t="n">
        <x:v>46029</x:v>
      </x:c>
    </x:row>
    <x:row r="285">
      <x:c r="A285" s="21" t="str">
        <x:v>SYN-0082</x:v>
      </x:c>
      <x:c r="B285" s="21" t="str">
        <x:v>Synthetic Supplier 0082 LLC</x:v>
      </x:c>
      <x:c r="C285" s="38" t="str">
        <x:f>"900 000 000 000 082"</x:f>
        <x:v>900 000 000 000 082</x:v>
      </x:c>
      <x:c r="D285" s="21" t="str">
        <x:v>SYN-0082-INV-01</x:v>
      </x:c>
      <x:c r="E285" s="39" t="n">
        <x:v>45965</x:v>
      </x:c>
      <x:c r="F285" s="42" t="n">
        <x:v>4751.34</x:v>
      </x:c>
      <x:c r="G285" s="42" t="n">
        <x:v>237.57</x:v>
      </x:c>
      <x:c r="H285" s="42" t="n">
        <x:v>19456.33</x:v>
      </x:c>
      <x:c r="I285" s="39" t="n">
        <x:v>45696</x:v>
      </x:c>
    </x:row>
    <x:row r="286">
      <x:c r="A286" s="21" t="str">
        <x:v>SYN-0082</x:v>
      </x:c>
      <x:c r="B286" s="21" t="str">
        <x:v>Synthetic Supplier 0082 LLC</x:v>
      </x:c>
      <x:c r="C286" s="38" t="str">
        <x:f>"900 000 000 000 082"</x:f>
        <x:v>900 000 000 000 082</x:v>
      </x:c>
      <x:c r="D286" s="21" t="str">
        <x:v>SYN-0082-INV-02</x:v>
      </x:c>
      <x:c r="E286" s="39" t="n">
        <x:v>46012</x:v>
      </x:c>
      <x:c r="F286" s="42" t="n">
        <x:v>7150.14</x:v>
      </x:c>
      <x:c r="G286" s="42" t="n">
        <x:v>357.51</x:v>
      </x:c>
      <x:c r="H286" s="42" t="n">
        <x:v>19456.33</x:v>
      </x:c>
      <x:c r="I286" s="39" t="n">
        <x:v>45696</x:v>
      </x:c>
    </x:row>
    <x:row r="287">
      <x:c r="A287" s="21" t="str">
        <x:v>SYN-0082</x:v>
      </x:c>
      <x:c r="B287" s="21" t="str">
        <x:v>Synthetic Supplier 0082 LLC</x:v>
      </x:c>
      <x:c r="C287" s="38" t="str">
        <x:f>"900 000 000 000 082"</x:f>
        <x:v>900 000 000 000 082</x:v>
      </x:c>
      <x:c r="D287" s="21" t="str">
        <x:v>SYN-0082-INV-03</x:v>
      </x:c>
      <x:c r="E287" s="39" t="n">
        <x:v>46059</x:v>
      </x:c>
      <x:c r="F287" s="42" t="n">
        <x:v>4434.83</x:v>
      </x:c>
      <x:c r="G287" s="42" t="n">
        <x:v>221.74</x:v>
      </x:c>
      <x:c r="H287" s="42" t="n">
        <x:v>19456.33</x:v>
      </x:c>
      <x:c r="I287" s="39" t="n">
        <x:v>45696</x:v>
      </x:c>
    </x:row>
    <x:row r="288">
      <x:c r="A288" s="21" t="str">
        <x:v>SYN-0082</x:v>
      </x:c>
      <x:c r="B288" s="21" t="str">
        <x:v>Synthetic Supplier 0082 LLC</x:v>
      </x:c>
      <x:c r="C288" s="38" t="str">
        <x:f>"900 000 000 000 082"</x:f>
        <x:v>900 000 000 000 082</x:v>
      </x:c>
      <x:c r="D288" s="21" t="str">
        <x:v>SYN-0082-INV-04</x:v>
      </x:c>
      <x:c r="E288" s="39" t="n">
        <x:v>46106</x:v>
      </x:c>
      <x:c r="F288" s="42" t="n">
        <x:v>5281.83</x:v>
      </x:c>
      <x:c r="G288" s="42" t="n">
        <x:v>264.09</x:v>
      </x:c>
      <x:c r="H288" s="42" t="n">
        <x:v>19456.33</x:v>
      </x:c>
      <x:c r="I288" s="39" t="n">
        <x:v>45696</x:v>
      </x:c>
    </x:row>
    <x:row r="289">
      <x:c r="A289" s="21" t="str">
        <x:v>SYN-0083</x:v>
      </x:c>
      <x:c r="B289" s="21" t="str">
        <x:v>Synthetic Supplier 0083 LLC</x:v>
      </x:c>
      <x:c r="C289" s="38" t="str">
        <x:f>"900 000 000 000 083"</x:f>
        <x:v>900 000 000 000 083</x:v>
      </x:c>
      <x:c r="D289" s="21" t="str">
        <x:v>SYN-0083-INV-01</x:v>
      </x:c>
      <x:c r="E289" s="39" t="n">
        <x:v>45978</x:v>
      </x:c>
      <x:c r="F289" s="42" t="n">
        <x:v>5443.93</x:v>
      </x:c>
      <x:c r="G289" s="42" t="n">
        <x:v>272.2</x:v>
      </x:c>
      <x:c r="H289" s="42" t="n">
        <x:v>21148.22</x:v>
      </x:c>
      <x:c r="I289" s="39" t="n">
        <x:v>46090</x:v>
      </x:c>
    </x:row>
    <x:row r="290">
      <x:c r="A290" s="21" t="str">
        <x:v>SYN-0083</x:v>
      </x:c>
      <x:c r="B290" s="21" t="str">
        <x:v>Synthetic Supplier 0083 LLC</x:v>
      </x:c>
      <x:c r="C290" s="38" t="str">
        <x:f>"900 000 000 000 083"</x:f>
        <x:v>900 000 000 000 083</x:v>
      </x:c>
      <x:c r="D290" s="21" t="str">
        <x:v>SYN-0083-INV-02</x:v>
      </x:c>
      <x:c r="E290" s="39" t="n">
        <x:v>46025</x:v>
      </x:c>
      <x:c r="F290" s="42" t="n">
        <x:v>5822.78</x:v>
      </x:c>
      <x:c r="G290" s="42" t="n">
        <x:v>291.14</x:v>
      </x:c>
      <x:c r="H290" s="42" t="n">
        <x:v>21148.22</x:v>
      </x:c>
      <x:c r="I290" s="39" t="n">
        <x:v>46090</x:v>
      </x:c>
    </x:row>
    <x:row r="291">
      <x:c r="A291" s="21" t="str">
        <x:v>SYN-0083</x:v>
      </x:c>
      <x:c r="B291" s="21" t="str">
        <x:v>Synthetic Supplier 0083 LLC</x:v>
      </x:c>
      <x:c r="C291" s="38" t="str">
        <x:f>"900 000 000 000 083"</x:f>
        <x:v>900 000 000 000 083</x:v>
      </x:c>
      <x:c r="D291" s="21" t="str">
        <x:v>SYN-0083-INV-03</x:v>
      </x:c>
      <x:c r="E291" s="39" t="n">
        <x:v>46072</x:v>
      </x:c>
      <x:c r="F291" s="42" t="n">
        <x:v>2847.23</x:v>
      </x:c>
      <x:c r="G291" s="42" t="n">
        <x:v>142.36</x:v>
      </x:c>
      <x:c r="H291" s="42" t="n">
        <x:v>21148.22</x:v>
      </x:c>
      <x:c r="I291" s="39" t="n">
        <x:v>46090</x:v>
      </x:c>
    </x:row>
    <x:row r="292">
      <x:c r="A292" s="21" t="str">
        <x:v>SYN-0083</x:v>
      </x:c>
      <x:c r="B292" s="21" t="str">
        <x:v>Synthetic Supplier 0083 LLC</x:v>
      </x:c>
      <x:c r="C292" s="38" t="str">
        <x:f>"900 000 000 000 083"</x:f>
        <x:v>900 000 000 000 083</x:v>
      </x:c>
      <x:c r="D292" s="21" t="str">
        <x:v>SYN-0083-INV-04</x:v>
      </x:c>
      <x:c r="E292" s="39" t="n">
        <x:v>46119</x:v>
      </x:c>
      <x:c r="F292" s="42" t="n">
        <x:v>5668.35</x:v>
      </x:c>
      <x:c r="G292" s="42" t="n">
        <x:v>283.42</x:v>
      </x:c>
      <x:c r="H292" s="42" t="n">
        <x:v>21148.22</x:v>
      </x:c>
      <x:c r="I292" s="39" t="n">
        <x:v>46090</x:v>
      </x:c>
    </x:row>
    <x:row r="293">
      <x:c r="A293" s="21" t="str">
        <x:v>SYN-0083</x:v>
      </x:c>
      <x:c r="B293" s="21" t="str">
        <x:v>Synthetic Supplier 0083 LLC</x:v>
      </x:c>
      <x:c r="C293" s="38" t="str">
        <x:f>"900 000 000 000 083"</x:f>
        <x:v>900 000 000 000 083</x:v>
      </x:c>
      <x:c r="D293" s="21" t="str">
        <x:v>SYN-0083-INV-05</x:v>
      </x:c>
      <x:c r="E293" s="39" t="n">
        <x:v>46166</x:v>
      </x:c>
      <x:c r="F293" s="42" t="n">
        <x:v>3715.74</x:v>
      </x:c>
      <x:c r="G293" s="42" t="n">
        <x:v>185.79</x:v>
      </x:c>
      <x:c r="H293" s="42" t="n">
        <x:v>21148.22</x:v>
      </x:c>
      <x:c r="I293" s="39" t="n">
        <x:v>46090</x:v>
      </x:c>
    </x:row>
    <x:row r="294">
      <x:c r="A294" s="21" t="str">
        <x:v>SYN-0084</x:v>
      </x:c>
      <x:c r="B294" s="21" t="str">
        <x:v>Synthetic Supplier 0084 LLC</x:v>
      </x:c>
      <x:c r="C294" s="38" t="str">
        <x:f>"900 000 000 000 084"</x:f>
        <x:v>900 000 000 000 084</x:v>
      </x:c>
      <x:c r="D294" s="21" t="str">
        <x:v>SYN-0084-INV-01</x:v>
      </x:c>
      <x:c r="E294" s="39" t="n">
        <x:v>45991</x:v>
      </x:c>
      <x:c r="F294" s="42" t="n">
        <x:v>9156.87</x:v>
      </x:c>
      <x:c r="G294" s="42" t="n">
        <x:v>457.84</x:v>
      </x:c>
      <x:c r="H294" s="42" t="n">
        <x:v>81827.39</x:v>
      </x:c>
      <x:c r="I294" s="39" t="n">
        <x:v>45757</x:v>
      </x:c>
    </x:row>
    <x:row r="295">
      <x:c r="A295" s="21" t="str">
        <x:v>SYN-0084</x:v>
      </x:c>
      <x:c r="B295" s="21" t="str">
        <x:v>Synthetic Supplier 0084 LLC</x:v>
      </x:c>
      <x:c r="C295" s="38" t="str">
        <x:f>"900 000 000 000 084"</x:f>
        <x:v>900 000 000 000 084</x:v>
      </x:c>
      <x:c r="D295" s="21" t="str">
        <x:v>SYN-0084-INV-02</x:v>
      </x:c>
      <x:c r="E295" s="39" t="n">
        <x:v>46038</x:v>
      </x:c>
      <x:c r="F295" s="42" t="n">
        <x:v>9027</x:v>
      </x:c>
      <x:c r="G295" s="42" t="n">
        <x:v>451.35</x:v>
      </x:c>
      <x:c r="H295" s="42" t="n">
        <x:v>81827.39</x:v>
      </x:c>
      <x:c r="I295" s="39" t="n">
        <x:v>45757</x:v>
      </x:c>
    </x:row>
    <x:row r="296">
      <x:c r="A296" s="21" t="str">
        <x:v>SYN-0085</x:v>
      </x:c>
      <x:c r="B296" s="21" t="str">
        <x:v>Synthetic Supplier 0085 LLC</x:v>
      </x:c>
      <x:c r="C296" s="38" t="str">
        <x:f>"900 000 000 000 085"</x:f>
        <x:v>900 000 000 000 085</x:v>
      </x:c>
      <x:c r="D296" s="21" t="str">
        <x:v>SYN-0085-INV-01</x:v>
      </x:c>
      <x:c r="E296" s="39" t="n">
        <x:v>46004</x:v>
      </x:c>
      <x:c r="F296" s="42" t="n">
        <x:v>7386.51</x:v>
      </x:c>
      <x:c r="G296" s="42" t="n">
        <x:v>369.33</x:v>
      </x:c>
      <x:c r="H296" s="42" t="n">
        <x:v>21034.09</x:v>
      </x:c>
      <x:c r="I296" s="39"/>
    </x:row>
    <x:row r="297">
      <x:c r="A297" s="21" t="str">
        <x:v>SYN-0085</x:v>
      </x:c>
      <x:c r="B297" s="21" t="str">
        <x:v>Synthetic Supplier 0085 LLC</x:v>
      </x:c>
      <x:c r="C297" s="38" t="str">
        <x:f>"900 000 000 000 085"</x:f>
        <x:v>900 000 000 000 085</x:v>
      </x:c>
      <x:c r="D297" s="21" t="str">
        <x:v>SYN-0085-INV-02</x:v>
      </x:c>
      <x:c r="E297" s="39" t="n">
        <x:v>46051</x:v>
      </x:c>
      <x:c r="F297" s="42" t="n">
        <x:v>7658.58</x:v>
      </x:c>
      <x:c r="G297" s="42" t="n">
        <x:v>382.93</x:v>
      </x:c>
      <x:c r="H297" s="42" t="n">
        <x:v>21034.09</x:v>
      </x:c>
      <x:c r="I297" s="39"/>
    </x:row>
    <x:row r="298">
      <x:c r="A298" s="21" t="str">
        <x:v>SYN-0085</x:v>
      </x:c>
      <x:c r="B298" s="21" t="str">
        <x:v>Synthetic Supplier 0085 LLC</x:v>
      </x:c>
      <x:c r="C298" s="38" t="str">
        <x:f>"900 000 000 000 085"</x:f>
        <x:v>900 000 000 000 085</x:v>
      </x:c>
      <x:c r="D298" s="21" t="str">
        <x:v>SYN-0085-INV-03</x:v>
      </x:c>
      <x:c r="E298" s="39" t="n">
        <x:v>46098</x:v>
      </x:c>
      <x:c r="F298" s="42" t="n">
        <x:v>8326.13</x:v>
      </x:c>
      <x:c r="G298" s="42" t="n">
        <x:v>416.31</x:v>
      </x:c>
      <x:c r="H298" s="42" t="n">
        <x:v>21034.09</x:v>
      </x:c>
      <x:c r="I298" s="39"/>
    </x:row>
    <x:row r="299">
      <x:c r="A299" s="21" t="str">
        <x:v>SYN-0086</x:v>
      </x:c>
      <x:c r="B299" s="21" t="str">
        <x:v>Synthetic Supplier 0086 LLC</x:v>
      </x:c>
      <x:c r="C299" s="38" t="str">
        <x:f>"900 000 000 000 086"</x:f>
        <x:v>900 000 000 000 086</x:v>
      </x:c>
      <x:c r="D299" s="21" t="str">
        <x:v>SYN-0086-INV-01</x:v>
      </x:c>
      <x:c r="E299" s="39" t="n">
        <x:v>46017</x:v>
      </x:c>
      <x:c r="F299" s="42" t="n">
        <x:v>3682.77</x:v>
      </x:c>
      <x:c r="G299" s="42" t="n">
        <x:v>184.14</x:v>
      </x:c>
      <x:c r="H299" s="42" t="n">
        <x:v>16886.56</x:v>
      </x:c>
      <x:c r="I299" s="39" t="n">
        <x:v>45820</x:v>
      </x:c>
    </x:row>
    <x:row r="300">
      <x:c r="A300" s="21" t="str">
        <x:v>SYN-0086</x:v>
      </x:c>
      <x:c r="B300" s="21" t="str">
        <x:v>Synthetic Supplier 0086 LLC</x:v>
      </x:c>
      <x:c r="C300" s="38" t="str">
        <x:f>"900 000 000 000 086"</x:f>
        <x:v>900 000 000 000 086</x:v>
      </x:c>
      <x:c r="D300" s="21" t="str">
        <x:v>SYN-0086-INV-02</x:v>
      </x:c>
      <x:c r="E300" s="39" t="n">
        <x:v>46064</x:v>
      </x:c>
      <x:c r="F300" s="42" t="n">
        <x:v>6081.11</x:v>
      </x:c>
      <x:c r="G300" s="42" t="n">
        <x:v>304.06</x:v>
      </x:c>
      <x:c r="H300" s="42" t="n">
        <x:v>16886.56</x:v>
      </x:c>
      <x:c r="I300" s="39" t="n">
        <x:v>45820</x:v>
      </x:c>
    </x:row>
    <x:row r="301">
      <x:c r="A301" s="21" t="str">
        <x:v>SYN-0086</x:v>
      </x:c>
      <x:c r="B301" s="21" t="str">
        <x:v>Synthetic Supplier 0086 LLC</x:v>
      </x:c>
      <x:c r="C301" s="38" t="str">
        <x:f>"900 000 000 000 086"</x:f>
        <x:v>900 000 000 000 086</x:v>
      </x:c>
      <x:c r="D301" s="21" t="str">
        <x:v>SYN-0086-INV-03</x:v>
      </x:c>
      <x:c r="E301" s="39" t="n">
        <x:v>46111</x:v>
      </x:c>
      <x:c r="F301" s="42" t="n">
        <x:v>4344.08</x:v>
      </x:c>
      <x:c r="G301" s="42" t="n">
        <x:v>217.2</x:v>
      </x:c>
      <x:c r="H301" s="42" t="n">
        <x:v>16886.56</x:v>
      </x:c>
      <x:c r="I301" s="39" t="n">
        <x:v>45820</x:v>
      </x:c>
    </x:row>
    <x:row r="302">
      <x:c r="A302" s="21" t="str">
        <x:v>SYN-0086</x:v>
      </x:c>
      <x:c r="B302" s="21" t="str">
        <x:v>Synthetic Supplier 0086 LLC</x:v>
      </x:c>
      <x:c r="C302" s="38" t="str">
        <x:f>"900 000 000 000 086"</x:f>
        <x:v>900 000 000 000 086</x:v>
      </x:c>
      <x:c r="D302" s="21" t="str">
        <x:v>SYN-0086-INV-04</x:v>
      </x:c>
      <x:c r="E302" s="39" t="n">
        <x:v>46158</x:v>
      </x:c>
      <x:c r="F302" s="42" t="n">
        <x:v>4654.89</x:v>
      </x:c>
      <x:c r="G302" s="42" t="n">
        <x:v>232.74</x:v>
      </x:c>
      <x:c r="H302" s="42" t="n">
        <x:v>16886.56</x:v>
      </x:c>
      <x:c r="I302" s="39" t="n">
        <x:v>45820</x:v>
      </x:c>
    </x:row>
    <x:row r="303">
      <x:c r="A303" s="21" t="str">
        <x:v>SYN-0087</x:v>
      </x:c>
      <x:c r="B303" s="21" t="str">
        <x:v>Synthetic Supplier 0087 LLC</x:v>
      </x:c>
      <x:c r="C303" s="38" t="str">
        <x:f>"900 000 000 000 087"</x:f>
        <x:v>900 000 000 000 087</x:v>
      </x:c>
      <x:c r="D303" s="21" t="str">
        <x:v>SYN-0087-INV-01</x:v>
      </x:c>
      <x:c r="E303" s="39" t="n">
        <x:v>46030</x:v>
      </x:c>
      <x:c r="F303" s="42" t="n">
        <x:v>2368.99</x:v>
      </x:c>
      <x:c r="G303" s="42" t="n">
        <x:v>118.45</x:v>
      </x:c>
      <x:c r="H303" s="42" t="n">
        <x:v>14936.31</x:v>
      </x:c>
      <x:c r="I303" s="39" t="n">
        <x:v>46216</x:v>
      </x:c>
    </x:row>
    <x:row r="304">
      <x:c r="A304" s="21" t="str">
        <x:v>SYN-0087</x:v>
      </x:c>
      <x:c r="B304" s="21" t="str">
        <x:v>Synthetic Supplier 0087 LLC</x:v>
      </x:c>
      <x:c r="C304" s="38" t="str">
        <x:f>"900 000 000 000 087"</x:f>
        <x:v>900 000 000 000 087</x:v>
      </x:c>
      <x:c r="D304" s="21" t="str">
        <x:v>SYN-0087-INV-02</x:v>
      </x:c>
      <x:c r="E304" s="39" t="n">
        <x:v>46077</x:v>
      </x:c>
      <x:c r="F304" s="42" t="n">
        <x:v>3669.79</x:v>
      </x:c>
      <x:c r="G304" s="42" t="n">
        <x:v>183.49</x:v>
      </x:c>
      <x:c r="H304" s="42" t="n">
        <x:v>14936.31</x:v>
      </x:c>
      <x:c r="I304" s="39" t="n">
        <x:v>46216</x:v>
      </x:c>
    </x:row>
    <x:row r="305">
      <x:c r="A305" s="21" t="str">
        <x:v>SYN-0087</x:v>
      </x:c>
      <x:c r="B305" s="21" t="str">
        <x:v>Synthetic Supplier 0087 LLC</x:v>
      </x:c>
      <x:c r="C305" s="38" t="str">
        <x:f>"900 000 000 000 087"</x:f>
        <x:v>900 000 000 000 087</x:v>
      </x:c>
      <x:c r="D305" s="21" t="str">
        <x:v>SYN-0087-INV-03</x:v>
      </x:c>
      <x:c r="E305" s="39" t="n">
        <x:v>46124</x:v>
      </x:c>
      <x:c r="F305" s="42" t="n">
        <x:v>4214.05</x:v>
      </x:c>
      <x:c r="G305" s="42" t="n">
        <x:v>210.7</x:v>
      </x:c>
      <x:c r="H305" s="42" t="n">
        <x:v>14936.31</x:v>
      </x:c>
      <x:c r="I305" s="39" t="n">
        <x:v>46216</x:v>
      </x:c>
    </x:row>
    <x:row r="306">
      <x:c r="A306" s="21" t="str">
        <x:v>SYN-0087</x:v>
      </x:c>
      <x:c r="B306" s="21" t="str">
        <x:v>Synthetic Supplier 0087 LLC</x:v>
      </x:c>
      <x:c r="C306" s="38" t="str">
        <x:f>"900 000 000 000 087"</x:f>
        <x:v>900 000 000 000 087</x:v>
      </x:c>
      <x:c r="D306" s="21" t="str">
        <x:v>SYN-0087-INV-04</x:v>
      </x:c>
      <x:c r="E306" s="39" t="n">
        <x:v>46171</x:v>
      </x:c>
      <x:c r="F306" s="42" t="n">
        <x:v>4020.41</x:v>
      </x:c>
      <x:c r="G306" s="42" t="n">
        <x:v>201.02</x:v>
      </x:c>
      <x:c r="H306" s="42" t="n">
        <x:v>14936.31</x:v>
      </x:c>
      <x:c r="I306" s="39" t="n">
        <x:v>46216</x:v>
      </x:c>
    </x:row>
    <x:row r="307">
      <x:c r="A307" s="21" t="str">
        <x:v>SYN-0087</x:v>
      </x:c>
      <x:c r="B307" s="21" t="str">
        <x:v>Synthetic Supplier 0087 LLC</x:v>
      </x:c>
      <x:c r="C307" s="38" t="str">
        <x:f>"900 000 000 000 087"</x:f>
        <x:v>900 000 000 000 087</x:v>
      </x:c>
      <x:c r="D307" s="21" t="str">
        <x:v>SYN-0087-INV-05</x:v>
      </x:c>
      <x:c r="E307" s="39" t="n">
        <x:v>46218</x:v>
      </x:c>
      <x:c r="F307" s="42" t="n">
        <x:v>2322.66</x:v>
      </x:c>
      <x:c r="G307" s="42" t="n">
        <x:v>116.13</x:v>
      </x:c>
      <x:c r="H307" s="42" t="n">
        <x:v>14936.31</x:v>
      </x:c>
      <x:c r="I307" s="39" t="n">
        <x:v>46216</x:v>
      </x:c>
    </x:row>
    <x:row r="308">
      <x:c r="A308" s="21" t="str">
        <x:v>SYN-0088</x:v>
      </x:c>
      <x:c r="B308" s="21" t="str">
        <x:v>Synthetic Supplier 0088 LLC</x:v>
      </x:c>
      <x:c r="C308" s="38" t="str">
        <x:f>"900 000 000 000 088"</x:f>
        <x:v>900 000 000 000 088</x:v>
      </x:c>
      <x:c r="D308" s="21" t="str">
        <x:v>SYN-0088-INV-01</x:v>
      </x:c>
      <x:c r="E308" s="39" t="n">
        <x:v>46043</x:v>
      </x:c>
      <x:c r="F308" s="42" t="n">
        <x:v>7547.32</x:v>
      </x:c>
      <x:c r="G308" s="42" t="n">
        <x:v>377.37</x:v>
      </x:c>
      <x:c r="H308" s="42" t="n">
        <x:v>14581.2</x:v>
      </x:c>
      <x:c r="I308" s="39" t="n">
        <x:v>45883</x:v>
      </x:c>
    </x:row>
    <x:row r="309">
      <x:c r="A309" s="21" t="str">
        <x:v>SYN-0088</x:v>
      </x:c>
      <x:c r="B309" s="21" t="str">
        <x:v>Synthetic Supplier 0088 LLC</x:v>
      </x:c>
      <x:c r="C309" s="38" t="str">
        <x:f>"900 000 000 000 088"</x:f>
        <x:v>900 000 000 000 088</x:v>
      </x:c>
      <x:c r="D309" s="21" t="str">
        <x:v>SYN-0088-INV-02</x:v>
      </x:c>
      <x:c r="E309" s="39" t="n">
        <x:v>46090</x:v>
      </x:c>
      <x:c r="F309" s="42" t="n">
        <x:v>8654.02</x:v>
      </x:c>
      <x:c r="G309" s="42" t="n">
        <x:v>432.7</x:v>
      </x:c>
      <x:c r="H309" s="42" t="n">
        <x:v>14581.2</x:v>
      </x:c>
      <x:c r="I309" s="39" t="n">
        <x:v>45883</x:v>
      </x:c>
    </x:row>
    <x:row r="310">
      <x:c r="A310" s="21" t="str">
        <x:v>SYN-0089</x:v>
      </x:c>
      <x:c r="B310" s="21" t="str">
        <x:v>Synthetic Supplier 0089 LLC</x:v>
      </x:c>
      <x:c r="C310" s="38" t="str">
        <x:f>"900 000 000 000 089"</x:f>
        <x:v>900 000 000 000 089</x:v>
      </x:c>
      <x:c r="D310" s="21" t="str">
        <x:v>SYN-0089-INV-01</x:v>
      </x:c>
      <x:c r="E310" s="39" t="n">
        <x:v>46056</x:v>
      </x:c>
      <x:c r="F310" s="42" t="n">
        <x:v>3348.57</x:v>
      </x:c>
      <x:c r="G310" s="42" t="n">
        <x:v>167.43</x:v>
      </x:c>
      <x:c r="H310" s="42" t="n">
        <x:v>7767.63</x:v>
      </x:c>
      <x:c r="I310" s="39" t="n">
        <x:v>46280</x:v>
      </x:c>
    </x:row>
    <x:row r="311">
      <x:c r="A311" s="21" t="str">
        <x:v>SYN-0089</x:v>
      </x:c>
      <x:c r="B311" s="21" t="str">
        <x:v>Synthetic Supplier 0089 LLC</x:v>
      </x:c>
      <x:c r="C311" s="38" t="str">
        <x:f>"900 000 000 000 089"</x:f>
        <x:v>900 000 000 000 089</x:v>
      </x:c>
      <x:c r="D311" s="21" t="str">
        <x:v>SYN-0089-INV-02</x:v>
      </x:c>
      <x:c r="E311" s="39" t="n">
        <x:v>46103</x:v>
      </x:c>
      <x:c r="F311" s="42" t="n">
        <x:v>3335.19</x:v>
      </x:c>
      <x:c r="G311" s="42" t="n">
        <x:v>166.76</x:v>
      </x:c>
      <x:c r="H311" s="42" t="n">
        <x:v>7767.63</x:v>
      </x:c>
      <x:c r="I311" s="39" t="n">
        <x:v>46280</x:v>
      </x:c>
    </x:row>
    <x:row r="312">
      <x:c r="A312" s="21" t="str">
        <x:v>SYN-0089</x:v>
      </x:c>
      <x:c r="B312" s="21" t="str">
        <x:v>Synthetic Supplier 0089 LLC</x:v>
      </x:c>
      <x:c r="C312" s="38" t="str">
        <x:f>"900 000 000 000 089"</x:f>
        <x:v>900 000 000 000 089</x:v>
      </x:c>
      <x:c r="D312" s="21" t="str">
        <x:v>SYN-0089-INV-03</x:v>
      </x:c>
      <x:c r="E312" s="39" t="n">
        <x:v>46150</x:v>
      </x:c>
      <x:c r="F312" s="42" t="n">
        <x:v>1946.94</x:v>
      </x:c>
      <x:c r="G312" s="42" t="n">
        <x:v>97.35</x:v>
      </x:c>
      <x:c r="H312" s="42" t="n">
        <x:v>7767.63</x:v>
      </x:c>
      <x:c r="I312" s="39" t="n">
        <x:v>46280</x:v>
      </x:c>
    </x:row>
    <x:row r="313">
      <x:c r="A313" s="21" t="str">
        <x:v>SYN-0090</x:v>
      </x:c>
      <x:c r="B313" s="21" t="str">
        <x:v>Synthetic Supplier 0090 LLC</x:v>
      </x:c>
      <x:c r="C313" s="38" t="str">
        <x:f>"900 000 000 000 090"</x:f>
        <x:v>900 000 000 000 090</x:v>
      </x:c>
      <x:c r="D313" s="21" t="str">
        <x:v>SYN-0090-INV-01</x:v>
      </x:c>
      <x:c r="E313" s="39" t="n">
        <x:v>46069</x:v>
      </x:c>
      <x:c r="F313" s="42" t="n">
        <x:v>1938.6</x:v>
      </x:c>
      <x:c r="G313" s="42" t="n">
        <x:v>96.93</x:v>
      </x:c>
      <x:c r="H313" s="42" t="n">
        <x:v>7527.82</x:v>
      </x:c>
      <x:c r="I313" s="39"/>
    </x:row>
    <x:row r="314">
      <x:c r="A314" s="21" t="str">
        <x:v>SYN-0090</x:v>
      </x:c>
      <x:c r="B314" s="21" t="str">
        <x:v>Synthetic Supplier 0090 LLC</x:v>
      </x:c>
      <x:c r="C314" s="38" t="str">
        <x:f>"900 000 000 000 090"</x:f>
        <x:v>900 000 000 000 090</x:v>
      </x:c>
      <x:c r="D314" s="21" t="str">
        <x:v>SYN-0090-INV-02</x:v>
      </x:c>
      <x:c r="E314" s="39" t="n">
        <x:v>46116</x:v>
      </x:c>
      <x:c r="F314" s="42" t="n">
        <x:v>2955.79</x:v>
      </x:c>
      <x:c r="G314" s="42" t="n">
        <x:v>147.79</x:v>
      </x:c>
      <x:c r="H314" s="42" t="n">
        <x:v>7527.82</x:v>
      </x:c>
      <x:c r="I314" s="39"/>
    </x:row>
    <x:row r="315">
      <x:c r="A315" s="21" t="str">
        <x:v>SYN-0090</x:v>
      </x:c>
      <x:c r="B315" s="21" t="str">
        <x:v>Synthetic Supplier 0090 LLC</x:v>
      </x:c>
      <x:c r="C315" s="38" t="str">
        <x:f>"900 000 000 000 090"</x:f>
        <x:v>900 000 000 000 090</x:v>
      </x:c>
      <x:c r="D315" s="21" t="str">
        <x:v>SYN-0090-INV-03</x:v>
      </x:c>
      <x:c r="E315" s="39" t="n">
        <x:v>46163</x:v>
      </x:c>
      <x:c r="F315" s="42" t="n">
        <x:v>1365.79</x:v>
      </x:c>
      <x:c r="G315" s="42" t="n">
        <x:v>68.29</x:v>
      </x:c>
      <x:c r="H315" s="42" t="n">
        <x:v>7527.82</x:v>
      </x:c>
      <x:c r="I315" s="39"/>
    </x:row>
    <x:row r="316">
      <x:c r="A316" s="21" t="str">
        <x:v>SYN-0090</x:v>
      </x:c>
      <x:c r="B316" s="21" t="str">
        <x:v>Synthetic Supplier 0090 LLC</x:v>
      </x:c>
      <x:c r="C316" s="38" t="str">
        <x:f>"900 000 000 000 090"</x:f>
        <x:v>900 000 000 000 090</x:v>
      </x:c>
      <x:c r="D316" s="21" t="str">
        <x:v>SYN-0090-INV-04</x:v>
      </x:c>
      <x:c r="E316" s="39" t="n">
        <x:v>46210</x:v>
      </x:c>
      <x:c r="F316" s="42" t="n">
        <x:v>2104.07</x:v>
      </x:c>
      <x:c r="G316" s="42" t="n">
        <x:v>105.2</x:v>
      </x:c>
      <x:c r="H316" s="42" t="n">
        <x:v>7527.82</x:v>
      </x:c>
      <x:c r="I316" s="39"/>
    </x:row>
    <x:row r="317">
      <x:c r="A317" s="21" t="str">
        <x:v>SYN-0091</x:v>
      </x:c>
      <x:c r="B317" s="21" t="str">
        <x:v>Synthetic Supplier 0091 LLC</x:v>
      </x:c>
      <x:c r="C317" s="38" t="str">
        <x:f>"900 000 000 000 091"</x:f>
        <x:v>900 000 000 000 091</x:v>
      </x:c>
      <x:c r="D317" s="21" t="str">
        <x:v>SYN-0091-INV-01</x:v>
      </x:c>
      <x:c r="E317" s="39" t="n">
        <x:v>46082</x:v>
      </x:c>
      <x:c r="F317" s="42" t="n">
        <x:v>3877.65</x:v>
      </x:c>
      <x:c r="G317" s="42" t="n">
        <x:v>193.88</x:v>
      </x:c>
      <x:c r="H317" s="42" t="n">
        <x:v>66186.28</x:v>
      </x:c>
      <x:c r="I317" s="39" t="n">
        <x:v>46070</x:v>
      </x:c>
    </x:row>
    <x:row r="318">
      <x:c r="A318" s="21" t="str">
        <x:v>SYN-0091</x:v>
      </x:c>
      <x:c r="B318" s="21" t="str">
        <x:v>Synthetic Supplier 0091 LLC</x:v>
      </x:c>
      <x:c r="C318" s="38" t="str">
        <x:f>"900 000 000 000 091"</x:f>
        <x:v>900 000 000 000 091</x:v>
      </x:c>
      <x:c r="D318" s="21" t="str">
        <x:v>SYN-0091-INV-02</x:v>
      </x:c>
      <x:c r="E318" s="39" t="n">
        <x:v>46129</x:v>
      </x:c>
      <x:c r="F318" s="42" t="n">
        <x:v>2734.21</x:v>
      </x:c>
      <x:c r="G318" s="42" t="n">
        <x:v>136.71</x:v>
      </x:c>
      <x:c r="H318" s="42" t="n">
        <x:v>66186.28</x:v>
      </x:c>
      <x:c r="I318" s="39" t="n">
        <x:v>46070</x:v>
      </x:c>
    </x:row>
    <x:row r="319">
      <x:c r="A319" s="21" t="str">
        <x:v>SYN-0091</x:v>
      </x:c>
      <x:c r="B319" s="21" t="str">
        <x:v>Synthetic Supplier 0091 LLC</x:v>
      </x:c>
      <x:c r="C319" s="38" t="str">
        <x:f>"900 000 000 000 091"</x:f>
        <x:v>900 000 000 000 091</x:v>
      </x:c>
      <x:c r="D319" s="21" t="str">
        <x:v>SYN-0091-INV-03</x:v>
      </x:c>
      <x:c r="E319" s="39" t="n">
        <x:v>46176</x:v>
      </x:c>
      <x:c r="F319" s="42" t="n">
        <x:v>2348.57</x:v>
      </x:c>
      <x:c r="G319" s="42" t="n">
        <x:v>117.43</x:v>
      </x:c>
      <x:c r="H319" s="42" t="n">
        <x:v>66186.28</x:v>
      </x:c>
      <x:c r="I319" s="39" t="n">
        <x:v>46070</x:v>
      </x:c>
    </x:row>
    <x:row r="320">
      <x:c r="A320" s="21" t="str">
        <x:v>SYN-0091</x:v>
      </x:c>
      <x:c r="B320" s="21" t="str">
        <x:v>Synthetic Supplier 0091 LLC</x:v>
      </x:c>
      <x:c r="C320" s="38" t="str">
        <x:f>"900 000 000 000 091"</x:f>
        <x:v>900 000 000 000 091</x:v>
      </x:c>
      <x:c r="D320" s="21" t="str">
        <x:v>SYN-0091-INV-04</x:v>
      </x:c>
      <x:c r="E320" s="39" t="n">
        <x:v>46223</x:v>
      </x:c>
      <x:c r="F320" s="42" t="n">
        <x:v>2734.67</x:v>
      </x:c>
      <x:c r="G320" s="42" t="n">
        <x:v>136.73</x:v>
      </x:c>
      <x:c r="H320" s="42" t="n">
        <x:v>66186.28</x:v>
      </x:c>
      <x:c r="I320" s="39" t="n">
        <x:v>46070</x:v>
      </x:c>
    </x:row>
    <x:row r="321">
      <x:c r="A321" s="21" t="str">
        <x:v>SYN-0091</x:v>
      </x:c>
      <x:c r="B321" s="21" t="str">
        <x:v>Synthetic Supplier 0091 LLC</x:v>
      </x:c>
      <x:c r="C321" s="38" t="str">
        <x:f>"900 000 000 000 091"</x:f>
        <x:v>900 000 000 000 091</x:v>
      </x:c>
      <x:c r="D321" s="21" t="str">
        <x:v>SYN-0091-INV-05</x:v>
      </x:c>
      <x:c r="E321" s="39" t="n">
        <x:v>46270</x:v>
      </x:c>
      <x:c r="F321" s="42" t="n">
        <x:v>3012.97</x:v>
      </x:c>
      <x:c r="G321" s="42" t="n">
        <x:v>150.65</x:v>
      </x:c>
      <x:c r="H321" s="42" t="n">
        <x:v>66186.28</x:v>
      </x:c>
      <x:c r="I321" s="39" t="n">
        <x:v>46070</x:v>
      </x:c>
    </x:row>
    <x:row r="322">
      <x:c r="A322" s="21" t="str">
        <x:v>SYN-0092</x:v>
      </x:c>
      <x:c r="B322" s="21" t="str">
        <x:v>Synthetic Supplier 0092 LLC</x:v>
      </x:c>
      <x:c r="C322" s="38" t="str">
        <x:f>"900 000 000 000 092"</x:f>
        <x:v>900 000 000 000 092</x:v>
      </x:c>
      <x:c r="D322" s="21" t="str">
        <x:v>SYN-0092-INV-01</x:v>
      </x:c>
      <x:c r="E322" s="39" t="n">
        <x:v>46095</x:v>
      </x:c>
      <x:c r="F322" s="42" t="n">
        <x:v>12310.39</x:v>
      </x:c>
      <x:c r="G322" s="42" t="n">
        <x:v>615.52</x:v>
      </x:c>
      <x:c r="H322" s="42" t="n">
        <x:v>20459.96</x:v>
      </x:c>
      <x:c r="I322" s="39" t="n">
        <x:v>45734</x:v>
      </x:c>
    </x:row>
    <x:row r="323">
      <x:c r="A323" s="21" t="str">
        <x:v>SYN-0092</x:v>
      </x:c>
      <x:c r="B323" s="21" t="str">
        <x:v>Synthetic Supplier 0092 LLC</x:v>
      </x:c>
      <x:c r="C323" s="38" t="str">
        <x:f>"900 000 000 000 092"</x:f>
        <x:v>900 000 000 000 092</x:v>
      </x:c>
      <x:c r="D323" s="21" t="str">
        <x:v>SYN-0092-INV-02</x:v>
      </x:c>
      <x:c r="E323" s="39" t="n">
        <x:v>46142</x:v>
      </x:c>
      <x:c r="F323" s="42" t="n">
        <x:v>10422.9</x:v>
      </x:c>
      <x:c r="G323" s="42" t="n">
        <x:v>521.14</x:v>
      </x:c>
      <x:c r="H323" s="42" t="n">
        <x:v>20459.96</x:v>
      </x:c>
      <x:c r="I323" s="39" t="n">
        <x:v>45734</x:v>
      </x:c>
    </x:row>
    <x:row r="324">
      <x:c r="A324" s="21" t="str">
        <x:v>SYN-0093</x:v>
      </x:c>
      <x:c r="B324" s="21" t="str">
        <x:v>Synthetic Supplier 0093 LLC</x:v>
      </x:c>
      <x:c r="C324" s="38" t="str">
        <x:f>"900 000 000 000 093"</x:f>
        <x:v>900 000 000 000 093</x:v>
      </x:c>
      <x:c r="D324" s="21" t="str">
        <x:v>SYN-0093-INV-01</x:v>
      </x:c>
      <x:c r="E324" s="39" t="n">
        <x:v>46108</x:v>
      </x:c>
      <x:c r="F324" s="42" t="n">
        <x:v>7008.94</x:v>
      </x:c>
      <x:c r="G324" s="42" t="n">
        <x:v>350.45</x:v>
      </x:c>
      <x:c r="H324" s="42" t="n">
        <x:v>18389.31</x:v>
      </x:c>
      <x:c r="I324" s="39" t="n">
        <x:v>46131</x:v>
      </x:c>
    </x:row>
    <x:row r="325">
      <x:c r="A325" s="21" t="str">
        <x:v>SYN-0093</x:v>
      </x:c>
      <x:c r="B325" s="21" t="str">
        <x:v>Synthetic Supplier 0093 LLC</x:v>
      </x:c>
      <x:c r="C325" s="38" t="str">
        <x:f>"900 000 000 000 093"</x:f>
        <x:v>900 000 000 000 093</x:v>
      </x:c>
      <x:c r="D325" s="21" t="str">
        <x:v>SYN-0093-INV-02</x:v>
      </x:c>
      <x:c r="E325" s="39" t="n">
        <x:v>46155</x:v>
      </x:c>
      <x:c r="F325" s="42" t="n">
        <x:v>6428.67</x:v>
      </x:c>
      <x:c r="G325" s="42" t="n">
        <x:v>321.43</x:v>
      </x:c>
      <x:c r="H325" s="42" t="n">
        <x:v>18389.31</x:v>
      </x:c>
      <x:c r="I325" s="39" t="n">
        <x:v>46131</x:v>
      </x:c>
    </x:row>
    <x:row r="326">
      <x:c r="A326" s="21" t="str">
        <x:v>SYN-0093</x:v>
      </x:c>
      <x:c r="B326" s="21" t="str">
        <x:v>Synthetic Supplier 0093 LLC</x:v>
      </x:c>
      <x:c r="C326" s="38" t="str">
        <x:f>"900 000 000 000 093"</x:f>
        <x:v>900 000 000 000 093</x:v>
      </x:c>
      <x:c r="D326" s="21" t="str">
        <x:v>SYN-0093-INV-03</x:v>
      </x:c>
      <x:c r="E326" s="39" t="n">
        <x:v>46202</x:v>
      </x:c>
      <x:c r="F326" s="42" t="n">
        <x:v>6994.96</x:v>
      </x:c>
      <x:c r="G326" s="42" t="n">
        <x:v>349.75</x:v>
      </x:c>
      <x:c r="H326" s="42" t="n">
        <x:v>18389.31</x:v>
      </x:c>
      <x:c r="I326" s="39" t="n">
        <x:v>46131</x:v>
      </x:c>
    </x:row>
    <x:row r="327">
      <x:c r="A327" s="21" t="str">
        <x:v>SYN-0094</x:v>
      </x:c>
      <x:c r="B327" s="21" t="str">
        <x:v>Synthetic Supplier 0094 LLC</x:v>
      </x:c>
      <x:c r="C327" s="38" t="str">
        <x:f>"900 000 000 000 094"</x:f>
        <x:v>900 000 000 000 094</x:v>
      </x:c>
      <x:c r="D327" s="21" t="str">
        <x:v>SYN-0094-INV-01</x:v>
      </x:c>
      <x:c r="E327" s="39" t="n">
        <x:v>46121</x:v>
      </x:c>
      <x:c r="F327" s="42" t="n">
        <x:v>5700.84</x:v>
      </x:c>
      <x:c r="G327" s="42" t="n">
        <x:v>285.04</x:v>
      </x:c>
      <x:c r="H327" s="42" t="n">
        <x:v>25897.86</x:v>
      </x:c>
      <x:c r="I327" s="39" t="n">
        <x:v>45797</x:v>
      </x:c>
    </x:row>
    <x:row r="328">
      <x:c r="A328" s="21" t="str">
        <x:v>SYN-0094</x:v>
      </x:c>
      <x:c r="B328" s="21" t="str">
        <x:v>Synthetic Supplier 0094 LLC</x:v>
      </x:c>
      <x:c r="C328" s="38" t="str">
        <x:f>"900 000 000 000 094"</x:f>
        <x:v>900 000 000 000 094</x:v>
      </x:c>
      <x:c r="D328" s="21" t="str">
        <x:v>SYN-0094-INV-02</x:v>
      </x:c>
      <x:c r="E328" s="39" t="n">
        <x:v>46168</x:v>
      </x:c>
      <x:c r="F328" s="42" t="n">
        <x:v>7756.28</x:v>
      </x:c>
      <x:c r="G328" s="42" t="n">
        <x:v>387.81</x:v>
      </x:c>
      <x:c r="H328" s="42" t="n">
        <x:v>25897.86</x:v>
      </x:c>
      <x:c r="I328" s="39" t="n">
        <x:v>45797</x:v>
      </x:c>
    </x:row>
    <x:row r="329">
      <x:c r="A329" s="21" t="str">
        <x:v>SYN-0094</x:v>
      </x:c>
      <x:c r="B329" s="21" t="str">
        <x:v>Synthetic Supplier 0094 LLC</x:v>
      </x:c>
      <x:c r="C329" s="38" t="str">
        <x:f>"900 000 000 000 094"</x:f>
        <x:v>900 000 000 000 094</x:v>
      </x:c>
      <x:c r="D329" s="21" t="str">
        <x:v>SYN-0094-INV-03</x:v>
      </x:c>
      <x:c r="E329" s="39" t="n">
        <x:v>46215</x:v>
      </x:c>
      <x:c r="F329" s="42" t="n">
        <x:v>8097.53</x:v>
      </x:c>
      <x:c r="G329" s="42" t="n">
        <x:v>404.88</x:v>
      </x:c>
      <x:c r="H329" s="42" t="n">
        <x:v>25897.86</x:v>
      </x:c>
      <x:c r="I329" s="39" t="n">
        <x:v>45797</x:v>
      </x:c>
    </x:row>
    <x:row r="330">
      <x:c r="A330" s="21" t="str">
        <x:v>SYN-0094</x:v>
      </x:c>
      <x:c r="B330" s="21" t="str">
        <x:v>Synthetic Supplier 0094 LLC</x:v>
      </x:c>
      <x:c r="C330" s="38" t="str">
        <x:f>"900 000 000 000 094"</x:f>
        <x:v>900 000 000 000 094</x:v>
      </x:c>
      <x:c r="D330" s="21" t="str">
        <x:v>SYN-0094-INV-04</x:v>
      </x:c>
      <x:c r="E330" s="39" t="n">
        <x:v>46262</x:v>
      </x:c>
      <x:c r="F330" s="42" t="n">
        <x:v>7220.76</x:v>
      </x:c>
      <x:c r="G330" s="42" t="n">
        <x:v>361.04</x:v>
      </x:c>
      <x:c r="H330" s="42" t="n">
        <x:v>25897.86</x:v>
      </x:c>
      <x:c r="I330" s="39" t="n">
        <x:v>45797</x:v>
      </x:c>
    </x:row>
    <x:row r="331">
      <x:c r="A331" s="21" t="str">
        <x:v>SYN-0095</x:v>
      </x:c>
      <x:c r="B331" s="21" t="str">
        <x:v>Synthetic Supplier 0095 LLC</x:v>
      </x:c>
      <x:c r="C331" s="38" t="str">
        <x:f>"900 000 000 000 095"</x:f>
        <x:v>900 000 000 000 095</x:v>
      </x:c>
      <x:c r="D331" s="21" t="str">
        <x:v>SYN-0095-INV-01</x:v>
      </x:c>
      <x:c r="E331" s="39" t="n">
        <x:v>46134</x:v>
      </x:c>
      <x:c r="F331" s="42" t="n">
        <x:v>2016.79</x:v>
      </x:c>
      <x:c r="G331" s="42" t="n">
        <x:v>100.84</x:v>
      </x:c>
      <x:c r="H331" s="42" t="n">
        <x:v>15475.68</x:v>
      </x:c>
      <x:c r="I331" s="39"/>
    </x:row>
    <x:row r="332">
      <x:c r="A332" s="21" t="str">
        <x:v>SYN-0095</x:v>
      </x:c>
      <x:c r="B332" s="21" t="str">
        <x:v>Synthetic Supplier 0095 LLC</x:v>
      </x:c>
      <x:c r="C332" s="38" t="str">
        <x:f>"900 000 000 000 095"</x:f>
        <x:v>900 000 000 000 095</x:v>
      </x:c>
      <x:c r="D332" s="21" t="str">
        <x:v>SYN-0095-INV-02</x:v>
      </x:c>
      <x:c r="E332" s="39" t="n">
        <x:v>46181</x:v>
      </x:c>
      <x:c r="F332" s="42" t="n">
        <x:v>2256.13</x:v>
      </x:c>
      <x:c r="G332" s="42" t="n">
        <x:v>112.81</x:v>
      </x:c>
      <x:c r="H332" s="42" t="n">
        <x:v>15475.68</x:v>
      </x:c>
      <x:c r="I332" s="39"/>
    </x:row>
    <x:row r="333">
      <x:c r="A333" s="21" t="str">
        <x:v>SYN-0095</x:v>
      </x:c>
      <x:c r="B333" s="21" t="str">
        <x:v>Synthetic Supplier 0095 LLC</x:v>
      </x:c>
      <x:c r="C333" s="38" t="str">
        <x:f>"900 000 000 000 095"</x:f>
        <x:v>900 000 000 000 095</x:v>
      </x:c>
      <x:c r="D333" s="21" t="str">
        <x:v>SYN-0095-INV-03</x:v>
      </x:c>
      <x:c r="E333" s="39" t="n">
        <x:v>46228</x:v>
      </x:c>
      <x:c r="F333" s="42" t="n">
        <x:v>4714.52</x:v>
      </x:c>
      <x:c r="G333" s="42" t="n">
        <x:v>235.73</x:v>
      </x:c>
      <x:c r="H333" s="42" t="n">
        <x:v>15475.68</x:v>
      </x:c>
      <x:c r="I333" s="39"/>
    </x:row>
    <x:row r="334">
      <x:c r="A334" s="21" t="str">
        <x:v>SYN-0095</x:v>
      </x:c>
      <x:c r="B334" s="21" t="str">
        <x:v>Synthetic Supplier 0095 LLC</x:v>
      </x:c>
      <x:c r="C334" s="38" t="str">
        <x:f>"900 000 000 000 095"</x:f>
        <x:v>900 000 000 000 095</x:v>
      </x:c>
      <x:c r="D334" s="21" t="str">
        <x:v>SYN-0095-INV-04</x:v>
      </x:c>
      <x:c r="E334" s="39" t="n">
        <x:v>46275</x:v>
      </x:c>
      <x:c r="F334" s="42" t="n">
        <x:v>4183.73</x:v>
      </x:c>
      <x:c r="G334" s="42" t="n">
        <x:v>209.19</x:v>
      </x:c>
      <x:c r="H334" s="42" t="n">
        <x:v>15475.68</x:v>
      </x:c>
      <x:c r="I334" s="39"/>
    </x:row>
    <x:row r="335">
      <x:c r="A335" s="21" t="str">
        <x:v>SYN-0095</x:v>
      </x:c>
      <x:c r="B335" s="21" t="str">
        <x:v>Synthetic Supplier 0095 LLC</x:v>
      </x:c>
      <x:c r="C335" s="38" t="str">
        <x:f>"900 000 000 000 095"</x:f>
        <x:v>900 000 000 000 095</x:v>
      </x:c>
      <x:c r="D335" s="21" t="str">
        <x:v>SYN-0095-INV-05</x:v>
      </x:c>
      <x:c r="E335" s="39" t="n">
        <x:v>45962</x:v>
      </x:c>
      <x:c r="F335" s="42" t="n">
        <x:v>4024.04</x:v>
      </x:c>
      <x:c r="G335" s="42" t="n">
        <x:v>201.2</x:v>
      </x:c>
      <x:c r="H335" s="42" t="n">
        <x:v>15475.68</x:v>
      </x:c>
      <x:c r="I335" s="39"/>
    </x:row>
    <x:row r="336">
      <x:c r="A336" s="21" t="str">
        <x:v>SYN-0096</x:v>
      </x:c>
      <x:c r="B336" s="21" t="str">
        <x:v>Synthetic Supplier 0096 LLC</x:v>
      </x:c>
      <x:c r="C336" s="38" t="str">
        <x:f>"900 000 000 000 096"</x:f>
        <x:v>900 000 000 000 096</x:v>
      </x:c>
      <x:c r="D336" s="21" t="str">
        <x:v>SYN-0096-INV-01</x:v>
      </x:c>
      <x:c r="E336" s="39" t="n">
        <x:v>46147</x:v>
      </x:c>
      <x:c r="F336" s="42" t="n">
        <x:v>15172.7</x:v>
      </x:c>
      <x:c r="G336" s="42" t="n">
        <x:v>758.64</x:v>
      </x:c>
      <x:c r="H336" s="42" t="n">
        <x:v>24045.07</x:v>
      </x:c>
      <x:c r="I336" s="39" t="n">
        <x:v>45860</x:v>
      </x:c>
    </x:row>
    <x:row r="337">
      <x:c r="A337" s="21" t="str">
        <x:v>SYN-0096</x:v>
      </x:c>
      <x:c r="B337" s="21" t="str">
        <x:v>Synthetic Supplier 0096 LLC</x:v>
      </x:c>
      <x:c r="C337" s="38" t="str">
        <x:f>"900 000 000 000 096"</x:f>
        <x:v>900 000 000 000 096</x:v>
      </x:c>
      <x:c r="D337" s="21" t="str">
        <x:v>SYN-0096-INV-02</x:v>
      </x:c>
      <x:c r="E337" s="39" t="n">
        <x:v>46194</x:v>
      </x:c>
      <x:c r="F337" s="42" t="n">
        <x:v>11544.04</x:v>
      </x:c>
      <x:c r="G337" s="42" t="n">
        <x:v>577.2</x:v>
      </x:c>
      <x:c r="H337" s="42" t="n">
        <x:v>24045.07</x:v>
      </x:c>
      <x:c r="I337" s="39" t="n">
        <x:v>45860</x:v>
      </x:c>
    </x:row>
    <x:row r="338">
      <x:c r="A338" s="21" t="str">
        <x:v>SYN-0097</x:v>
      </x:c>
      <x:c r="B338" s="21" t="str">
        <x:v>Synthetic Supplier 0097 LLC</x:v>
      </x:c>
      <x:c r="C338" s="38" t="str">
        <x:f>"900 000 000 000 097"</x:f>
        <x:v>900 000 000 000 097</x:v>
      </x:c>
      <x:c r="D338" s="21" t="str">
        <x:v>SYN-0097-INV-01</x:v>
      </x:c>
      <x:c r="E338" s="39" t="n">
        <x:v>46160</x:v>
      </x:c>
      <x:c r="F338" s="42" t="n">
        <x:v>5220.78</x:v>
      </x:c>
      <x:c r="G338" s="42" t="n">
        <x:v>261.04</x:v>
      </x:c>
      <x:c r="H338" s="42" t="n">
        <x:v>17880.34</x:v>
      </x:c>
      <x:c r="I338" s="39" t="n">
        <x:v>46257</x:v>
      </x:c>
    </x:row>
    <x:row r="339">
      <x:c r="A339" s="21" t="str">
        <x:v>SYN-0097</x:v>
      </x:c>
      <x:c r="B339" s="21" t="str">
        <x:v>Synthetic Supplier 0097 LLC</x:v>
      </x:c>
      <x:c r="C339" s="38" t="str">
        <x:f>"900 000 000 000 097"</x:f>
        <x:v>900 000 000 000 097</x:v>
      </x:c>
      <x:c r="D339" s="21" t="str">
        <x:v>SYN-0097-INV-02</x:v>
      </x:c>
      <x:c r="E339" s="39" t="n">
        <x:v>46207</x:v>
      </x:c>
      <x:c r="F339" s="42" t="n">
        <x:v>8678.26</x:v>
      </x:c>
      <x:c r="G339" s="42" t="n">
        <x:v>433.91</x:v>
      </x:c>
      <x:c r="H339" s="42" t="n">
        <x:v>17880.34</x:v>
      </x:c>
      <x:c r="I339" s="39" t="n">
        <x:v>46257</x:v>
      </x:c>
    </x:row>
    <x:row r="340">
      <x:c r="A340" s="21" t="str">
        <x:v>SYN-0097</x:v>
      </x:c>
      <x:c r="B340" s="21" t="str">
        <x:v>Synthetic Supplier 0097 LLC</x:v>
      </x:c>
      <x:c r="C340" s="38" t="str">
        <x:f>"900 000 000 000 097"</x:f>
        <x:v>900 000 000 000 097</x:v>
      </x:c>
      <x:c r="D340" s="21" t="str">
        <x:v>SYN-0097-INV-03</x:v>
      </x:c>
      <x:c r="E340" s="39" t="n">
        <x:v>46254</x:v>
      </x:c>
      <x:c r="F340" s="42" t="n">
        <x:v>5968.01</x:v>
      </x:c>
      <x:c r="G340" s="42" t="n">
        <x:v>298.4</x:v>
      </x:c>
      <x:c r="H340" s="42" t="n">
        <x:v>17880.34</x:v>
      </x:c>
      <x:c r="I340" s="39" t="n">
        <x:v>46257</x:v>
      </x:c>
    </x:row>
    <x:row r="341">
      <x:c r="A341" s="21" t="str">
        <x:v>SYN-0098</x:v>
      </x:c>
      <x:c r="B341" s="21" t="str">
        <x:v>Synthetic Supplier 0098 LLC</x:v>
      </x:c>
      <x:c r="C341" s="38" t="str">
        <x:f>"900 000 000 000 098"</x:f>
        <x:v>900 000 000 000 098</x:v>
      </x:c>
      <x:c r="D341" s="21" t="str">
        <x:v>SYN-0098-INV-01</x:v>
      </x:c>
      <x:c r="E341" s="39" t="n">
        <x:v>46173</x:v>
      </x:c>
      <x:c r="F341" s="42" t="n">
        <x:v>3050.66</x:v>
      </x:c>
      <x:c r="G341" s="42" t="n">
        <x:v>152.53</x:v>
      </x:c>
      <x:c r="H341" s="42" t="n">
        <x:v>68440.22</x:v>
      </x:c>
      <x:c r="I341" s="39" t="n">
        <x:v>45924</x:v>
      </x:c>
    </x:row>
    <x:row r="342">
      <x:c r="A342" s="21" t="str">
        <x:v>SYN-0098</x:v>
      </x:c>
      <x:c r="B342" s="21" t="str">
        <x:v>Synthetic Supplier 0098 LLC</x:v>
      </x:c>
      <x:c r="C342" s="38" t="str">
        <x:f>"900 000 000 000 098"</x:f>
        <x:v>900 000 000 000 098</x:v>
      </x:c>
      <x:c r="D342" s="21" t="str">
        <x:v>SYN-0098-INV-02</x:v>
      </x:c>
      <x:c r="E342" s="39" t="n">
        <x:v>46220</x:v>
      </x:c>
      <x:c r="F342" s="42" t="n">
        <x:v>2991.45</x:v>
      </x:c>
      <x:c r="G342" s="42" t="n">
        <x:v>149.57</x:v>
      </x:c>
      <x:c r="H342" s="42" t="n">
        <x:v>68440.22</x:v>
      </x:c>
      <x:c r="I342" s="39" t="n">
        <x:v>45924</x:v>
      </x:c>
    </x:row>
    <x:row r="343">
      <x:c r="A343" s="21" t="str">
        <x:v>SYN-0098</x:v>
      </x:c>
      <x:c r="B343" s="21" t="str">
        <x:v>Synthetic Supplier 0098 LLC</x:v>
      </x:c>
      <x:c r="C343" s="38" t="str">
        <x:f>"900 000 000 000 098"</x:f>
        <x:v>900 000 000 000 098</x:v>
      </x:c>
      <x:c r="D343" s="21" t="str">
        <x:v>SYN-0098-INV-03</x:v>
      </x:c>
      <x:c r="E343" s="39" t="n">
        <x:v>46267</x:v>
      </x:c>
      <x:c r="F343" s="42" t="n">
        <x:v>4896.24</x:v>
      </x:c>
      <x:c r="G343" s="42" t="n">
        <x:v>244.81</x:v>
      </x:c>
      <x:c r="H343" s="42" t="n">
        <x:v>68440.22</x:v>
      </x:c>
      <x:c r="I343" s="39" t="n">
        <x:v>45924</x:v>
      </x:c>
    </x:row>
    <x:row r="344">
      <x:c r="A344" s="21" t="str">
        <x:v>SYN-0098</x:v>
      </x:c>
      <x:c r="B344" s="21" t="str">
        <x:v>Synthetic Supplier 0098 LLC</x:v>
      </x:c>
      <x:c r="C344" s="38" t="str">
        <x:f>"900 000 000 000 098"</x:f>
        <x:v>900 000 000 000 098</x:v>
      </x:c>
      <x:c r="D344" s="21" t="str">
        <x:v>SYN-0098-INV-04</x:v>
      </x:c>
      <x:c r="E344" s="39" t="n">
        <x:v>45954</x:v>
      </x:c>
      <x:c r="F344" s="42" t="n">
        <x:v>4270.58</x:v>
      </x:c>
      <x:c r="G344" s="42" t="n">
        <x:v>213.53</x:v>
      </x:c>
      <x:c r="H344" s="42" t="n">
        <x:v>68440.22</x:v>
      </x:c>
      <x:c r="I344" s="39" t="n">
        <x:v>45924</x:v>
      </x:c>
    </x:row>
    <x:row r="345">
      <x:c r="A345" s="21" t="str">
        <x:v>SYN-0099</x:v>
      </x:c>
      <x:c r="B345" s="21" t="str">
        <x:v>Synthetic Supplier 0099 LLC</x:v>
      </x:c>
      <x:c r="C345" s="38" t="str">
        <x:f>"900 000 000 000 099"</x:f>
        <x:v>900 000 000 000 099</x:v>
      </x:c>
      <x:c r="D345" s="21" t="str">
        <x:v>SYN-0099-INV-01</x:v>
      </x:c>
      <x:c r="E345" s="39" t="n">
        <x:v>46186</x:v>
      </x:c>
      <x:c r="F345" s="42" t="n">
        <x:v>4352.29</x:v>
      </x:c>
      <x:c r="G345" s="42" t="n">
        <x:v>217.61</x:v>
      </x:c>
      <x:c r="H345" s="42" t="n">
        <x:v>16505.39</x:v>
      </x:c>
      <x:c r="I345" s="39" t="n">
        <x:v>46047</x:v>
      </x:c>
    </x:row>
    <x:row r="346">
      <x:c r="A346" s="21" t="str">
        <x:v>SYN-0099</x:v>
      </x:c>
      <x:c r="B346" s="21" t="str">
        <x:v>Synthetic Supplier 0099 LLC</x:v>
      </x:c>
      <x:c r="C346" s="38" t="str">
        <x:f>"900 000 000 000 099"</x:f>
        <x:v>900 000 000 000 099</x:v>
      </x:c>
      <x:c r="D346" s="21" t="str">
        <x:v>SYN-0099-INV-02</x:v>
      </x:c>
      <x:c r="E346" s="39" t="n">
        <x:v>46233</x:v>
      </x:c>
      <x:c r="F346" s="42" t="n">
        <x:v>2615.82</x:v>
      </x:c>
      <x:c r="G346" s="42" t="n">
        <x:v>130.79</x:v>
      </x:c>
      <x:c r="H346" s="42" t="n">
        <x:v>16505.39</x:v>
      </x:c>
      <x:c r="I346" s="39" t="n">
        <x:v>46047</x:v>
      </x:c>
    </x:row>
    <x:row r="347">
      <x:c r="A347" s="21" t="str">
        <x:v>SYN-0099</x:v>
      </x:c>
      <x:c r="B347" s="21" t="str">
        <x:v>Synthetic Supplier 0099 LLC</x:v>
      </x:c>
      <x:c r="C347" s="38" t="str">
        <x:f>"900 000 000 000 099"</x:f>
        <x:v>900 000 000 000 099</x:v>
      </x:c>
      <x:c r="D347" s="21" t="str">
        <x:v>SYN-0099-INV-03</x:v>
      </x:c>
      <x:c r="E347" s="39" t="n">
        <x:v>46280</x:v>
      </x:c>
      <x:c r="F347" s="42" t="n">
        <x:v>4075.6</x:v>
      </x:c>
      <x:c r="G347" s="42" t="n">
        <x:v>203.78</x:v>
      </x:c>
      <x:c r="H347" s="42" t="n">
        <x:v>16505.39</x:v>
      </x:c>
      <x:c r="I347" s="39" t="n">
        <x:v>46047</x:v>
      </x:c>
    </x:row>
    <x:row r="348">
      <x:c r="A348" s="21" t="str">
        <x:v>SYN-0099</x:v>
      </x:c>
      <x:c r="B348" s="21" t="str">
        <x:v>Synthetic Supplier 0099 LLC</x:v>
      </x:c>
      <x:c r="C348" s="38" t="str">
        <x:f>"900 000 000 000 099"</x:f>
        <x:v>900 000 000 000 099</x:v>
      </x:c>
      <x:c r="D348" s="21" t="str">
        <x:v>SYN-0099-INV-04</x:v>
      </x:c>
      <x:c r="E348" s="39" t="n">
        <x:v>45967</x:v>
      </x:c>
      <x:c r="F348" s="42" t="n">
        <x:v>3196.09</x:v>
      </x:c>
      <x:c r="G348" s="42" t="n">
        <x:v>159.8</x:v>
      </x:c>
      <x:c r="H348" s="42" t="n">
        <x:v>16505.39</x:v>
      </x:c>
      <x:c r="I348" s="39" t="n">
        <x:v>46047</x:v>
      </x:c>
    </x:row>
    <x:row r="349">
      <x:c r="A349" s="21" t="str">
        <x:v>SYN-0099</x:v>
      </x:c>
      <x:c r="B349" s="21" t="str">
        <x:v>Synthetic Supplier 0099 LLC</x:v>
      </x:c>
      <x:c r="C349" s="38" t="str">
        <x:f>"900 000 000 000 099"</x:f>
        <x:v>900 000 000 000 099</x:v>
      </x:c>
      <x:c r="D349" s="21" t="str">
        <x:v>SYN-0099-INV-05</x:v>
      </x:c>
      <x:c r="E349" s="39" t="n">
        <x:v>46014</x:v>
      </x:c>
      <x:c r="F349" s="42" t="n">
        <x:v>4099.51</x:v>
      </x:c>
      <x:c r="G349" s="42" t="n">
        <x:v>204.98</x:v>
      </x:c>
      <x:c r="H349" s="42" t="n">
        <x:v>16505.39</x:v>
      </x:c>
      <x:c r="I349" s="39" t="n">
        <x:v>46047</x:v>
      </x:c>
    </x:row>
    <x:row r="350">
      <x:c r="A350" s="21" t="str">
        <x:v>SYN-0100</x:v>
      </x:c>
      <x:c r="B350" s="21" t="str">
        <x:v>Synthetic Supplier 0100 LLC</x:v>
      </x:c>
      <x:c r="C350" s="38" t="str">
        <x:f>"900 000 000 000 100"</x:f>
        <x:v>900 000 000 000 100</x:v>
      </x:c>
      <x:c r="D350" s="21" t="str">
        <x:v>SYN-0100-INV-01</x:v>
      </x:c>
      <x:c r="E350" s="39" t="n">
        <x:v>46199</x:v>
      </x:c>
      <x:c r="F350" s="42" t="n">
        <x:v>3518.53</x:v>
      </x:c>
      <x:c r="G350" s="42" t="n">
        <x:v>175.93</x:v>
      </x:c>
      <x:c r="H350" s="42" t="n">
        <x:v>8217.29</x:v>
      </x:c>
      <x:c r="I350" s="39"/>
    </x:row>
    <x:row r="351">
      <x:c r="A351" s="21" t="str">
        <x:v>SYN-0100</x:v>
      </x:c>
      <x:c r="B351" s="21" t="str">
        <x:v>Synthetic Supplier 0100 LLC</x:v>
      </x:c>
      <x:c r="C351" s="38" t="str">
        <x:f>"900 000 000 000 100"</x:f>
        <x:v>900 000 000 000 100</x:v>
      </x:c>
      <x:c r="D351" s="21" t="str">
        <x:v>SYN-0100-INV-02</x:v>
      </x:c>
      <x:c r="E351" s="39" t="n">
        <x:v>46246</x:v>
      </x:c>
      <x:c r="F351" s="42" t="n">
        <x:v>5611.79</x:v>
      </x:c>
      <x:c r="G351" s="42" t="n">
        <x:v>280.59</x:v>
      </x:c>
      <x:c r="H351" s="42" t="n">
        <x:v>8217.29</x:v>
      </x:c>
      <x:c r="I351" s="39"/>
    </x:row>
    <x:row r="352">
      <x:c r="A352" s="21" t="str">
        <x:v>SYN-0101</x:v>
      </x:c>
      <x:c r="B352" s="21" t="str">
        <x:v>Synthetic Supplier 0101 LLC</x:v>
      </x:c>
      <x:c r="C352" s="38" t="str">
        <x:f>"900 000 000 000 101"</x:f>
        <x:v>900 000 000 000 101</x:v>
      </x:c>
      <x:c r="D352" s="21" t="str">
        <x:v>SYN-0101-INV-01</x:v>
      </x:c>
      <x:c r="E352" s="39" t="n">
        <x:v>46212</x:v>
      </x:c>
      <x:c r="F352" s="42" t="n">
        <x:v>8789.72</x:v>
      </x:c>
      <x:c r="G352" s="42" t="n">
        <x:v>439.49</x:v>
      </x:c>
      <x:c r="H352" s="42" t="n">
        <x:v>25681.47</x:v>
      </x:c>
      <x:c r="I352" s="39" t="n">
        <x:v>46083</x:v>
      </x:c>
    </x:row>
    <x:row r="353">
      <x:c r="A353" s="21" t="str">
        <x:v>SYN-0101</x:v>
      </x:c>
      <x:c r="B353" s="21" t="str">
        <x:v>Synthetic Supplier 0101 LLC</x:v>
      </x:c>
      <x:c r="C353" s="38" t="str">
        <x:f>"900 000 000 000 101"</x:f>
        <x:v>900 000 000 000 101</x:v>
      </x:c>
      <x:c r="D353" s="21" t="str">
        <x:v>SYN-0101-INV-02</x:v>
      </x:c>
      <x:c r="E353" s="39" t="n">
        <x:v>46259</x:v>
      </x:c>
      <x:c r="F353" s="42" t="n">
        <x:v>9417.03</x:v>
      </x:c>
      <x:c r="G353" s="42" t="n">
        <x:v>470.85</x:v>
      </x:c>
      <x:c r="H353" s="42" t="n">
        <x:v>25681.47</x:v>
      </x:c>
      <x:c r="I353" s="39" t="n">
        <x:v>46083</x:v>
      </x:c>
    </x:row>
    <x:row r="354">
      <x:c r="A354" s="21" t="str">
        <x:v>SYN-0101</x:v>
      </x:c>
      <x:c r="B354" s="21" t="str">
        <x:v>Synthetic Supplier 0101 LLC</x:v>
      </x:c>
      <x:c r="C354" s="38" t="str">
        <x:f>"900 000 000 000 101"</x:f>
        <x:v>900 000 000 000 101</x:v>
      </x:c>
      <x:c r="D354" s="21" t="str">
        <x:v>SYN-0101-INV-03</x:v>
      </x:c>
      <x:c r="E354" s="39" t="n">
        <x:v>45946</x:v>
      </x:c>
      <x:c r="F354" s="42" t="n">
        <x:v>10328.22</x:v>
      </x:c>
      <x:c r="G354" s="42" t="n">
        <x:v>516.41</x:v>
      </x:c>
      <x:c r="H354" s="42" t="n">
        <x:v>25681.47</x:v>
      </x:c>
      <x:c r="I354" s="39" t="n">
        <x:v>46083</x:v>
      </x:c>
    </x:row>
    <x:row r="355">
      <x:c r="A355" s="21" t="str">
        <x:v>SYN-0102</x:v>
      </x:c>
      <x:c r="B355" s="21" t="str">
        <x:v>Synthetic Supplier 0102 LLC</x:v>
      </x:c>
      <x:c r="C355" s="38" t="str">
        <x:f>"900 000 000 000 102"</x:f>
        <x:v>900 000 000 000 102</x:v>
      </x:c>
      <x:c r="D355" s="21" t="str">
        <x:v>SYN-0102-INV-01</x:v>
      </x:c>
      <x:c r="E355" s="39" t="n">
        <x:v>46225</x:v>
      </x:c>
      <x:c r="F355" s="42" t="n">
        <x:v>2895.94</x:v>
      </x:c>
      <x:c r="G355" s="42" t="n">
        <x:v>144.8</x:v>
      </x:c>
      <x:c r="H355" s="42" t="n">
        <x:v>16968.38</x:v>
      </x:c>
      <x:c r="I355" s="39" t="n">
        <x:v>45750</x:v>
      </x:c>
    </x:row>
    <x:row r="356">
      <x:c r="A356" s="21" t="str">
        <x:v>SYN-0102</x:v>
      </x:c>
      <x:c r="B356" s="21" t="str">
        <x:v>Synthetic Supplier 0102 LLC</x:v>
      </x:c>
      <x:c r="C356" s="38" t="str">
        <x:f>"900 000 000 000 102"</x:f>
        <x:v>900 000 000 000 102</x:v>
      </x:c>
      <x:c r="D356" s="21" t="str">
        <x:v>SYN-0102-INV-02</x:v>
      </x:c>
      <x:c r="E356" s="39" t="n">
        <x:v>46272</x:v>
      </x:c>
      <x:c r="F356" s="42" t="n">
        <x:v>5506.12</x:v>
      </x:c>
      <x:c r="G356" s="42" t="n">
        <x:v>275.31</x:v>
      </x:c>
      <x:c r="H356" s="42" t="n">
        <x:v>16968.38</x:v>
      </x:c>
      <x:c r="I356" s="39" t="n">
        <x:v>45750</x:v>
      </x:c>
    </x:row>
    <x:row r="357">
      <x:c r="A357" s="21" t="str">
        <x:v>SYN-0102</x:v>
      </x:c>
      <x:c r="B357" s="21" t="str">
        <x:v>Synthetic Supplier 0102 LLC</x:v>
      </x:c>
      <x:c r="C357" s="38" t="str">
        <x:f>"900 000 000 000 102"</x:f>
        <x:v>900 000 000 000 102</x:v>
      </x:c>
      <x:c r="D357" s="21" t="str">
        <x:v>SYN-0102-INV-03</x:v>
      </x:c>
      <x:c r="E357" s="39" t="n">
        <x:v>45959</x:v>
      </x:c>
      <x:c r="F357" s="42" t="n">
        <x:v>3828.12</x:v>
      </x:c>
      <x:c r="G357" s="42" t="n">
        <x:v>191.41</x:v>
      </x:c>
      <x:c r="H357" s="42" t="n">
        <x:v>16968.38</x:v>
      </x:c>
      <x:c r="I357" s="39" t="n">
        <x:v>45750</x:v>
      </x:c>
    </x:row>
    <x:row r="358">
      <x:c r="A358" s="21" t="str">
        <x:v>SYN-0102</x:v>
      </x:c>
      <x:c r="B358" s="21" t="str">
        <x:v>Synthetic Supplier 0102 LLC</x:v>
      </x:c>
      <x:c r="C358" s="38" t="str">
        <x:f>"900 000 000 000 102"</x:f>
        <x:v>900 000 000 000 102</x:v>
      </x:c>
      <x:c r="D358" s="21" t="str">
        <x:v>SYN-0102-INV-04</x:v>
      </x:c>
      <x:c r="E358" s="39" t="n">
        <x:v>46006</x:v>
      </x:c>
      <x:c r="F358" s="42" t="n">
        <x:v>6623.57</x:v>
      </x:c>
      <x:c r="G358" s="42" t="n">
        <x:v>331.18</x:v>
      </x:c>
      <x:c r="H358" s="42" t="n">
        <x:v>16968.38</x:v>
      </x:c>
      <x:c r="I358" s="39" t="n">
        <x:v>45750</x:v>
      </x:c>
    </x:row>
    <x:row r="359">
      <x:c r="A359" s="21" t="str">
        <x:v>SYN-0103</x:v>
      </x:c>
      <x:c r="B359" s="21" t="str">
        <x:v>Synthetic Supplier 0103 LLC</x:v>
      </x:c>
      <x:c r="C359" s="38" t="str">
        <x:f>"900 000 000 000 103"</x:f>
        <x:v>900 000 000 000 103</x:v>
      </x:c>
      <x:c r="D359" s="21" t="str">
        <x:v>SYN-0103-INV-01</x:v>
      </x:c>
      <x:c r="E359" s="39" t="n">
        <x:v>46238</x:v>
      </x:c>
      <x:c r="F359" s="42" t="n">
        <x:v>3867.55</x:v>
      </x:c>
      <x:c r="G359" s="42" t="n">
        <x:v>193.38</x:v>
      </x:c>
      <x:c r="H359" s="42" t="n">
        <x:v>16797.7</x:v>
      </x:c>
      <x:c r="I359" s="39" t="n">
        <x:v>46146</x:v>
      </x:c>
    </x:row>
    <x:row r="360">
      <x:c r="A360" s="21" t="str">
        <x:v>SYN-0103</x:v>
      </x:c>
      <x:c r="B360" s="21" t="str">
        <x:v>Synthetic Supplier 0103 LLC</x:v>
      </x:c>
      <x:c r="C360" s="38" t="str">
        <x:f>"900 000 000 000 103"</x:f>
        <x:v>900 000 000 000 103</x:v>
      </x:c>
      <x:c r="D360" s="21" t="str">
        <x:v>SYN-0103-INV-02</x:v>
      </x:c>
      <x:c r="E360" s="39" t="n">
        <x:v>46285</x:v>
      </x:c>
      <x:c r="F360" s="42" t="n">
        <x:v>4262.69</x:v>
      </x:c>
      <x:c r="G360" s="42" t="n">
        <x:v>213.13</x:v>
      </x:c>
      <x:c r="H360" s="42" t="n">
        <x:v>16797.7</x:v>
      </x:c>
      <x:c r="I360" s="39" t="n">
        <x:v>46146</x:v>
      </x:c>
    </x:row>
    <x:row r="361">
      <x:c r="A361" s="21" t="str">
        <x:v>SYN-0103</x:v>
      </x:c>
      <x:c r="B361" s="21" t="str">
        <x:v>Synthetic Supplier 0103 LLC</x:v>
      </x:c>
      <x:c r="C361" s="38" t="str">
        <x:f>"900 000 000 000 103"</x:f>
        <x:v>900 000 000 000 103</x:v>
      </x:c>
      <x:c r="D361" s="21" t="str">
        <x:v>SYN-0103-INV-03</x:v>
      </x:c>
      <x:c r="E361" s="39" t="n">
        <x:v>45972</x:v>
      </x:c>
      <x:c r="F361" s="42" t="n">
        <x:v>2785.09</x:v>
      </x:c>
      <x:c r="G361" s="42" t="n">
        <x:v>139.25</x:v>
      </x:c>
      <x:c r="H361" s="42" t="n">
        <x:v>16797.7</x:v>
      </x:c>
      <x:c r="I361" s="39" t="n">
        <x:v>46146</x:v>
      </x:c>
    </x:row>
    <x:row r="362">
      <x:c r="A362" s="21" t="str">
        <x:v>SYN-0103</x:v>
      </x:c>
      <x:c r="B362" s="21" t="str">
        <x:v>Synthetic Supplier 0103 LLC</x:v>
      </x:c>
      <x:c r="C362" s="38" t="str">
        <x:f>"900 000 000 000 103"</x:f>
        <x:v>900 000 000 000 103</x:v>
      </x:c>
      <x:c r="D362" s="21" t="str">
        <x:v>SYN-0103-INV-04</x:v>
      </x:c>
      <x:c r="E362" s="39" t="n">
        <x:v>46019</x:v>
      </x:c>
      <x:c r="F362" s="42" t="n">
        <x:v>3125.08</x:v>
      </x:c>
      <x:c r="G362" s="42" t="n">
        <x:v>156.25</x:v>
      </x:c>
      <x:c r="H362" s="42" t="n">
        <x:v>16797.7</x:v>
      </x:c>
      <x:c r="I362" s="39" t="n">
        <x:v>46146</x:v>
      </x:c>
    </x:row>
    <x:row r="363">
      <x:c r="A363" s="21" t="str">
        <x:v>SYN-0103</x:v>
      </x:c>
      <x:c r="B363" s="21" t="str">
        <x:v>Synthetic Supplier 0103 LLC</x:v>
      </x:c>
      <x:c r="C363" s="38" t="str">
        <x:f>"900 000 000 000 103"</x:f>
        <x:v>900 000 000 000 103</x:v>
      </x:c>
      <x:c r="D363" s="21" t="str">
        <x:v>SYN-0103-INV-05</x:v>
      </x:c>
      <x:c r="E363" s="39" t="n">
        <x:v>46066</x:v>
      </x:c>
      <x:c r="F363" s="42" t="n">
        <x:v>4623.7</x:v>
      </x:c>
      <x:c r="G363" s="42" t="n">
        <x:v>231.19</x:v>
      </x:c>
      <x:c r="H363" s="42" t="n">
        <x:v>16797.7</x:v>
      </x:c>
      <x:c r="I363" s="39" t="n">
        <x:v>46146</x:v>
      </x:c>
    </x:row>
    <x:row r="364">
      <x:c r="A364" s="21" t="str">
        <x:v>SYN-0104</x:v>
      </x:c>
      <x:c r="B364" s="21" t="str">
        <x:v>Synthetic Supplier 0104 LLC</x:v>
      </x:c>
      <x:c r="C364" s="38" t="str">
        <x:f>"900 000 000 000 104"</x:f>
        <x:v>900 000 000 000 104</x:v>
      </x:c>
      <x:c r="D364" s="21" t="str">
        <x:v>SYN-0104-INV-01</x:v>
      </x:c>
      <x:c r="E364" s="39" t="n">
        <x:v>46251</x:v>
      </x:c>
      <x:c r="F364" s="42" t="n">
        <x:v>6353.64</x:v>
      </x:c>
      <x:c r="G364" s="42" t="n">
        <x:v>317.68</x:v>
      </x:c>
      <x:c r="H364" s="42" t="n">
        <x:v>13671.15</x:v>
      </x:c>
      <x:c r="I364" s="39" t="n">
        <x:v>45813</x:v>
      </x:c>
    </x:row>
    <x:row r="365">
      <x:c r="A365" s="21" t="str">
        <x:v>SYN-0104</x:v>
      </x:c>
      <x:c r="B365" s="21" t="str">
        <x:v>Synthetic Supplier 0104 LLC</x:v>
      </x:c>
      <x:c r="C365" s="38" t="str">
        <x:f>"900 000 000 000 104"</x:f>
        <x:v>900 000 000 000 104</x:v>
      </x:c>
      <x:c r="D365" s="21" t="str">
        <x:v>SYN-0104-INV-02</x:v>
      </x:c>
      <x:c r="E365" s="39" t="n">
        <x:v>45938</x:v>
      </x:c>
      <x:c r="F365" s="42" t="n">
        <x:v>8836.53</x:v>
      </x:c>
      <x:c r="G365" s="42" t="n">
        <x:v>441.83</x:v>
      </x:c>
      <x:c r="H365" s="42" t="n">
        <x:v>13671.15</x:v>
      </x:c>
      <x:c r="I365" s="39" t="n">
        <x:v>45813</x:v>
      </x:c>
    </x:row>
    <x:row r="366">
      <x:c r="A366" s="21" t="str">
        <x:v>SYN-0105</x:v>
      </x:c>
      <x:c r="B366" s="21" t="str">
        <x:v>Synthetic Supplier 0105 LLC</x:v>
      </x:c>
      <x:c r="C366" s="38" t="str">
        <x:f>"900 000 000 000 105"</x:f>
        <x:v>900 000 000 000 105</x:v>
      </x:c>
      <x:c r="D366" s="21" t="str">
        <x:v>SYN-0105-INV-01</x:v>
      </x:c>
      <x:c r="E366" s="39" t="n">
        <x:v>46264</x:v>
      </x:c>
      <x:c r="F366" s="42" t="n">
        <x:v>5508.86</x:v>
      </x:c>
      <x:c r="G366" s="42" t="n">
        <x:v>275.44</x:v>
      </x:c>
      <x:c r="H366" s="42" t="n">
        <x:v>64920.4</x:v>
      </x:c>
      <x:c r="I366" s="39"/>
    </x:row>
    <x:row r="367">
      <x:c r="A367" s="21" t="str">
        <x:v>SYN-0105</x:v>
      </x:c>
      <x:c r="B367" s="21" t="str">
        <x:v>Synthetic Supplier 0105 LLC</x:v>
      </x:c>
      <x:c r="C367" s="38" t="str">
        <x:f>"900 000 000 000 105"</x:f>
        <x:v>900 000 000 000 105</x:v>
      </x:c>
      <x:c r="D367" s="21" t="str">
        <x:v>SYN-0105-INV-02</x:v>
      </x:c>
      <x:c r="E367" s="39" t="n">
        <x:v>45951</x:v>
      </x:c>
      <x:c r="F367" s="42" t="n">
        <x:v>5417.18</x:v>
      </x:c>
      <x:c r="G367" s="42" t="n">
        <x:v>270.86</x:v>
      </x:c>
      <x:c r="H367" s="42" t="n">
        <x:v>64920.4</x:v>
      </x:c>
      <x:c r="I367" s="39"/>
    </x:row>
    <x:row r="368">
      <x:c r="A368" s="21" t="str">
        <x:v>SYN-0105</x:v>
      </x:c>
      <x:c r="B368" s="21" t="str">
        <x:v>Synthetic Supplier 0105 LLC</x:v>
      </x:c>
      <x:c r="C368" s="38" t="str">
        <x:f>"900 000 000 000 105"</x:f>
        <x:v>900 000 000 000 105</x:v>
      </x:c>
      <x:c r="D368" s="21" t="str">
        <x:v>SYN-0105-INV-03</x:v>
      </x:c>
      <x:c r="E368" s="39" t="n">
        <x:v>45998</x:v>
      </x:c>
      <x:c r="F368" s="42" t="n">
        <x:v>3500.72</x:v>
      </x:c>
      <x:c r="G368" s="42" t="n">
        <x:v>175.04</x:v>
      </x:c>
      <x:c r="H368" s="42" t="n">
        <x:v>64920.4</x:v>
      </x:c>
      <x:c r="I368" s="39"/>
    </x:row>
    <x:row r="369">
      <x:c r="A369" s="21" t="str">
        <x:v>SYN-0106</x:v>
      </x:c>
      <x:c r="B369" s="21" t="str">
        <x:v>Synthetic Supplier 0106 LLC</x:v>
      </x:c>
      <x:c r="C369" s="38" t="str">
        <x:f>"900 000 000 000 106"</x:f>
        <x:v>900 000 000 000 106</x:v>
      </x:c>
      <x:c r="D369" s="21" t="str">
        <x:v>SYN-0106-INV-01</x:v>
      </x:c>
      <x:c r="E369" s="39" t="n">
        <x:v>46277</x:v>
      </x:c>
      <x:c r="F369" s="42" t="n">
        <x:v>3041.11</x:v>
      </x:c>
      <x:c r="G369" s="42" t="n">
        <x:v>152.06</x:v>
      </x:c>
      <x:c r="H369" s="42" t="n">
        <x:v>14083.47</x:v>
      </x:c>
      <x:c r="I369" s="39" t="n">
        <x:v>45876</x:v>
      </x:c>
    </x:row>
    <x:row r="370">
      <x:c r="A370" s="21" t="str">
        <x:v>SYN-0106</x:v>
      </x:c>
      <x:c r="B370" s="21" t="str">
        <x:v>Synthetic Supplier 0106 LLC</x:v>
      </x:c>
      <x:c r="C370" s="38" t="str">
        <x:f>"900 000 000 000 106"</x:f>
        <x:v>900 000 000 000 106</x:v>
      </x:c>
      <x:c r="D370" s="21" t="str">
        <x:v>SYN-0106-INV-02</x:v>
      </x:c>
      <x:c r="E370" s="39" t="n">
        <x:v>45964</x:v>
      </x:c>
      <x:c r="F370" s="42" t="n">
        <x:v>4262.72</x:v>
      </x:c>
      <x:c r="G370" s="42" t="n">
        <x:v>213.14</x:v>
      </x:c>
      <x:c r="H370" s="42" t="n">
        <x:v>14083.47</x:v>
      </x:c>
      <x:c r="I370" s="39" t="n">
        <x:v>45876</x:v>
      </x:c>
    </x:row>
    <x:row r="371">
      <x:c r="A371" s="21" t="str">
        <x:v>SYN-0106</x:v>
      </x:c>
      <x:c r="B371" s="21" t="str">
        <x:v>Synthetic Supplier 0106 LLC</x:v>
      </x:c>
      <x:c r="C371" s="38" t="str">
        <x:f>"900 000 000 000 106"</x:f>
        <x:v>900 000 000 000 106</x:v>
      </x:c>
      <x:c r="D371" s="21" t="str">
        <x:v>SYN-0106-INV-03</x:v>
      </x:c>
      <x:c r="E371" s="39" t="n">
        <x:v>46011</x:v>
      </x:c>
      <x:c r="F371" s="42" t="n">
        <x:v>4265.94</x:v>
      </x:c>
      <x:c r="G371" s="42" t="n">
        <x:v>213.3</x:v>
      </x:c>
      <x:c r="H371" s="42" t="n">
        <x:v>14083.47</x:v>
      </x:c>
      <x:c r="I371" s="39" t="n">
        <x:v>45876</x:v>
      </x:c>
    </x:row>
    <x:row r="372">
      <x:c r="A372" s="21" t="str">
        <x:v>SYN-0106</x:v>
      </x:c>
      <x:c r="B372" s="21" t="str">
        <x:v>Synthetic Supplier 0106 LLC</x:v>
      </x:c>
      <x:c r="C372" s="38" t="str">
        <x:f>"900 000 000 000 106"</x:f>
        <x:v>900 000 000 000 106</x:v>
      </x:c>
      <x:c r="D372" s="21" t="str">
        <x:v>SYN-0106-INV-04</x:v>
      </x:c>
      <x:c r="E372" s="39" t="n">
        <x:v>46058</x:v>
      </x:c>
      <x:c r="F372" s="42" t="n">
        <x:v>4078.52</x:v>
      </x:c>
      <x:c r="G372" s="42" t="n">
        <x:v>203.93</x:v>
      </x:c>
      <x:c r="H372" s="42" t="n">
        <x:v>14083.47</x:v>
      </x:c>
      <x:c r="I372" s="39" t="n">
        <x:v>45876</x:v>
      </x:c>
    </x:row>
    <x:row r="373">
      <x:c r="A373" s="21" t="str">
        <x:v>SYN-0107</x:v>
      </x:c>
      <x:c r="B373" s="21" t="str">
        <x:v>Synthetic Supplier 0107 LLC</x:v>
      </x:c>
      <x:c r="C373" s="38" t="str">
        <x:f>"900 000 000 000 107"</x:f>
        <x:v>900 000 000 000 107</x:v>
      </x:c>
      <x:c r="D373" s="21" t="str">
        <x:v>SYN-0107-INV-01</x:v>
      </x:c>
      <x:c r="E373" s="39" t="n">
        <x:v>46290</x:v>
      </x:c>
      <x:c r="F373" s="42" t="n">
        <x:v>2975.8</x:v>
      </x:c>
      <x:c r="G373" s="42" t="n">
        <x:v>148.79</x:v>
      </x:c>
      <x:c r="H373" s="42" t="n">
        <x:v>20763.55</x:v>
      </x:c>
      <x:c r="I373" s="39" t="n">
        <x:v>46273</x:v>
      </x:c>
    </x:row>
    <x:row r="374">
      <x:c r="A374" s="21" t="str">
        <x:v>SYN-0107</x:v>
      </x:c>
      <x:c r="B374" s="21" t="str">
        <x:v>Synthetic Supplier 0107 LLC</x:v>
      </x:c>
      <x:c r="C374" s="38" t="str">
        <x:f>"900 000 000 000 107"</x:f>
        <x:v>900 000 000 000 107</x:v>
      </x:c>
      <x:c r="D374" s="21" t="str">
        <x:v>SYN-0107-INV-02</x:v>
      </x:c>
      <x:c r="E374" s="39" t="n">
        <x:v>45977</x:v>
      </x:c>
      <x:c r="F374" s="42" t="n">
        <x:v>6139.08</x:v>
      </x:c>
      <x:c r="G374" s="42" t="n">
        <x:v>306.95</x:v>
      </x:c>
      <x:c r="H374" s="42" t="n">
        <x:v>20763.55</x:v>
      </x:c>
      <x:c r="I374" s="39" t="n">
        <x:v>46273</x:v>
      </x:c>
    </x:row>
    <x:row r="375">
      <x:c r="A375" s="21" t="str">
        <x:v>SYN-0107</x:v>
      </x:c>
      <x:c r="B375" s="21" t="str">
        <x:v>Synthetic Supplier 0107 LLC</x:v>
      </x:c>
      <x:c r="C375" s="38" t="str">
        <x:f>"900 000 000 000 107"</x:f>
        <x:v>900 000 000 000 107</x:v>
      </x:c>
      <x:c r="D375" s="21" t="str">
        <x:v>SYN-0107-INV-03</x:v>
      </x:c>
      <x:c r="E375" s="39" t="n">
        <x:v>46024</x:v>
      </x:c>
      <x:c r="F375" s="42" t="n">
        <x:v>4814.61</x:v>
      </x:c>
      <x:c r="G375" s="42" t="n">
        <x:v>240.73</x:v>
      </x:c>
      <x:c r="H375" s="42" t="n">
        <x:v>20763.55</x:v>
      </x:c>
      <x:c r="I375" s="39" t="n">
        <x:v>46273</x:v>
      </x:c>
    </x:row>
    <x:row r="376">
      <x:c r="A376" s="21" t="str">
        <x:v>SYN-0107</x:v>
      </x:c>
      <x:c r="B376" s="21" t="str">
        <x:v>Synthetic Supplier 0107 LLC</x:v>
      </x:c>
      <x:c r="C376" s="38" t="str">
        <x:f>"900 000 000 000 107"</x:f>
        <x:v>900 000 000 000 107</x:v>
      </x:c>
      <x:c r="D376" s="21" t="str">
        <x:v>SYN-0107-INV-04</x:v>
      </x:c>
      <x:c r="E376" s="39" t="n">
        <x:v>46071</x:v>
      </x:c>
      <x:c r="F376" s="42" t="n">
        <x:v>5583.98</x:v>
      </x:c>
      <x:c r="G376" s="42" t="n">
        <x:v>279.2</x:v>
      </x:c>
      <x:c r="H376" s="42" t="n">
        <x:v>20763.55</x:v>
      </x:c>
      <x:c r="I376" s="39" t="n">
        <x:v>46273</x:v>
      </x:c>
    </x:row>
    <x:row r="377">
      <x:c r="A377" s="21" t="str">
        <x:v>SYN-0107</x:v>
      </x:c>
      <x:c r="B377" s="21" t="str">
        <x:v>Synthetic Supplier 0107 LLC</x:v>
      </x:c>
      <x:c r="C377" s="38" t="str">
        <x:f>"900 000 000 000 107"</x:f>
        <x:v>900 000 000 000 107</x:v>
      </x:c>
      <x:c r="D377" s="21" t="str">
        <x:v>SYN-0107-INV-05</x:v>
      </x:c>
      <x:c r="E377" s="39" t="n">
        <x:v>46118</x:v>
      </x:c>
      <x:c r="F377" s="42" t="n">
        <x:v>3557.14</x:v>
      </x:c>
      <x:c r="G377" s="42" t="n">
        <x:v>177.86</x:v>
      </x:c>
      <x:c r="H377" s="42" t="n">
        <x:v>20763.55</x:v>
      </x:c>
      <x:c r="I377" s="39" t="n">
        <x:v>46273</x:v>
      </x:c>
    </x:row>
    <x:row r="378">
      <x:c r="A378" s="21" t="str">
        <x:v>SYN-0108</x:v>
      </x:c>
      <x:c r="B378" s="21" t="str">
        <x:v>Synthetic Supplier 0108 LLC</x:v>
      </x:c>
      <x:c r="C378" s="38" t="str">
        <x:f>"900 000 000 000 108"</x:f>
        <x:v>900 000 000 000 108</x:v>
      </x:c>
      <x:c r="D378" s="21" t="str">
        <x:v>SYN-0108-INV-01</x:v>
      </x:c>
      <x:c r="E378" s="39" t="n">
        <x:v>45943</x:v>
      </x:c>
      <x:c r="F378" s="42" t="n">
        <x:v>5256.88</x:v>
      </x:c>
      <x:c r="G378" s="42" t="n">
        <x:v>262.84</x:v>
      </x:c>
      <x:c r="H378" s="42" t="n">
        <x:v>13558.83</x:v>
      </x:c>
      <x:c r="I378" s="39" t="n">
        <x:v>45666</x:v>
      </x:c>
    </x:row>
    <x:row r="379">
      <x:c r="A379" s="21" t="str">
        <x:v>SYN-0108</x:v>
      </x:c>
      <x:c r="B379" s="21" t="str">
        <x:v>Synthetic Supplier 0108 LLC</x:v>
      </x:c>
      <x:c r="C379" s="38" t="str">
        <x:f>"900 000 000 000 108"</x:f>
        <x:v>900 000 000 000 108</x:v>
      </x:c>
      <x:c r="D379" s="21" t="str">
        <x:v>SYN-0108-INV-02</x:v>
      </x:c>
      <x:c r="E379" s="39" t="n">
        <x:v>45990</x:v>
      </x:c>
      <x:c r="F379" s="42" t="n">
        <x:v>9808.49</x:v>
      </x:c>
      <x:c r="G379" s="42" t="n">
        <x:v>490.42</x:v>
      </x:c>
      <x:c r="H379" s="42" t="n">
        <x:v>13558.83</x:v>
      </x:c>
      <x:c r="I379" s="39" t="n">
        <x:v>45666</x:v>
      </x:c>
    </x:row>
    <x:row r="380">
      <x:c r="A380" s="21" t="str">
        <x:v>SYN-0109</x:v>
      </x:c>
      <x:c r="B380" s="21" t="str">
        <x:v>Synthetic Supplier 0109 LLC</x:v>
      </x:c>
      <x:c r="C380" s="38" t="str">
        <x:f>"900 000 000 000 109"</x:f>
        <x:v>900 000 000 000 109</x:v>
      </x:c>
      <x:c r="D380" s="21" t="str">
        <x:v>SYN-0109-INV-01</x:v>
      </x:c>
      <x:c r="E380" s="39" t="n">
        <x:v>45956</x:v>
      </x:c>
      <x:c r="F380" s="42" t="n">
        <x:v>5980.88</x:v>
      </x:c>
      <x:c r="G380" s="42" t="n">
        <x:v>299.04</x:v>
      </x:c>
      <x:c r="H380" s="42" t="n">
        <x:v>18792.85</x:v>
      </x:c>
      <x:c r="I380" s="39" t="n">
        <x:v>46063</x:v>
      </x:c>
    </x:row>
    <x:row r="381">
      <x:c r="A381" s="21" t="str">
        <x:v>SYN-0109</x:v>
      </x:c>
      <x:c r="B381" s="21" t="str">
        <x:v>Synthetic Supplier 0109 LLC</x:v>
      </x:c>
      <x:c r="C381" s="38" t="str">
        <x:f>"900 000 000 000 109"</x:f>
        <x:v>900 000 000 000 109</x:v>
      </x:c>
      <x:c r="D381" s="21" t="str">
        <x:v>SYN-0109-INV-02</x:v>
      </x:c>
      <x:c r="E381" s="39" t="n">
        <x:v>46003</x:v>
      </x:c>
      <x:c r="F381" s="42" t="n">
        <x:v>8781.94</x:v>
      </x:c>
      <x:c r="G381" s="42" t="n">
        <x:v>439.1</x:v>
      </x:c>
      <x:c r="H381" s="42" t="n">
        <x:v>18792.85</x:v>
      </x:c>
      <x:c r="I381" s="39" t="n">
        <x:v>46063</x:v>
      </x:c>
    </x:row>
    <x:row r="382">
      <x:c r="A382" s="21" t="str">
        <x:v>SYN-0109</x:v>
      </x:c>
      <x:c r="B382" s="21" t="str">
        <x:v>Synthetic Supplier 0109 LLC</x:v>
      </x:c>
      <x:c r="C382" s="38" t="str">
        <x:f>"900 000 000 000 109"</x:f>
        <x:v>900 000 000 000 109</x:v>
      </x:c>
      <x:c r="D382" s="21" t="str">
        <x:v>SYN-0109-INV-03</x:v>
      </x:c>
      <x:c r="E382" s="39" t="n">
        <x:v>46050</x:v>
      </x:c>
      <x:c r="F382" s="42" t="n">
        <x:v>6118.13</x:v>
      </x:c>
      <x:c r="G382" s="42" t="n">
        <x:v>305.91</x:v>
      </x:c>
      <x:c r="H382" s="42" t="n">
        <x:v>18792.85</x:v>
      </x:c>
      <x:c r="I382" s="39" t="n">
        <x:v>46063</x:v>
      </x:c>
    </x:row>
    <x:row r="383">
      <x:c r="A383" s="21" t="str">
        <x:v>SYN-0110</x:v>
      </x:c>
      <x:c r="B383" s="21" t="str">
        <x:v>Synthetic Supplier 0110 LLC</x:v>
      </x:c>
      <x:c r="C383" s="38" t="str">
        <x:f>"900 000 000 000 110"</x:f>
        <x:v>900 000 000 000 110</x:v>
      </x:c>
      <x:c r="D383" s="21" t="str">
        <x:v>SYN-0110-INV-01</x:v>
      </x:c>
      <x:c r="E383" s="39" t="n">
        <x:v>45969</x:v>
      </x:c>
      <x:c r="F383" s="42" t="n">
        <x:v>2722.36</x:v>
      </x:c>
      <x:c r="G383" s="42" t="n">
        <x:v>136.12</x:v>
      </x:c>
      <x:c r="H383" s="42" t="n">
        <x:v>11684.68</x:v>
      </x:c>
      <x:c r="I383" s="39"/>
    </x:row>
    <x:row r="384">
      <x:c r="A384" s="21" t="str">
        <x:v>SYN-0110</x:v>
      </x:c>
      <x:c r="B384" s="21" t="str">
        <x:v>Synthetic Supplier 0110 LLC</x:v>
      </x:c>
      <x:c r="C384" s="38" t="str">
        <x:f>"900 000 000 000 110"</x:f>
        <x:v>900 000 000 000 110</x:v>
      </x:c>
      <x:c r="D384" s="21" t="str">
        <x:v>SYN-0110-INV-02</x:v>
      </x:c>
      <x:c r="E384" s="39" t="n">
        <x:v>46016</x:v>
      </x:c>
      <x:c r="F384" s="42" t="n">
        <x:v>3855.16</x:v>
      </x:c>
      <x:c r="G384" s="42" t="n">
        <x:v>192.76</x:v>
      </x:c>
      <x:c r="H384" s="42" t="n">
        <x:v>11684.68</x:v>
      </x:c>
      <x:c r="I384" s="39"/>
    </x:row>
    <x:row r="385">
      <x:c r="A385" s="21" t="str">
        <x:v>SYN-0110</x:v>
      </x:c>
      <x:c r="B385" s="21" t="str">
        <x:v>Synthetic Supplier 0110 LLC</x:v>
      </x:c>
      <x:c r="C385" s="38" t="str">
        <x:f>"900 000 000 000 110"</x:f>
        <x:v>900 000 000 000 110</x:v>
      </x:c>
      <x:c r="D385" s="21" t="str">
        <x:v>SYN-0110-INV-03</x:v>
      </x:c>
      <x:c r="E385" s="39" t="n">
        <x:v>46063</x:v>
      </x:c>
      <x:c r="F385" s="42" t="n">
        <x:v>2972.45</x:v>
      </x:c>
      <x:c r="G385" s="42" t="n">
        <x:v>148.62</x:v>
      </x:c>
      <x:c r="H385" s="42" t="n">
        <x:v>11684.68</x:v>
      </x:c>
      <x:c r="I385" s="39"/>
    </x:row>
    <x:row r="386">
      <x:c r="A386" s="21" t="str">
        <x:v>SYN-0110</x:v>
      </x:c>
      <x:c r="B386" s="21" t="str">
        <x:v>Synthetic Supplier 0110 LLC</x:v>
      </x:c>
      <x:c r="C386" s="38" t="str">
        <x:f>"900 000 000 000 110"</x:f>
        <x:v>900 000 000 000 110</x:v>
      </x:c>
      <x:c r="D386" s="21" t="str">
        <x:v>SYN-0110-INV-04</x:v>
      </x:c>
      <x:c r="E386" s="39" t="n">
        <x:v>46110</x:v>
      </x:c>
      <x:c r="F386" s="42" t="n">
        <x:v>3433</x:v>
      </x:c>
      <x:c r="G386" s="42" t="n">
        <x:v>171.65</x:v>
      </x:c>
      <x:c r="H386" s="42" t="n">
        <x:v>11684.68</x:v>
      </x:c>
      <x:c r="I386" s="39"/>
    </x:row>
    <x:row r="387">
      <x:c r="A387" s="21" t="str">
        <x:v>SYN-0111</x:v>
      </x:c>
      <x:c r="B387" s="21" t="str">
        <x:v>Synthetic Supplier 0111 LLC</x:v>
      </x:c>
      <x:c r="C387" s="38" t="str">
        <x:f>"900 000 000 000 111"</x:f>
        <x:v>900 000 000 000 111</x:v>
      </x:c>
      <x:c r="D387" s="21" t="str">
        <x:v>SYN-0111-INV-01</x:v>
      </x:c>
      <x:c r="E387" s="39" t="n">
        <x:v>45982</x:v>
      </x:c>
      <x:c r="F387" s="42" t="n">
        <x:v>4816.6</x:v>
      </x:c>
      <x:c r="G387" s="42" t="n">
        <x:v>240.83</x:v>
      </x:c>
      <x:c r="H387" s="42" t="n">
        <x:v>19014.33</x:v>
      </x:c>
      <x:c r="I387" s="39" t="n">
        <x:v>46124</x:v>
      </x:c>
    </x:row>
    <x:row r="388">
      <x:c r="A388" s="21" t="str">
        <x:v>SYN-0111</x:v>
      </x:c>
      <x:c r="B388" s="21" t="str">
        <x:v>Synthetic Supplier 0111 LLC</x:v>
      </x:c>
      <x:c r="C388" s="38" t="str">
        <x:f>"900 000 000 000 111"</x:f>
        <x:v>900 000 000 000 111</x:v>
      </x:c>
      <x:c r="D388" s="21" t="str">
        <x:v>SYN-0111-INV-02</x:v>
      </x:c>
      <x:c r="E388" s="39" t="n">
        <x:v>46029</x:v>
      </x:c>
      <x:c r="F388" s="42" t="n">
        <x:v>4712.93</x:v>
      </x:c>
      <x:c r="G388" s="42" t="n">
        <x:v>235.65</x:v>
      </x:c>
      <x:c r="H388" s="42" t="n">
        <x:v>19014.33</x:v>
      </x:c>
      <x:c r="I388" s="39" t="n">
        <x:v>46124</x:v>
      </x:c>
    </x:row>
    <x:row r="389">
      <x:c r="A389" s="21" t="str">
        <x:v>SYN-0111</x:v>
      </x:c>
      <x:c r="B389" s="21" t="str">
        <x:v>Synthetic Supplier 0111 LLC</x:v>
      </x:c>
      <x:c r="C389" s="38" t="str">
        <x:f>"900 000 000 000 111"</x:f>
        <x:v>900 000 000 000 111</x:v>
      </x:c>
      <x:c r="D389" s="21" t="str">
        <x:v>SYN-0111-INV-03</x:v>
      </x:c>
      <x:c r="E389" s="39" t="n">
        <x:v>46076</x:v>
      </x:c>
      <x:c r="F389" s="42" t="n">
        <x:v>2238.29</x:v>
      </x:c>
      <x:c r="G389" s="42" t="n">
        <x:v>111.91</x:v>
      </x:c>
      <x:c r="H389" s="42" t="n">
        <x:v>19014.33</x:v>
      </x:c>
      <x:c r="I389" s="39" t="n">
        <x:v>46124</x:v>
      </x:c>
    </x:row>
    <x:row r="390">
      <x:c r="A390" s="21" t="str">
        <x:v>SYN-0111</x:v>
      </x:c>
      <x:c r="B390" s="21" t="str">
        <x:v>Synthetic Supplier 0111 LLC</x:v>
      </x:c>
      <x:c r="C390" s="38" t="str">
        <x:f>"900 000 000 000 111"</x:f>
        <x:v>900 000 000 000 111</x:v>
      </x:c>
      <x:c r="D390" s="21" t="str">
        <x:v>SYN-0111-INV-04</x:v>
      </x:c>
      <x:c r="E390" s="39" t="n">
        <x:v>46123</x:v>
      </x:c>
      <x:c r="F390" s="42" t="n">
        <x:v>4606.77</x:v>
      </x:c>
      <x:c r="G390" s="42" t="n">
        <x:v>230.34</x:v>
      </x:c>
      <x:c r="H390" s="42" t="n">
        <x:v>19014.33</x:v>
      </x:c>
      <x:c r="I390" s="39" t="n">
        <x:v>46124</x:v>
      </x:c>
    </x:row>
    <x:row r="391">
      <x:c r="A391" s="21" t="str">
        <x:v>SYN-0111</x:v>
      </x:c>
      <x:c r="B391" s="21" t="str">
        <x:v>Synthetic Supplier 0111 LLC</x:v>
      </x:c>
      <x:c r="C391" s="38" t="str">
        <x:f>"900 000 000 000 111"</x:f>
        <x:v>900 000 000 000 111</x:v>
      </x:c>
      <x:c r="D391" s="21" t="str">
        <x:v>SYN-0111-INV-05</x:v>
      </x:c>
      <x:c r="E391" s="39" t="n">
        <x:v>46170</x:v>
      </x:c>
      <x:c r="F391" s="42" t="n">
        <x:v>4752.45</x:v>
      </x:c>
      <x:c r="G391" s="42" t="n">
        <x:v>237.62</x:v>
      </x:c>
      <x:c r="H391" s="42" t="n">
        <x:v>19014.33</x:v>
      </x:c>
      <x:c r="I391" s="39" t="n">
        <x:v>46124</x:v>
      </x:c>
    </x:row>
    <x:row r="392">
      <x:c r="A392" s="21" t="str">
        <x:v>SYN-0112</x:v>
      </x:c>
      <x:c r="B392" s="21" t="str">
        <x:v>Synthetic Supplier 0112 LLC</x:v>
      </x:c>
      <x:c r="C392" s="38" t="str">
        <x:f>"900 000 000 000 112"</x:f>
        <x:v>900 000 000 000 112</x:v>
      </x:c>
      <x:c r="D392" s="21" t="str">
        <x:v>SYN-0112-INV-01</x:v>
      </x:c>
      <x:c r="E392" s="39" t="n">
        <x:v>45995</x:v>
      </x:c>
      <x:c r="F392" s="42" t="n">
        <x:v>7840.14</x:v>
      </x:c>
      <x:c r="G392" s="42" t="n">
        <x:v>392.01</x:v>
      </x:c>
      <x:c r="H392" s="42" t="n">
        <x:v>82364.19</x:v>
      </x:c>
      <x:c r="I392" s="39" t="n">
        <x:v>45790</x:v>
      </x:c>
    </x:row>
    <x:row r="393">
      <x:c r="A393" s="21" t="str">
        <x:v>SYN-0112</x:v>
      </x:c>
      <x:c r="B393" s="21" t="str">
        <x:v>Synthetic Supplier 0112 LLC</x:v>
      </x:c>
      <x:c r="C393" s="38" t="str">
        <x:f>"900 000 000 000 112"</x:f>
        <x:v>900 000 000 000 112</x:v>
      </x:c>
      <x:c r="D393" s="21" t="str">
        <x:v>SYN-0112-INV-02</x:v>
      </x:c>
      <x:c r="E393" s="39" t="n">
        <x:v>46042</x:v>
      </x:c>
      <x:c r="F393" s="42" t="n">
        <x:v>10463.01</x:v>
      </x:c>
      <x:c r="G393" s="42" t="n">
        <x:v>523.15</x:v>
      </x:c>
      <x:c r="H393" s="42" t="n">
        <x:v>82364.19</x:v>
      </x:c>
      <x:c r="I393" s="39" t="n">
        <x:v>45790</x:v>
      </x:c>
    </x:row>
    <x:row r="394">
      <x:c r="A394" s="21" t="str">
        <x:v>SYN-0113</x:v>
      </x:c>
      <x:c r="B394" s="21" t="str">
        <x:v>Synthetic Supplier 0113 LLC</x:v>
      </x:c>
      <x:c r="C394" s="38" t="str">
        <x:f>"900 000 000 000 113"</x:f>
        <x:v>900 000 000 000 113</x:v>
      </x:c>
      <x:c r="D394" s="21" t="str">
        <x:v>SYN-0113-INV-01</x:v>
      </x:c>
      <x:c r="E394" s="39" t="n">
        <x:v>46008</x:v>
      </x:c>
      <x:c r="F394" s="42" t="n">
        <x:v>6208.65</x:v>
      </x:c>
      <x:c r="G394" s="42" t="n">
        <x:v>310.43</x:v>
      </x:c>
      <x:c r="H394" s="42" t="n">
        <x:v>17546.49</x:v>
      </x:c>
      <x:c r="I394" s="39" t="n">
        <x:v>46187</x:v>
      </x:c>
    </x:row>
    <x:row r="395">
      <x:c r="A395" s="21" t="str">
        <x:v>SYN-0113</x:v>
      </x:c>
      <x:c r="B395" s="21" t="str">
        <x:v>Synthetic Supplier 0113 LLC</x:v>
      </x:c>
      <x:c r="C395" s="38" t="str">
        <x:f>"900 000 000 000 113"</x:f>
        <x:v>900 000 000 000 113</x:v>
      </x:c>
      <x:c r="D395" s="21" t="str">
        <x:v>SYN-0113-INV-02</x:v>
      </x:c>
      <x:c r="E395" s="39" t="n">
        <x:v>46055</x:v>
      </x:c>
      <x:c r="F395" s="42" t="n">
        <x:v>5493.53</x:v>
      </x:c>
      <x:c r="G395" s="42" t="n">
        <x:v>274.68</x:v>
      </x:c>
      <x:c r="H395" s="42" t="n">
        <x:v>17546.49</x:v>
      </x:c>
      <x:c r="I395" s="39" t="n">
        <x:v>46187</x:v>
      </x:c>
    </x:row>
    <x:row r="396">
      <x:c r="A396" s="21" t="str">
        <x:v>SYN-0113</x:v>
      </x:c>
      <x:c r="B396" s="21" t="str">
        <x:v>Synthetic Supplier 0113 LLC</x:v>
      </x:c>
      <x:c r="C396" s="38" t="str">
        <x:f>"900 000 000 000 113"</x:f>
        <x:v>900 000 000 000 113</x:v>
      </x:c>
      <x:c r="D396" s="21" t="str">
        <x:v>SYN-0113-INV-03</x:v>
      </x:c>
      <x:c r="E396" s="39" t="n">
        <x:v>46102</x:v>
      </x:c>
      <x:c r="F396" s="42" t="n">
        <x:v>7793.92</x:v>
      </x:c>
      <x:c r="G396" s="42" t="n">
        <x:v>389.7</x:v>
      </x:c>
      <x:c r="H396" s="42" t="n">
        <x:v>17546.49</x:v>
      </x:c>
      <x:c r="I396" s="39" t="n">
        <x:v>46187</x:v>
      </x:c>
    </x:row>
    <x:row r="397">
      <x:c r="A397" s="21" t="str">
        <x:v>SYN-0114</x:v>
      </x:c>
      <x:c r="B397" s="21" t="str">
        <x:v>Synthetic Supplier 0114 LLC</x:v>
      </x:c>
      <x:c r="C397" s="38" t="str">
        <x:f>"900 000 000 000 114"</x:f>
        <x:v>900 000 000 000 114</x:v>
      </x:c>
      <x:c r="D397" s="21" t="str">
        <x:v>SYN-0114-INV-01</x:v>
      </x:c>
      <x:c r="E397" s="39" t="n">
        <x:v>46021</x:v>
      </x:c>
      <x:c r="F397" s="42" t="n">
        <x:v>6630.93</x:v>
      </x:c>
      <x:c r="G397" s="42" t="n">
        <x:v>331.55</x:v>
      </x:c>
      <x:c r="H397" s="42" t="n">
        <x:v>24583.48</x:v>
      </x:c>
      <x:c r="I397" s="39" t="n">
        <x:v>45853</x:v>
      </x:c>
    </x:row>
    <x:row r="398">
      <x:c r="A398" s="21" t="str">
        <x:v>SYN-0114</x:v>
      </x:c>
      <x:c r="B398" s="21" t="str">
        <x:v>Synthetic Supplier 0114 LLC</x:v>
      </x:c>
      <x:c r="C398" s="38" t="str">
        <x:f>"900 000 000 000 114"</x:f>
        <x:v>900 000 000 000 114</x:v>
      </x:c>
      <x:c r="D398" s="21" t="str">
        <x:v>SYN-0114-INV-02</x:v>
      </x:c>
      <x:c r="E398" s="39" t="n">
        <x:v>46068</x:v>
      </x:c>
      <x:c r="F398" s="42" t="n">
        <x:v>7166.16</x:v>
      </x:c>
      <x:c r="G398" s="42" t="n">
        <x:v>358.31</x:v>
      </x:c>
      <x:c r="H398" s="42" t="n">
        <x:v>24583.48</x:v>
      </x:c>
      <x:c r="I398" s="39" t="n">
        <x:v>45853</x:v>
      </x:c>
    </x:row>
    <x:row r="399">
      <x:c r="A399" s="21" t="str">
        <x:v>SYN-0114</x:v>
      </x:c>
      <x:c r="B399" s="21" t="str">
        <x:v>Synthetic Supplier 0114 LLC</x:v>
      </x:c>
      <x:c r="C399" s="38" t="str">
        <x:f>"900 000 000 000 114"</x:f>
        <x:v>900 000 000 000 114</x:v>
      </x:c>
      <x:c r="D399" s="21" t="str">
        <x:v>SYN-0114-INV-03</x:v>
      </x:c>
      <x:c r="E399" s="39" t="n">
        <x:v>46115</x:v>
      </x:c>
      <x:c r="F399" s="42" t="n">
        <x:v>7840.88</x:v>
      </x:c>
      <x:c r="G399" s="42" t="n">
        <x:v>392.04</x:v>
      </x:c>
      <x:c r="H399" s="42" t="n">
        <x:v>24583.48</x:v>
      </x:c>
      <x:c r="I399" s="39" t="n">
        <x:v>45853</x:v>
      </x:c>
    </x:row>
    <x:row r="400">
      <x:c r="A400" s="21" t="str">
        <x:v>SYN-0114</x:v>
      </x:c>
      <x:c r="B400" s="21" t="str">
        <x:v>Synthetic Supplier 0114 LLC</x:v>
      </x:c>
      <x:c r="C400" s="38" t="str">
        <x:f>"900 000 000 000 114"</x:f>
        <x:v>900 000 000 000 114</x:v>
      </x:c>
      <x:c r="D400" s="21" t="str">
        <x:v>SYN-0114-INV-04</x:v>
      </x:c>
      <x:c r="E400" s="39" t="n">
        <x:v>46162</x:v>
      </x:c>
      <x:c r="F400" s="42" t="n">
        <x:v>5677.01</x:v>
      </x:c>
      <x:c r="G400" s="42" t="n">
        <x:v>283.85</x:v>
      </x:c>
      <x:c r="H400" s="42" t="n">
        <x:v>24583.48</x:v>
      </x:c>
      <x:c r="I400" s="39" t="n">
        <x:v>45853</x:v>
      </x:c>
    </x:row>
    <x:row r="401">
      <x:c r="A401" s="21" t="str">
        <x:v>SYN-0115</x:v>
      </x:c>
      <x:c r="B401" s="21" t="str">
        <x:v>Synthetic Supplier 0115 LLC</x:v>
      </x:c>
      <x:c r="C401" s="38" t="str">
        <x:f>"900 000 000 000 115"</x:f>
        <x:v>900 000 000 000 115</x:v>
      </x:c>
      <x:c r="D401" s="21" t="str">
        <x:v>SYN-0115-INV-01</x:v>
      </x:c>
      <x:c r="E401" s="39" t="n">
        <x:v>46034</x:v>
      </x:c>
      <x:c r="F401" s="42" t="n">
        <x:v>2388.99</x:v>
      </x:c>
      <x:c r="G401" s="42" t="n">
        <x:v>119.45</x:v>
      </x:c>
      <x:c r="H401" s="42" t="n">
        <x:v>9871.98</x:v>
      </x:c>
      <x:c r="I401" s="39"/>
    </x:row>
    <x:row r="402">
      <x:c r="A402" s="21" t="str">
        <x:v>SYN-0115</x:v>
      </x:c>
      <x:c r="B402" s="21" t="str">
        <x:v>Synthetic Supplier 0115 LLC</x:v>
      </x:c>
      <x:c r="C402" s="38" t="str">
        <x:f>"900 000 000 000 115"</x:f>
        <x:v>900 000 000 000 115</x:v>
      </x:c>
      <x:c r="D402" s="21" t="str">
        <x:v>SYN-0115-INV-02</x:v>
      </x:c>
      <x:c r="E402" s="39" t="n">
        <x:v>46081</x:v>
      </x:c>
      <x:c r="F402" s="42" t="n">
        <x:v>1390.12</x:v>
      </x:c>
      <x:c r="G402" s="42" t="n">
        <x:v>69.51</x:v>
      </x:c>
      <x:c r="H402" s="42" t="n">
        <x:v>9871.98</x:v>
      </x:c>
      <x:c r="I402" s="39"/>
    </x:row>
    <x:row r="403">
      <x:c r="A403" s="21" t="str">
        <x:v>SYN-0115</x:v>
      </x:c>
      <x:c r="B403" s="21" t="str">
        <x:v>Synthetic Supplier 0115 LLC</x:v>
      </x:c>
      <x:c r="C403" s="38" t="str">
        <x:f>"900 000 000 000 115"</x:f>
        <x:v>900 000 000 000 115</x:v>
      </x:c>
      <x:c r="D403" s="21" t="str">
        <x:v>SYN-0115-INV-03</x:v>
      </x:c>
      <x:c r="E403" s="39" t="n">
        <x:v>46128</x:v>
      </x:c>
      <x:c r="F403" s="42" t="n">
        <x:v>3077.19</x:v>
      </x:c>
      <x:c r="G403" s="42" t="n">
        <x:v>153.86</x:v>
      </x:c>
      <x:c r="H403" s="42" t="n">
        <x:v>9871.98</x:v>
      </x:c>
      <x:c r="I403" s="39"/>
    </x:row>
    <x:row r="404">
      <x:c r="A404" s="21" t="str">
        <x:v>SYN-0115</x:v>
      </x:c>
      <x:c r="B404" s="21" t="str">
        <x:v>Synthetic Supplier 0115 LLC</x:v>
      </x:c>
      <x:c r="C404" s="38" t="str">
        <x:f>"900 000 000 000 115"</x:f>
        <x:v>900 000 000 000 115</x:v>
      </x:c>
      <x:c r="D404" s="21" t="str">
        <x:v>SYN-0115-INV-04</x:v>
      </x:c>
      <x:c r="E404" s="39" t="n">
        <x:v>46175</x:v>
      </x:c>
      <x:c r="F404" s="42" t="n">
        <x:v>1501.63</x:v>
      </x:c>
      <x:c r="G404" s="42" t="n">
        <x:v>75.08</x:v>
      </x:c>
      <x:c r="H404" s="42" t="n">
        <x:v>9871.98</x:v>
      </x:c>
      <x:c r="I404" s="39"/>
    </x:row>
    <x:row r="405">
      <x:c r="A405" s="21" t="str">
        <x:v>SYN-0115</x:v>
      </x:c>
      <x:c r="B405" s="21" t="str">
        <x:v>Synthetic Supplier 0115 LLC</x:v>
      </x:c>
      <x:c r="C405" s="38" t="str">
        <x:f>"900 000 000 000 115"</x:f>
        <x:v>900 000 000 000 115</x:v>
      </x:c>
      <x:c r="D405" s="21" t="str">
        <x:v>SYN-0115-INV-05</x:v>
      </x:c>
      <x:c r="E405" s="39" t="n">
        <x:v>46222</x:v>
      </x:c>
      <x:c r="F405" s="42" t="n">
        <x:v>2610.94</x:v>
      </x:c>
      <x:c r="G405" s="42" t="n">
        <x:v>130.55</x:v>
      </x:c>
      <x:c r="H405" s="42" t="n">
        <x:v>9871.98</x:v>
      </x:c>
      <x:c r="I405" s="39"/>
    </x:row>
    <x:row r="406">
      <x:c r="A406" s="21" t="str">
        <x:v>SYN-0116</x:v>
      </x:c>
      <x:c r="B406" s="21" t="str">
        <x:v>Synthetic Supplier 0116 LLC</x:v>
      </x:c>
      <x:c r="C406" s="38" t="str">
        <x:f>"900 000 000 000 116"</x:f>
        <x:v>900 000 000 000 116</x:v>
      </x:c>
      <x:c r="D406" s="21" t="str">
        <x:v>SYN-0116-INV-01</x:v>
      </x:c>
      <x:c r="E406" s="39" t="n">
        <x:v>46047</x:v>
      </x:c>
      <x:c r="F406" s="42" t="n">
        <x:v>13137.64</x:v>
      </x:c>
      <x:c r="G406" s="42" t="n">
        <x:v>656.88</x:v>
      </x:c>
      <x:c r="H406" s="42" t="n">
        <x:v>20550.65</x:v>
      </x:c>
      <x:c r="I406" s="39" t="n">
        <x:v>45917</x:v>
      </x:c>
    </x:row>
    <x:row r="407">
      <x:c r="A407" s="21" t="str">
        <x:v>SYN-0116</x:v>
      </x:c>
      <x:c r="B407" s="21" t="str">
        <x:v>Synthetic Supplier 0116 LLC</x:v>
      </x:c>
      <x:c r="C407" s="38" t="str">
        <x:f>"900 000 000 000 116"</x:f>
        <x:v>900 000 000 000 116</x:v>
      </x:c>
      <x:c r="D407" s="21" t="str">
        <x:v>SYN-0116-INV-02</x:v>
      </x:c>
      <x:c r="E407" s="39" t="n">
        <x:v>46094</x:v>
      </x:c>
      <x:c r="F407" s="42" t="n">
        <x:v>9696.41</x:v>
      </x:c>
      <x:c r="G407" s="42" t="n">
        <x:v>484.82</x:v>
      </x:c>
      <x:c r="H407" s="42" t="n">
        <x:v>20550.65</x:v>
      </x:c>
      <x:c r="I407" s="39" t="n">
        <x:v>45917</x:v>
      </x:c>
    </x:row>
    <x:row r="408">
      <x:c r="A408" s="21" t="str">
        <x:v>SYN-0117</x:v>
      </x:c>
      <x:c r="B408" s="21" t="str">
        <x:v>Synthetic Supplier 0117 LLC</x:v>
      </x:c>
      <x:c r="C408" s="38" t="str">
        <x:f>"900 000 000 000 117"</x:f>
        <x:v>900 000 000 000 117</x:v>
      </x:c>
      <x:c r="D408" s="21" t="str">
        <x:v>SYN-0117-INV-01</x:v>
      </x:c>
      <x:c r="E408" s="39" t="n">
        <x:v>46060</x:v>
      </x:c>
      <x:c r="F408" s="42" t="n">
        <x:v>3151.86</x:v>
      </x:c>
      <x:c r="G408" s="42" t="n">
        <x:v>157.59</x:v>
      </x:c>
      <x:c r="H408" s="42" t="n">
        <x:v>7329.43</x:v>
      </x:c>
      <x:c r="I408" s="39" t="n">
        <x:v>46040</x:v>
      </x:c>
    </x:row>
    <x:row r="409">
      <x:c r="A409" s="21" t="str">
        <x:v>SYN-0117</x:v>
      </x:c>
      <x:c r="B409" s="21" t="str">
        <x:v>Synthetic Supplier 0117 LLC</x:v>
      </x:c>
      <x:c r="C409" s="38" t="str">
        <x:f>"900 000 000 000 117"</x:f>
        <x:v>900 000 000 000 117</x:v>
      </x:c>
      <x:c r="D409" s="21" t="str">
        <x:v>SYN-0117-INV-02</x:v>
      </x:c>
      <x:c r="E409" s="39" t="n">
        <x:v>46107</x:v>
      </x:c>
      <x:c r="F409" s="42" t="n">
        <x:v>3005.01</x:v>
      </x:c>
      <x:c r="G409" s="42" t="n">
        <x:v>150.25</x:v>
      </x:c>
      <x:c r="H409" s="42" t="n">
        <x:v>7329.43</x:v>
      </x:c>
      <x:c r="I409" s="39" t="n">
        <x:v>46040</x:v>
      </x:c>
    </x:row>
    <x:row r="410">
      <x:c r="A410" s="21" t="str">
        <x:v>SYN-0117</x:v>
      </x:c>
      <x:c r="B410" s="21" t="str">
        <x:v>Synthetic Supplier 0117 LLC</x:v>
      </x:c>
      <x:c r="C410" s="38" t="str">
        <x:f>"900 000 000 000 117"</x:f>
        <x:v>900 000 000 000 117</x:v>
      </x:c>
      <x:c r="D410" s="21" t="str">
        <x:v>SYN-0117-INV-03</x:v>
      </x:c>
      <x:c r="E410" s="39" t="n">
        <x:v>46154</x:v>
      </x:c>
      <x:c r="F410" s="42" t="n">
        <x:v>1986.94</x:v>
      </x:c>
      <x:c r="G410" s="42" t="n">
        <x:v>99.35</x:v>
      </x:c>
      <x:c r="H410" s="42" t="n">
        <x:v>7329.43</x:v>
      </x:c>
      <x:c r="I410" s="39" t="n">
        <x:v>46040</x:v>
      </x:c>
    </x:row>
    <x:row r="411">
      <x:c r="A411" s="21" t="str">
        <x:v>SYN-0118</x:v>
      </x:c>
      <x:c r="B411" s="21" t="str">
        <x:v>Synthetic Supplier 0118 LLC</x:v>
      </x:c>
      <x:c r="C411" s="38" t="str">
        <x:f>"900 000 000 000 118"</x:f>
        <x:v>900 000 000 000 118</x:v>
      </x:c>
      <x:c r="D411" s="21" t="str">
        <x:v>SYN-0118-INV-01</x:v>
      </x:c>
      <x:c r="E411" s="39" t="n">
        <x:v>46073</x:v>
      </x:c>
      <x:c r="F411" s="42" t="n">
        <x:v>6977.47</x:v>
      </x:c>
      <x:c r="G411" s="42" t="n">
        <x:v>348.87</x:v>
      </x:c>
      <x:c r="H411" s="42" t="n">
        <x:v>24594.71</x:v>
      </x:c>
      <x:c r="I411" s="39" t="n">
        <x:v>45707</x:v>
      </x:c>
    </x:row>
    <x:row r="412">
      <x:c r="A412" s="21" t="str">
        <x:v>SYN-0118</x:v>
      </x:c>
      <x:c r="B412" s="21" t="str">
        <x:v>Synthetic Supplier 0118 LLC</x:v>
      </x:c>
      <x:c r="C412" s="38" t="str">
        <x:f>"900 000 000 000 118"</x:f>
        <x:v>900 000 000 000 118</x:v>
      </x:c>
      <x:c r="D412" s="21" t="str">
        <x:v>SYN-0118-INV-02</x:v>
      </x:c>
      <x:c r="E412" s="39" t="n">
        <x:v>46120</x:v>
      </x:c>
      <x:c r="F412" s="42" t="n">
        <x:v>9683.81</x:v>
      </x:c>
      <x:c r="G412" s="42" t="n">
        <x:v>484.19</x:v>
      </x:c>
      <x:c r="H412" s="42" t="n">
        <x:v>24594.71</x:v>
      </x:c>
      <x:c r="I412" s="39" t="n">
        <x:v>45707</x:v>
      </x:c>
    </x:row>
    <x:row r="413">
      <x:c r="A413" s="21" t="str">
        <x:v>SYN-0118</x:v>
      </x:c>
      <x:c r="B413" s="21" t="str">
        <x:v>Synthetic Supplier 0118 LLC</x:v>
      </x:c>
      <x:c r="C413" s="38" t="str">
        <x:f>"900 000 000 000 118"</x:f>
        <x:v>900 000 000 000 118</x:v>
      </x:c>
      <x:c r="D413" s="21" t="str">
        <x:v>SYN-0118-INV-03</x:v>
      </x:c>
      <x:c r="E413" s="39" t="n">
        <x:v>46167</x:v>
      </x:c>
      <x:c r="F413" s="42" t="n">
        <x:v>4885.04</x:v>
      </x:c>
      <x:c r="G413" s="42" t="n">
        <x:v>244.25</x:v>
      </x:c>
      <x:c r="H413" s="42" t="n">
        <x:v>24594.71</x:v>
      </x:c>
      <x:c r="I413" s="39" t="n">
        <x:v>45707</x:v>
      </x:c>
    </x:row>
    <x:row r="414">
      <x:c r="A414" s="21" t="str">
        <x:v>SYN-0118</x:v>
      </x:c>
      <x:c r="B414" s="21" t="str">
        <x:v>Synthetic Supplier 0118 LLC</x:v>
      </x:c>
      <x:c r="C414" s="38" t="str">
        <x:f>"900 000 000 000 118"</x:f>
        <x:v>900 000 000 000 118</x:v>
      </x:c>
      <x:c r="D414" s="21" t="str">
        <x:v>SYN-0118-INV-04</x:v>
      </x:c>
      <x:c r="E414" s="39" t="n">
        <x:v>46214</x:v>
      </x:c>
      <x:c r="F414" s="42" t="n">
        <x:v>5781.14</x:v>
      </x:c>
      <x:c r="G414" s="42" t="n">
        <x:v>289.06</x:v>
      </x:c>
      <x:c r="H414" s="42" t="n">
        <x:v>24594.71</x:v>
      </x:c>
      <x:c r="I414" s="39" t="n">
        <x:v>45707</x:v>
      </x:c>
    </x:row>
    <x:row r="415">
      <x:c r="A415" s="21" t="str">
        <x:v>SYN-0119</x:v>
      </x:c>
      <x:c r="B415" s="21" t="str">
        <x:v>Synthetic Supplier 0119 LLC</x:v>
      </x:c>
      <x:c r="C415" s="38" t="str">
        <x:f>"900 000 000 000 119"</x:f>
        <x:v>900 000 000 000 119</x:v>
      </x:c>
      <x:c r="D415" s="21" t="str">
        <x:v>SYN-0119-INV-01</x:v>
      </x:c>
      <x:c r="E415" s="39" t="n">
        <x:v>46086</x:v>
      </x:c>
      <x:c r="F415" s="42" t="n">
        <x:v>4293.66</x:v>
      </x:c>
      <x:c r="G415" s="42" t="n">
        <x:v>214.68</x:v>
      </x:c>
      <x:c r="H415" s="42" t="n">
        <x:v>79064.59</x:v>
      </x:c>
      <x:c r="I415" s="39" t="n">
        <x:v>46101</x:v>
      </x:c>
    </x:row>
    <x:row r="416">
      <x:c r="A416" s="21" t="str">
        <x:v>SYN-0119</x:v>
      </x:c>
      <x:c r="B416" s="21" t="str">
        <x:v>Synthetic Supplier 0119 LLC</x:v>
      </x:c>
      <x:c r="C416" s="38" t="str">
        <x:f>"900 000 000 000 119"</x:f>
        <x:v>900 000 000 000 119</x:v>
      </x:c>
      <x:c r="D416" s="21" t="str">
        <x:v>SYN-0119-INV-02</x:v>
      </x:c>
      <x:c r="E416" s="39" t="n">
        <x:v>46133</x:v>
      </x:c>
      <x:c r="F416" s="42" t="n">
        <x:v>3441.39</x:v>
      </x:c>
      <x:c r="G416" s="42" t="n">
        <x:v>172.07</x:v>
      </x:c>
      <x:c r="H416" s="42" t="n">
        <x:v>79064.59</x:v>
      </x:c>
      <x:c r="I416" s="39" t="n">
        <x:v>46101</x:v>
      </x:c>
    </x:row>
    <x:row r="417">
      <x:c r="A417" s="21" t="str">
        <x:v>SYN-0119</x:v>
      </x:c>
      <x:c r="B417" s="21" t="str">
        <x:v>Synthetic Supplier 0119 LLC</x:v>
      </x:c>
      <x:c r="C417" s="38" t="str">
        <x:f>"900 000 000 000 119"</x:f>
        <x:v>900 000 000 000 119</x:v>
      </x:c>
      <x:c r="D417" s="21" t="str">
        <x:v>SYN-0119-INV-03</x:v>
      </x:c>
      <x:c r="E417" s="39" t="n">
        <x:v>46180</x:v>
      </x:c>
      <x:c r="F417" s="42" t="n">
        <x:v>2869.67</x:v>
      </x:c>
      <x:c r="G417" s="42" t="n">
        <x:v>143.48</x:v>
      </x:c>
      <x:c r="H417" s="42" t="n">
        <x:v>79064.59</x:v>
      </x:c>
      <x:c r="I417" s="39" t="n">
        <x:v>46101</x:v>
      </x:c>
    </x:row>
    <x:row r="418">
      <x:c r="A418" s="21" t="str">
        <x:v>SYN-0119</x:v>
      </x:c>
      <x:c r="B418" s="21" t="str">
        <x:v>Synthetic Supplier 0119 LLC</x:v>
      </x:c>
      <x:c r="C418" s="38" t="str">
        <x:f>"900 000 000 000 119"</x:f>
        <x:v>900 000 000 000 119</x:v>
      </x:c>
      <x:c r="D418" s="21" t="str">
        <x:v>SYN-0119-INV-04</x:v>
      </x:c>
      <x:c r="E418" s="39" t="n">
        <x:v>46227</x:v>
      </x:c>
      <x:c r="F418" s="42" t="n">
        <x:v>3963.63</x:v>
      </x:c>
      <x:c r="G418" s="42" t="n">
        <x:v>198.18</x:v>
      </x:c>
      <x:c r="H418" s="42" t="n">
        <x:v>79064.59</x:v>
      </x:c>
      <x:c r="I418" s="39" t="n">
        <x:v>46101</x:v>
      </x:c>
    </x:row>
    <x:row r="419">
      <x:c r="A419" s="21" t="str">
        <x:v>SYN-0119</x:v>
      </x:c>
      <x:c r="B419" s="21" t="str">
        <x:v>Synthetic Supplier 0119 LLC</x:v>
      </x:c>
      <x:c r="C419" s="38" t="str">
        <x:f>"900 000 000 000 119"</x:f>
        <x:v>900 000 000 000 119</x:v>
      </x:c>
      <x:c r="D419" s="21" t="str">
        <x:v>SYN-0119-INV-05</x:v>
      </x:c>
      <x:c r="E419" s="39" t="n">
        <x:v>46274</x:v>
      </x:c>
      <x:c r="F419" s="42" t="n">
        <x:v>3001.56</x:v>
      </x:c>
      <x:c r="G419" s="42" t="n">
        <x:v>150.08</x:v>
      </x:c>
      <x:c r="H419" s="42" t="n">
        <x:v>79064.59</x:v>
      </x:c>
      <x:c r="I419" s="39" t="n">
        <x:v>46101</x:v>
      </x:c>
    </x:row>
    <x:row r="420">
      <x:c r="A420" s="21" t="str">
        <x:v>SYN-0120</x:v>
      </x:c>
      <x:c r="B420" s="21" t="str">
        <x:v>Synthetic Supplier 0120 LLC</x:v>
      </x:c>
      <x:c r="C420" s="38" t="str">
        <x:f>"900 000 000 000 120"</x:f>
        <x:v>900 000 000 000 120</x:v>
      </x:c>
      <x:c r="D420" s="21" t="str">
        <x:v>SYN-0120-INV-01</x:v>
      </x:c>
      <x:c r="E420" s="39" t="n">
        <x:v>46099</x:v>
      </x:c>
      <x:c r="F420" s="42" t="n">
        <x:v>3777.44</x:v>
      </x:c>
      <x:c r="G420" s="42" t="n">
        <x:v>188.87</x:v>
      </x:c>
      <x:c r="H420" s="42" t="n">
        <x:v>7914.91</x:v>
      </x:c>
      <x:c r="I420" s="39"/>
    </x:row>
    <x:row r="421">
      <x:c r="A421" s="21" t="str">
        <x:v>SYN-0120</x:v>
      </x:c>
      <x:c r="B421" s="21" t="str">
        <x:v>Synthetic Supplier 0120 LLC</x:v>
      </x:c>
      <x:c r="C421" s="38" t="str">
        <x:f>"900 000 000 000 120"</x:f>
        <x:v>900 000 000 000 120</x:v>
      </x:c>
      <x:c r="D421" s="21" t="str">
        <x:v>SYN-0120-INV-02</x:v>
      </x:c>
      <x:c r="E421" s="39" t="n">
        <x:v>46146</x:v>
      </x:c>
      <x:c r="F421" s="42" t="n">
        <x:v>5016.91</x:v>
      </x:c>
      <x:c r="G421" s="42" t="n">
        <x:v>250.85</x:v>
      </x:c>
      <x:c r="H421" s="42" t="n">
        <x:v>7914.91</x:v>
      </x:c>
      <x:c r="I421" s="39"/>
    </x:row>
    <x:row r="422">
      <x:c r="A422" s="21" t="str">
        <x:v>SYN-0121</x:v>
      </x:c>
      <x:c r="B422" s="21" t="str">
        <x:v>Synthetic Supplier 0121 LLC</x:v>
      </x:c>
      <x:c r="C422" s="38" t="str">
        <x:f>"900 000 000 000 121"</x:f>
        <x:v>900 000 000 000 121</x:v>
      </x:c>
      <x:c r="D422" s="21" t="str">
        <x:v>SYN-0121-INV-01</x:v>
      </x:c>
      <x:c r="E422" s="39" t="n">
        <x:v>46112</x:v>
      </x:c>
      <x:c r="F422" s="42" t="n">
        <x:v>2323.77</x:v>
      </x:c>
      <x:c r="G422" s="42" t="n">
        <x:v>116.19</x:v>
      </x:c>
      <x:c r="H422" s="42" t="n">
        <x:v>6246.8</x:v>
      </x:c>
      <x:c r="I422" s="39" t="n">
        <x:v>46164</x:v>
      </x:c>
    </x:row>
    <x:row r="423">
      <x:c r="A423" s="21" t="str">
        <x:v>SYN-0121</x:v>
      </x:c>
      <x:c r="B423" s="21" t="str">
        <x:v>Synthetic Supplier 0121 LLC</x:v>
      </x:c>
      <x:c r="C423" s="38" t="str">
        <x:f>"900 000 000 000 121"</x:f>
        <x:v>900 000 000 000 121</x:v>
      </x:c>
      <x:c r="D423" s="21" t="str">
        <x:v>SYN-0121-INV-02</x:v>
      </x:c>
      <x:c r="E423" s="39" t="n">
        <x:v>46159</x:v>
      </x:c>
      <x:c r="F423" s="42" t="n">
        <x:v>2347.34</x:v>
      </x:c>
      <x:c r="G423" s="42" t="n">
        <x:v>117.37</x:v>
      </x:c>
      <x:c r="H423" s="42" t="n">
        <x:v>6246.8</x:v>
      </x:c>
      <x:c r="I423" s="39" t="n">
        <x:v>46164</x:v>
      </x:c>
    </x:row>
    <x:row r="424">
      <x:c r="A424" s="21" t="str">
        <x:v>SYN-0121</x:v>
      </x:c>
      <x:c r="B424" s="21" t="str">
        <x:v>Synthetic Supplier 0121 LLC</x:v>
      </x:c>
      <x:c r="C424" s="38" t="str">
        <x:f>"900 000 000 000 121"</x:f>
        <x:v>900 000 000 000 121</x:v>
      </x:c>
      <x:c r="D424" s="21" t="str">
        <x:v>SYN-0121-INV-03</x:v>
      </x:c>
      <x:c r="E424" s="39" t="n">
        <x:v>46206</x:v>
      </x:c>
      <x:c r="F424" s="42" t="n">
        <x:v>2269.78</x:v>
      </x:c>
      <x:c r="G424" s="42" t="n">
        <x:v>113.49</x:v>
      </x:c>
      <x:c r="H424" s="42" t="n">
        <x:v>6246.8</x:v>
      </x:c>
      <x:c r="I424" s="39" t="n">
        <x:v>46164</x:v>
      </x:c>
    </x:row>
    <x:row r="425">
      <x:c r="A425" s="21" t="str">
        <x:v>SYN-0122</x:v>
      </x:c>
      <x:c r="B425" s="21" t="str">
        <x:v>Synthetic Supplier 0122 LLC</x:v>
      </x:c>
      <x:c r="C425" s="38" t="str">
        <x:f>"900 000 000 000 122"</x:f>
        <x:v>900 000 000 000 122</x:v>
      </x:c>
      <x:c r="D425" s="21" t="str">
        <x:v>SYN-0122-INV-01</x:v>
      </x:c>
      <x:c r="E425" s="39" t="n">
        <x:v>46125</x:v>
      </x:c>
      <x:c r="F425" s="42" t="n">
        <x:v>777.18</x:v>
      </x:c>
      <x:c r="G425" s="42" t="n">
        <x:v>38.86</x:v>
      </x:c>
      <x:c r="H425" s="42" t="n">
        <x:v>4815.68</x:v>
      </x:c>
      <x:c r="I425" s="39" t="n">
        <x:v>45831</x:v>
      </x:c>
    </x:row>
    <x:row r="426">
      <x:c r="A426" s="21" t="str">
        <x:v>SYN-0122</x:v>
      </x:c>
      <x:c r="B426" s="21" t="str">
        <x:v>Synthetic Supplier 0122 LLC</x:v>
      </x:c>
      <x:c r="C426" s="38" t="str">
        <x:f>"900 000 000 000 122"</x:f>
        <x:v>900 000 000 000 122</x:v>
      </x:c>
      <x:c r="D426" s="21" t="str">
        <x:v>SYN-0122-INV-02</x:v>
      </x:c>
      <x:c r="E426" s="39" t="n">
        <x:v>46172</x:v>
      </x:c>
      <x:c r="F426" s="42" t="n">
        <x:v>1608.02</x:v>
      </x:c>
      <x:c r="G426" s="42" t="n">
        <x:v>80.4</x:v>
      </x:c>
      <x:c r="H426" s="42" t="n">
        <x:v>4815.68</x:v>
      </x:c>
      <x:c r="I426" s="39" t="n">
        <x:v>45831</x:v>
      </x:c>
    </x:row>
    <x:row r="427">
      <x:c r="A427" s="21" t="str">
        <x:v>SYN-0122</x:v>
      </x:c>
      <x:c r="B427" s="21" t="str">
        <x:v>Synthetic Supplier 0122 LLC</x:v>
      </x:c>
      <x:c r="C427" s="38" t="str">
        <x:f>"900 000 000 000 122"</x:f>
        <x:v>900 000 000 000 122</x:v>
      </x:c>
      <x:c r="D427" s="21" t="str">
        <x:v>SYN-0122-INV-03</x:v>
      </x:c>
      <x:c r="E427" s="39" t="n">
        <x:v>46219</x:v>
      </x:c>
      <x:c r="F427" s="42" t="n">
        <x:v>1265.12</x:v>
      </x:c>
      <x:c r="G427" s="42" t="n">
        <x:v>63.26</x:v>
      </x:c>
      <x:c r="H427" s="42" t="n">
        <x:v>4815.68</x:v>
      </x:c>
      <x:c r="I427" s="39" t="n">
        <x:v>45831</x:v>
      </x:c>
    </x:row>
    <x:row r="428">
      <x:c r="A428" s="21" t="str">
        <x:v>SYN-0122</x:v>
      </x:c>
      <x:c r="B428" s="21" t="str">
        <x:v>Synthetic Supplier 0122 LLC</x:v>
      </x:c>
      <x:c r="C428" s="38" t="str">
        <x:f>"900 000 000 000 122"</x:f>
        <x:v>900 000 000 000 122</x:v>
      </x:c>
      <x:c r="D428" s="21" t="str">
        <x:v>SYN-0122-INV-04</x:v>
      </x:c>
      <x:c r="E428" s="39" t="n">
        <x:v>46266</x:v>
      </x:c>
      <x:c r="F428" s="42" t="n">
        <x:v>1700.43</x:v>
      </x:c>
      <x:c r="G428" s="42" t="n">
        <x:v>85.02</x:v>
      </x:c>
      <x:c r="H428" s="42" t="n">
        <x:v>4815.68</x:v>
      </x:c>
      <x:c r="I428" s="39" t="n">
        <x:v>45831</x:v>
      </x:c>
    </x:row>
    <x:row r="429">
      <x:c r="A429" s="21" t="str">
        <x:v>SYN-0123</x:v>
      </x:c>
      <x:c r="B429" s="21" t="str">
        <x:v>Synthetic Supplier 0123 LLC</x:v>
      </x:c>
      <x:c r="C429" s="38" t="str">
        <x:f>"900 000 000 000 123"</x:f>
        <x:v>900 000 000 000 123</x:v>
      </x:c>
      <x:c r="D429" s="21" t="str">
        <x:v>SYN-0123-INV-01</x:v>
      </x:c>
      <x:c r="E429" s="39" t="n">
        <x:v>46138</x:v>
      </x:c>
      <x:c r="F429" s="42" t="n">
        <x:v>5346.82</x:v>
      </x:c>
      <x:c r="G429" s="42" t="n">
        <x:v>267.34</x:v>
      </x:c>
      <x:c r="H429" s="42" t="n">
        <x:v>25323.45</x:v>
      </x:c>
      <x:c r="I429" s="39" t="n">
        <x:v>46227</x:v>
      </x:c>
    </x:row>
    <x:row r="430">
      <x:c r="A430" s="21" t="str">
        <x:v>SYN-0123</x:v>
      </x:c>
      <x:c r="B430" s="21" t="str">
        <x:v>Synthetic Supplier 0123 LLC</x:v>
      </x:c>
      <x:c r="C430" s="38" t="str">
        <x:f>"900 000 000 000 123"</x:f>
        <x:v>900 000 000 000 123</x:v>
      </x:c>
      <x:c r="D430" s="21" t="str">
        <x:v>SYN-0123-INV-02</x:v>
      </x:c>
      <x:c r="E430" s="39" t="n">
        <x:v>46185</x:v>
      </x:c>
      <x:c r="F430" s="42" t="n">
        <x:v>5308.03</x:v>
      </x:c>
      <x:c r="G430" s="42" t="n">
        <x:v>265.4</x:v>
      </x:c>
      <x:c r="H430" s="42" t="n">
        <x:v>25323.45</x:v>
      </x:c>
      <x:c r="I430" s="39" t="n">
        <x:v>46227</x:v>
      </x:c>
    </x:row>
    <x:row r="431">
      <x:c r="A431" s="21" t="str">
        <x:v>SYN-0123</x:v>
      </x:c>
      <x:c r="B431" s="21" t="str">
        <x:v>Synthetic Supplier 0123 LLC</x:v>
      </x:c>
      <x:c r="C431" s="38" t="str">
        <x:f>"900 000 000 000 123"</x:f>
        <x:v>900 000 000 000 123</x:v>
      </x:c>
      <x:c r="D431" s="21" t="str">
        <x:v>SYN-0123-INV-03</x:v>
      </x:c>
      <x:c r="E431" s="39" t="n">
        <x:v>46232</x:v>
      </x:c>
      <x:c r="F431" s="42" t="n">
        <x:v>6400.06</x:v>
      </x:c>
      <x:c r="G431" s="42" t="n">
        <x:v>320</x:v>
      </x:c>
      <x:c r="H431" s="42" t="n">
        <x:v>25323.45</x:v>
      </x:c>
      <x:c r="I431" s="39" t="n">
        <x:v>46227</x:v>
      </x:c>
    </x:row>
    <x:row r="432">
      <x:c r="A432" s="21" t="str">
        <x:v>SYN-0123</x:v>
      </x:c>
      <x:c r="B432" s="21" t="str">
        <x:v>Synthetic Supplier 0123 LLC</x:v>
      </x:c>
      <x:c r="C432" s="38" t="str">
        <x:f>"900 000 000 000 123"</x:f>
        <x:v>900 000 000 000 123</x:v>
      </x:c>
      <x:c r="D432" s="21" t="str">
        <x:v>SYN-0123-INV-04</x:v>
      </x:c>
      <x:c r="E432" s="39" t="n">
        <x:v>46279</x:v>
      </x:c>
      <x:c r="F432" s="42" t="n">
        <x:v>6224.79</x:v>
      </x:c>
      <x:c r="G432" s="42" t="n">
        <x:v>311.24</x:v>
      </x:c>
      <x:c r="H432" s="42" t="n">
        <x:v>25323.45</x:v>
      </x:c>
      <x:c r="I432" s="39" t="n">
        <x:v>46227</x:v>
      </x:c>
    </x:row>
    <x:row r="433">
      <x:c r="A433" s="21" t="str">
        <x:v>SYN-0123</x:v>
      </x:c>
      <x:c r="B433" s="21" t="str">
        <x:v>Synthetic Supplier 0123 LLC</x:v>
      </x:c>
      <x:c r="C433" s="38" t="str">
        <x:f>"900 000 000 000 123"</x:f>
        <x:v>900 000 000 000 123</x:v>
      </x:c>
      <x:c r="D433" s="21" t="str">
        <x:v>SYN-0123-INV-05</x:v>
      </x:c>
      <x:c r="E433" s="39" t="n">
        <x:v>45966</x:v>
      </x:c>
      <x:c r="F433" s="42" t="n">
        <x:v>4857.47</x:v>
      </x:c>
      <x:c r="G433" s="42" t="n">
        <x:v>242.87</x:v>
      </x:c>
      <x:c r="H433" s="42" t="n">
        <x:v>25323.45</x:v>
      </x:c>
      <x:c r="I433" s="39" t="n">
        <x:v>46227</x:v>
      </x:c>
    </x:row>
    <x:row r="434">
      <x:c r="A434" s="21" t="str">
        <x:v>SYN-0124</x:v>
      </x:c>
      <x:c r="B434" s="21" t="str">
        <x:v>Synthetic Supplier 0124 LLC</x:v>
      </x:c>
      <x:c r="C434" s="38" t="str">
        <x:f>"900 000 000 000 124"</x:f>
        <x:v>900 000 000 000 124</x:v>
      </x:c>
      <x:c r="D434" s="21" t="str">
        <x:v>SYN-0124-INV-01</x:v>
      </x:c>
      <x:c r="E434" s="39" t="n">
        <x:v>46151</x:v>
      </x:c>
      <x:c r="F434" s="42" t="n">
        <x:v>4167.68</x:v>
      </x:c>
      <x:c r="G434" s="42" t="n">
        <x:v>208.38</x:v>
      </x:c>
      <x:c r="H434" s="42" t="n">
        <x:v>8961.99</x:v>
      </x:c>
      <x:c r="I434" s="39" t="n">
        <x:v>45894</x:v>
      </x:c>
    </x:row>
    <x:row r="435">
      <x:c r="A435" s="21" t="str">
        <x:v>SYN-0124</x:v>
      </x:c>
      <x:c r="B435" s="21" t="str">
        <x:v>Synthetic Supplier 0124 LLC</x:v>
      </x:c>
      <x:c r="C435" s="38" t="str">
        <x:f>"900 000 000 000 124"</x:f>
        <x:v>900 000 000 000 124</x:v>
      </x:c>
      <x:c r="D435" s="21" t="str">
        <x:v>SYN-0124-INV-02</x:v>
      </x:c>
      <x:c r="E435" s="39" t="n">
        <x:v>46198</x:v>
      </x:c>
      <x:c r="F435" s="42" t="n">
        <x:v>5790.09</x:v>
      </x:c>
      <x:c r="G435" s="42" t="n">
        <x:v>289.5</x:v>
      </x:c>
      <x:c r="H435" s="42" t="n">
        <x:v>8961.99</x:v>
      </x:c>
      <x:c r="I435" s="39" t="n">
        <x:v>45894</x:v>
      </x:c>
    </x:row>
    <x:row r="436">
      <x:c r="A436" s="21" t="str">
        <x:v>SYN-0125</x:v>
      </x:c>
      <x:c r="B436" s="21" t="str">
        <x:v>Synthetic Supplier 0125 LLC</x:v>
      </x:c>
      <x:c r="C436" s="38" t="str">
        <x:f>"900 000 000 000 125"</x:f>
        <x:v>900 000 000 000 125</x:v>
      </x:c>
      <x:c r="D436" s="21" t="str">
        <x:v>SYN-0125-INV-01</x:v>
      </x:c>
      <x:c r="E436" s="39" t="n">
        <x:v>46164</x:v>
      </x:c>
      <x:c r="F436" s="42" t="n">
        <x:v>2910.49</x:v>
      </x:c>
      <x:c r="G436" s="42" t="n">
        <x:v>145.52</x:v>
      </x:c>
      <x:c r="H436" s="42" t="n">
        <x:v>8719.1</x:v>
      </x:c>
      <x:c r="I436" s="39"/>
    </x:row>
    <x:row r="437">
      <x:c r="A437" s="21" t="str">
        <x:v>SYN-0125</x:v>
      </x:c>
      <x:c r="B437" s="21" t="str">
        <x:v>Synthetic Supplier 0125 LLC</x:v>
      </x:c>
      <x:c r="C437" s="38" t="str">
        <x:f>"900 000 000 000 125"</x:f>
        <x:v>900 000 000 000 125</x:v>
      </x:c>
      <x:c r="D437" s="21" t="str">
        <x:v>SYN-0125-INV-02</x:v>
      </x:c>
      <x:c r="E437" s="39" t="n">
        <x:v>46211</x:v>
      </x:c>
      <x:c r="F437" s="42" t="n">
        <x:v>2957.05</x:v>
      </x:c>
      <x:c r="G437" s="42" t="n">
        <x:v>147.85</x:v>
      </x:c>
      <x:c r="H437" s="42" t="n">
        <x:v>8719.1</x:v>
      </x:c>
      <x:c r="I437" s="39"/>
    </x:row>
    <x:row r="438">
      <x:c r="A438" s="21" t="str">
        <x:v>SYN-0125</x:v>
      </x:c>
      <x:c r="B438" s="21" t="str">
        <x:v>Synthetic Supplier 0125 LLC</x:v>
      </x:c>
      <x:c r="C438" s="38" t="str">
        <x:f>"900 000 000 000 125"</x:f>
        <x:v>900 000 000 000 125</x:v>
      </x:c>
      <x:c r="D438" s="21" t="str">
        <x:v>SYN-0125-INV-03</x:v>
      </x:c>
      <x:c r="E438" s="39" t="n">
        <x:v>46258</x:v>
      </x:c>
      <x:c r="F438" s="42" t="n">
        <x:v>3820.34</x:v>
      </x:c>
      <x:c r="G438" s="42" t="n">
        <x:v>191.02</x:v>
      </x:c>
      <x:c r="H438" s="42" t="n">
        <x:v>8719.1</x:v>
      </x:c>
      <x:c r="I438" s="39"/>
    </x:row>
    <x:row r="439">
      <x:c r="A439" s="21" t="str">
        <x:v>SYN-0126</x:v>
      </x:c>
      <x:c r="B439" s="21" t="str">
        <x:v>Synthetic Supplier 0126 LLC</x:v>
      </x:c>
      <x:c r="C439" s="38" t="str">
        <x:f>"900 000 000 000 126"</x:f>
        <x:v>900 000 000 000 126</x:v>
      </x:c>
      <x:c r="D439" s="21" t="str">
        <x:v>SYN-0126-INV-01</x:v>
      </x:c>
      <x:c r="E439" s="39" t="n">
        <x:v>46177</x:v>
      </x:c>
      <x:c r="F439" s="42" t="n">
        <x:v>3998.94</x:v>
      </x:c>
      <x:c r="G439" s="42" t="n">
        <x:v>199.95</x:v>
      </x:c>
      <x:c r="H439" s="42" t="n">
        <x:v>71041.49</x:v>
      </x:c>
      <x:c r="I439" s="39" t="n">
        <x:v>45659</x:v>
      </x:c>
    </x:row>
    <x:row r="440">
      <x:c r="A440" s="21" t="str">
        <x:v>SYN-0126</x:v>
      </x:c>
      <x:c r="B440" s="21" t="str">
        <x:v>Synthetic Supplier 0126 LLC</x:v>
      </x:c>
      <x:c r="C440" s="38" t="str">
        <x:f>"900 000 000 000 126"</x:f>
        <x:v>900 000 000 000 126</x:v>
      </x:c>
      <x:c r="D440" s="21" t="str">
        <x:v>SYN-0126-INV-02</x:v>
      </x:c>
      <x:c r="E440" s="39" t="n">
        <x:v>46224</x:v>
      </x:c>
      <x:c r="F440" s="42" t="n">
        <x:v>4575.59</x:v>
      </x:c>
      <x:c r="G440" s="42" t="n">
        <x:v>228.78</x:v>
      </x:c>
      <x:c r="H440" s="42" t="n">
        <x:v>71041.49</x:v>
      </x:c>
      <x:c r="I440" s="39" t="n">
        <x:v>45659</x:v>
      </x:c>
    </x:row>
    <x:row r="441">
      <x:c r="A441" s="21" t="str">
        <x:v>SYN-0126</x:v>
      </x:c>
      <x:c r="B441" s="21" t="str">
        <x:v>Synthetic Supplier 0126 LLC</x:v>
      </x:c>
      <x:c r="C441" s="38" t="str">
        <x:f>"900 000 000 000 126"</x:f>
        <x:v>900 000 000 000 126</x:v>
      </x:c>
      <x:c r="D441" s="21" t="str">
        <x:v>SYN-0126-INV-03</x:v>
      </x:c>
      <x:c r="E441" s="39" t="n">
        <x:v>46271</x:v>
      </x:c>
      <x:c r="F441" s="42" t="n">
        <x:v>4207.94</x:v>
      </x:c>
      <x:c r="G441" s="42" t="n">
        <x:v>210.4</x:v>
      </x:c>
      <x:c r="H441" s="42" t="n">
        <x:v>71041.49</x:v>
      </x:c>
      <x:c r="I441" s="39" t="n">
        <x:v>45659</x:v>
      </x:c>
    </x:row>
    <x:row r="442">
      <x:c r="A442" s="21" t="str">
        <x:v>SYN-0126</x:v>
      </x:c>
      <x:c r="B442" s="21" t="str">
        <x:v>Synthetic Supplier 0126 LLC</x:v>
      </x:c>
      <x:c r="C442" s="38" t="str">
        <x:f>"900 000 000 000 126"</x:f>
        <x:v>900 000 000 000 126</x:v>
      </x:c>
      <x:c r="D442" s="21" t="str">
        <x:v>SYN-0126-INV-04</x:v>
      </x:c>
      <x:c r="E442" s="39" t="n">
        <x:v>45958</x:v>
      </x:c>
      <x:c r="F442" s="42" t="n">
        <x:v>3004.53</x:v>
      </x:c>
      <x:c r="G442" s="42" t="n">
        <x:v>150.23</x:v>
      </x:c>
      <x:c r="H442" s="42" t="n">
        <x:v>71041.49</x:v>
      </x:c>
      <x:c r="I442" s="39" t="n">
        <x:v>45659</x:v>
      </x:c>
    </x:row>
    <x:row r="443">
      <x:c r="A443" s="21" t="str">
        <x:v>SYN-0127</x:v>
      </x:c>
      <x:c r="B443" s="21" t="str">
        <x:v>Synthetic Supplier 0127 LLC</x:v>
      </x:c>
      <x:c r="C443" s="38" t="str">
        <x:f>"900 000 000 000 127"</x:f>
        <x:v>900 000 000 000 127</x:v>
      </x:c>
      <x:c r="D443" s="21" t="str">
        <x:v>SYN-0127-INV-01</x:v>
      </x:c>
      <x:c r="E443" s="39" t="n">
        <x:v>46190</x:v>
      </x:c>
      <x:c r="F443" s="42" t="n">
        <x:v>3481.94</x:v>
      </x:c>
      <x:c r="G443" s="42" t="n">
        <x:v>174.1</x:v>
      </x:c>
      <x:c r="H443" s="42" t="n">
        <x:v>19406.15</x:v>
      </x:c>
      <x:c r="I443" s="39" t="n">
        <x:v>46056</x:v>
      </x:c>
    </x:row>
    <x:row r="444">
      <x:c r="A444" s="21" t="str">
        <x:v>SYN-0127</x:v>
      </x:c>
      <x:c r="B444" s="21" t="str">
        <x:v>Synthetic Supplier 0127 LLC</x:v>
      </x:c>
      <x:c r="C444" s="38" t="str">
        <x:f>"900 000 000 000 127"</x:f>
        <x:v>900 000 000 000 127</x:v>
      </x:c>
      <x:c r="D444" s="21" t="str">
        <x:v>SYN-0127-INV-02</x:v>
      </x:c>
      <x:c r="E444" s="39" t="n">
        <x:v>46237</x:v>
      </x:c>
      <x:c r="F444" s="42" t="n">
        <x:v>4735.59</x:v>
      </x:c>
      <x:c r="G444" s="42" t="n">
        <x:v>236.78</x:v>
      </x:c>
      <x:c r="H444" s="42" t="n">
        <x:v>19406.15</x:v>
      </x:c>
      <x:c r="I444" s="39" t="n">
        <x:v>46056</x:v>
      </x:c>
    </x:row>
    <x:row r="445">
      <x:c r="A445" s="21" t="str">
        <x:v>SYN-0127</x:v>
      </x:c>
      <x:c r="B445" s="21" t="str">
        <x:v>Synthetic Supplier 0127 LLC</x:v>
      </x:c>
      <x:c r="C445" s="38" t="str">
        <x:f>"900 000 000 000 127"</x:f>
        <x:v>900 000 000 000 127</x:v>
      </x:c>
      <x:c r="D445" s="21" t="str">
        <x:v>SYN-0127-INV-03</x:v>
      </x:c>
      <x:c r="E445" s="39" t="n">
        <x:v>46284</x:v>
      </x:c>
      <x:c r="F445" s="42" t="n">
        <x:v>3752.44</x:v>
      </x:c>
      <x:c r="G445" s="42" t="n">
        <x:v>187.62</x:v>
      </x:c>
      <x:c r="H445" s="42" t="n">
        <x:v>19406.15</x:v>
      </x:c>
      <x:c r="I445" s="39" t="n">
        <x:v>46056</x:v>
      </x:c>
    </x:row>
    <x:row r="446">
      <x:c r="A446" s="21" t="str">
        <x:v>SYN-0127</x:v>
      </x:c>
      <x:c r="B446" s="21" t="str">
        <x:v>Synthetic Supplier 0127 LLC</x:v>
      </x:c>
      <x:c r="C446" s="38" t="str">
        <x:f>"900 000 000 000 127"</x:f>
        <x:v>900 000 000 000 127</x:v>
      </x:c>
      <x:c r="D446" s="21" t="str">
        <x:v>SYN-0127-INV-04</x:v>
      </x:c>
      <x:c r="E446" s="39" t="n">
        <x:v>45971</x:v>
      </x:c>
      <x:c r="F446" s="42" t="n">
        <x:v>5343.21</x:v>
      </x:c>
      <x:c r="G446" s="42" t="n">
        <x:v>267.16</x:v>
      </x:c>
      <x:c r="H446" s="42" t="n">
        <x:v>19406.15</x:v>
      </x:c>
      <x:c r="I446" s="39" t="n">
        <x:v>46056</x:v>
      </x:c>
    </x:row>
    <x:row r="447">
      <x:c r="A447" s="21" t="str">
        <x:v>SYN-0127</x:v>
      </x:c>
      <x:c r="B447" s="21" t="str">
        <x:v>Synthetic Supplier 0127 LLC</x:v>
      </x:c>
      <x:c r="C447" s="38" t="str">
        <x:f>"900 000 000 000 127"</x:f>
        <x:v>900 000 000 000 127</x:v>
      </x:c>
      <x:c r="D447" s="21" t="str">
        <x:v>SYN-0127-INV-05</x:v>
      </x:c>
      <x:c r="E447" s="39" t="n">
        <x:v>46018</x:v>
      </x:c>
      <x:c r="F447" s="42" t="n">
        <x:v>4249.22</x:v>
      </x:c>
      <x:c r="G447" s="42" t="n">
        <x:v>212.46</x:v>
      </x:c>
      <x:c r="H447" s="42" t="n">
        <x:v>19406.15</x:v>
      </x:c>
      <x:c r="I447" s="39" t="n">
        <x:v>46056</x:v>
      </x:c>
    </x:row>
    <x:row r="448">
      <x:c r="A448" s="21" t="str">
        <x:v>SYN-0128</x:v>
      </x:c>
      <x:c r="B448" s="21" t="str">
        <x:v>Synthetic Supplier 0128 LLC</x:v>
      </x:c>
      <x:c r="C448" s="38" t="str">
        <x:f>"900 000 000 000 128"</x:f>
        <x:v>900 000 000 000 128</x:v>
      </x:c>
      <x:c r="D448" s="21" t="str">
        <x:v>SYN-0128-INV-01</x:v>
      </x:c>
      <x:c r="E448" s="39" t="n">
        <x:v>46203</x:v>
      </x:c>
      <x:c r="F448" s="42" t="n">
        <x:v>14324.4</x:v>
      </x:c>
      <x:c r="G448" s="42" t="n">
        <x:v>716.22</x:v>
      </x:c>
      <x:c r="H448" s="42" t="n">
        <x:v>24129.52</x:v>
      </x:c>
      <x:c r="I448" s="39" t="n">
        <x:v>45720</x:v>
      </x:c>
    </x:row>
    <x:row r="449">
      <x:c r="A449" s="21" t="str">
        <x:v>SYN-0128</x:v>
      </x:c>
      <x:c r="B449" s="21" t="str">
        <x:v>Synthetic Supplier 0128 LLC</x:v>
      </x:c>
      <x:c r="C449" s="38" t="str">
        <x:f>"900 000 000 000 128"</x:f>
        <x:v>900 000 000 000 128</x:v>
      </x:c>
      <x:c r="D449" s="21" t="str">
        <x:v>SYN-0128-INV-02</x:v>
      </x:c>
      <x:c r="E449" s="39" t="n">
        <x:v>46250</x:v>
      </x:c>
      <x:c r="F449" s="42" t="n">
        <x:v>12486.18</x:v>
      </x:c>
      <x:c r="G449" s="42" t="n">
        <x:v>624.31</x:v>
      </x:c>
      <x:c r="H449" s="42" t="n">
        <x:v>24129.52</x:v>
      </x:c>
      <x:c r="I449" s="39" t="n">
        <x:v>45720</x:v>
      </x:c>
    </x:row>
    <x:row r="450">
      <x:c r="A450" s="21" t="str">
        <x:v>SYN-0129</x:v>
      </x:c>
      <x:c r="B450" s="21" t="str">
        <x:v>Synthetic Supplier 0129 LLC</x:v>
      </x:c>
      <x:c r="C450" s="38" t="str">
        <x:f>"900 000 000 000 129"</x:f>
        <x:v>900 000 000 000 129</x:v>
      </x:c>
      <x:c r="D450" s="21" t="str">
        <x:v>SYN-0129-INV-01</x:v>
      </x:c>
      <x:c r="E450" s="39" t="n">
        <x:v>46216</x:v>
      </x:c>
      <x:c r="F450" s="42" t="n">
        <x:v>4979.65</x:v>
      </x:c>
      <x:c r="G450" s="42" t="n">
        <x:v>248.98</x:v>
      </x:c>
      <x:c r="H450" s="42" t="n">
        <x:v>17429.85</x:v>
      </x:c>
      <x:c r="I450" s="39" t="n">
        <x:v>46117</x:v>
      </x:c>
    </x:row>
    <x:row r="451">
      <x:c r="A451" s="21" t="str">
        <x:v>SYN-0129</x:v>
      </x:c>
      <x:c r="B451" s="21" t="str">
        <x:v>Synthetic Supplier 0129 LLC</x:v>
      </x:c>
      <x:c r="C451" s="38" t="str">
        <x:f>"900 000 000 000 129"</x:f>
        <x:v>900 000 000 000 129</x:v>
      </x:c>
      <x:c r="D451" s="21" t="str">
        <x:v>SYN-0129-INV-02</x:v>
      </x:c>
      <x:c r="E451" s="39" t="n">
        <x:v>46263</x:v>
      </x:c>
      <x:c r="F451" s="42" t="n">
        <x:v>5567.85</x:v>
      </x:c>
      <x:c r="G451" s="42" t="n">
        <x:v>278.39</x:v>
      </x:c>
      <x:c r="H451" s="42" t="n">
        <x:v>17429.85</x:v>
      </x:c>
      <x:c r="I451" s="39" t="n">
        <x:v>46117</x:v>
      </x:c>
    </x:row>
    <x:row r="452">
      <x:c r="A452" s="21" t="str">
        <x:v>SYN-0129</x:v>
      </x:c>
      <x:c r="B452" s="21" t="str">
        <x:v>Synthetic Supplier 0129 LLC</x:v>
      </x:c>
      <x:c r="C452" s="38" t="str">
        <x:f>"900 000 000 000 129"</x:f>
        <x:v>900 000 000 000 129</x:v>
      </x:c>
      <x:c r="D452" s="21" t="str">
        <x:v>SYN-0129-INV-03</x:v>
      </x:c>
      <x:c r="E452" s="39" t="n">
        <x:v>45950</x:v>
      </x:c>
      <x:c r="F452" s="42" t="n">
        <x:v>8819</x:v>
      </x:c>
      <x:c r="G452" s="42" t="n">
        <x:v>440.95</x:v>
      </x:c>
      <x:c r="H452" s="42" t="n">
        <x:v>17429.85</x:v>
      </x:c>
      <x:c r="I452" s="39" t="n">
        <x:v>46117</x:v>
      </x:c>
    </x:row>
    <x:row r="453">
      <x:c r="A453" s="21" t="str">
        <x:v>SYN-0130</x:v>
      </x:c>
      <x:c r="B453" s="21" t="str">
        <x:v>Synthetic Supplier 0130 LLC</x:v>
      </x:c>
      <x:c r="C453" s="38" t="str">
        <x:f>"900 000 000 000 130"</x:f>
        <x:v>900 000 000 000 130</x:v>
      </x:c>
      <x:c r="D453" s="21" t="str">
        <x:v>SYN-0130-INV-01</x:v>
      </x:c>
      <x:c r="E453" s="39" t="n">
        <x:v>46229</x:v>
      </x:c>
      <x:c r="F453" s="42" t="n">
        <x:v>7460.64</x:v>
      </x:c>
      <x:c r="G453" s="42" t="n">
        <x:v>373.03</x:v>
      </x:c>
      <x:c r="H453" s="42" t="n">
        <x:v>22266.02</x:v>
      </x:c>
      <x:c r="I453" s="39"/>
    </x:row>
    <x:row r="454">
      <x:c r="A454" s="21" t="str">
        <x:v>SYN-0130</x:v>
      </x:c>
      <x:c r="B454" s="21" t="str">
        <x:v>Synthetic Supplier 0130 LLC</x:v>
      </x:c>
      <x:c r="C454" s="38" t="str">
        <x:f>"900 000 000 000 130"</x:f>
        <x:v>900 000 000 000 130</x:v>
      </x:c>
      <x:c r="D454" s="21" t="str">
        <x:v>SYN-0130-INV-02</x:v>
      </x:c>
      <x:c r="E454" s="39" t="n">
        <x:v>46276</x:v>
      </x:c>
      <x:c r="F454" s="42" t="n">
        <x:v>6312.58</x:v>
      </x:c>
      <x:c r="G454" s="42" t="n">
        <x:v>315.63</x:v>
      </x:c>
      <x:c r="H454" s="42" t="n">
        <x:v>22266.02</x:v>
      </x:c>
      <x:c r="I454" s="39"/>
    </x:row>
    <x:row r="455">
      <x:c r="A455" s="21" t="str">
        <x:v>SYN-0130</x:v>
      </x:c>
      <x:c r="B455" s="21" t="str">
        <x:v>Synthetic Supplier 0130 LLC</x:v>
      </x:c>
      <x:c r="C455" s="38" t="str">
        <x:f>"900 000 000 000 130"</x:f>
        <x:v>900 000 000 000 130</x:v>
      </x:c>
      <x:c r="D455" s="21" t="str">
        <x:v>SYN-0130-INV-03</x:v>
      </x:c>
      <x:c r="E455" s="39" t="n">
        <x:v>45963</x:v>
      </x:c>
      <x:c r="F455" s="42" t="n">
        <x:v>3900.46</x:v>
      </x:c>
      <x:c r="G455" s="42" t="n">
        <x:v>195.02</x:v>
      </x:c>
      <x:c r="H455" s="42" t="n">
        <x:v>22266.02</x:v>
      </x:c>
      <x:c r="I455" s="39"/>
    </x:row>
    <x:row r="456">
      <x:c r="A456" s="21" t="str">
        <x:v>SYN-0130</x:v>
      </x:c>
      <x:c r="B456" s="21" t="str">
        <x:v>Synthetic Supplier 0130 LLC</x:v>
      </x:c>
      <x:c r="C456" s="38" t="str">
        <x:f>"900 000 000 000 130"</x:f>
        <x:v>900 000 000 000 130</x:v>
      </x:c>
      <x:c r="D456" s="21" t="str">
        <x:v>SYN-0130-INV-04</x:v>
      </x:c>
      <x:c r="E456" s="39" t="n">
        <x:v>46010</x:v>
      </x:c>
      <x:c r="F456" s="42" t="n">
        <x:v>7066.34</x:v>
      </x:c>
      <x:c r="G456" s="42" t="n">
        <x:v>353.32</x:v>
      </x:c>
      <x:c r="H456" s="42" t="n">
        <x:v>22266.02</x:v>
      </x:c>
      <x:c r="I456" s="39"/>
    </x:row>
    <x:row r="457">
      <x:c r="A457" s="21" t="str">
        <x:v>SYN-0131</x:v>
      </x:c>
      <x:c r="B457" s="21" t="str">
        <x:v>Synthetic Supplier 0131 LLC</x:v>
      </x:c>
      <x:c r="C457" s="38" t="str">
        <x:f>"900 000 000 000 131"</x:f>
        <x:v>900 000 000 000 131</x:v>
      </x:c>
      <x:c r="D457" s="21" t="str">
        <x:v>SYN-0131-INV-01</x:v>
      </x:c>
      <x:c r="E457" s="39" t="n">
        <x:v>46242</x:v>
      </x:c>
      <x:c r="F457" s="42" t="n">
        <x:v>1469.69</x:v>
      </x:c>
      <x:c r="G457" s="42" t="n">
        <x:v>73.48</x:v>
      </x:c>
      <x:c r="H457" s="42" t="n">
        <x:v>7856.82</x:v>
      </x:c>
      <x:c r="I457" s="39" t="n">
        <x:v>46180</x:v>
      </x:c>
    </x:row>
    <x:row r="458">
      <x:c r="A458" s="21" t="str">
        <x:v>SYN-0131</x:v>
      </x:c>
      <x:c r="B458" s="21" t="str">
        <x:v>Synthetic Supplier 0131 LLC</x:v>
      </x:c>
      <x:c r="C458" s="38" t="str">
        <x:f>"900 000 000 000 131"</x:f>
        <x:v>900 000 000 000 131</x:v>
      </x:c>
      <x:c r="D458" s="21" t="str">
        <x:v>SYN-0131-INV-02</x:v>
      </x:c>
      <x:c r="E458" s="39" t="n">
        <x:v>46289</x:v>
      </x:c>
      <x:c r="F458" s="42" t="n">
        <x:v>1554.27</x:v>
      </x:c>
      <x:c r="G458" s="42" t="n">
        <x:v>77.71</x:v>
      </x:c>
      <x:c r="H458" s="42" t="n">
        <x:v>7856.82</x:v>
      </x:c>
      <x:c r="I458" s="39" t="n">
        <x:v>46180</x:v>
      </x:c>
    </x:row>
    <x:row r="459">
      <x:c r="A459" s="21" t="str">
        <x:v>SYN-0131</x:v>
      </x:c>
      <x:c r="B459" s="21" t="str">
        <x:v>Synthetic Supplier 0131 LLC</x:v>
      </x:c>
      <x:c r="C459" s="38" t="str">
        <x:f>"900 000 000 000 131"</x:f>
        <x:v>900 000 000 000 131</x:v>
      </x:c>
      <x:c r="D459" s="21" t="str">
        <x:v>SYN-0131-INV-03</x:v>
      </x:c>
      <x:c r="E459" s="39" t="n">
        <x:v>45976</x:v>
      </x:c>
      <x:c r="F459" s="42" t="n">
        <x:v>1885.31</x:v>
      </x:c>
      <x:c r="G459" s="42" t="n">
        <x:v>94.27</x:v>
      </x:c>
      <x:c r="H459" s="42" t="n">
        <x:v>7856.82</x:v>
      </x:c>
      <x:c r="I459" s="39" t="n">
        <x:v>46180</x:v>
      </x:c>
    </x:row>
    <x:row r="460">
      <x:c r="A460" s="21" t="str">
        <x:v>SYN-0131</x:v>
      </x:c>
      <x:c r="B460" s="21" t="str">
        <x:v>Synthetic Supplier 0131 LLC</x:v>
      </x:c>
      <x:c r="C460" s="38" t="str">
        <x:f>"900 000 000 000 131"</x:f>
        <x:v>900 000 000 000 131</x:v>
      </x:c>
      <x:c r="D460" s="21" t="str">
        <x:v>SYN-0131-INV-04</x:v>
      </x:c>
      <x:c r="E460" s="39" t="n">
        <x:v>46023</x:v>
      </x:c>
      <x:c r="F460" s="42" t="n">
        <x:v>1966.74</x:v>
      </x:c>
      <x:c r="G460" s="42" t="n">
        <x:v>98.34</x:v>
      </x:c>
      <x:c r="H460" s="42" t="n">
        <x:v>7856.82</x:v>
      </x:c>
      <x:c r="I460" s="39" t="n">
        <x:v>46180</x:v>
      </x:c>
    </x:row>
    <x:row r="461">
      <x:c r="A461" s="21" t="str">
        <x:v>SYN-0131</x:v>
      </x:c>
      <x:c r="B461" s="21" t="str">
        <x:v>Synthetic Supplier 0131 LLC</x:v>
      </x:c>
      <x:c r="C461" s="38" t="str">
        <x:f>"900 000 000 000 131"</x:f>
        <x:v>900 000 000 000 131</x:v>
      </x:c>
      <x:c r="D461" s="21" t="str">
        <x:v>SYN-0131-INV-05</x:v>
      </x:c>
      <x:c r="E461" s="39" t="n">
        <x:v>46070</x:v>
      </x:c>
      <x:c r="F461" s="42" t="n">
        <x:v>1853.78</x:v>
      </x:c>
      <x:c r="G461" s="42" t="n">
        <x:v>92.69</x:v>
      </x:c>
      <x:c r="H461" s="42" t="n">
        <x:v>7856.82</x:v>
      </x:c>
      <x:c r="I461" s="39" t="n">
        <x:v>46180</x:v>
      </x:c>
    </x:row>
    <x:row r="462">
      <x:c r="A462" s="21" t="str">
        <x:v>SYN-0132</x:v>
      </x:c>
      <x:c r="B462" s="21" t="str">
        <x:v>Synthetic Supplier 0132 LLC</x:v>
      </x:c>
      <x:c r="C462" s="38" t="str">
        <x:f>"900 000 000 000 132"</x:f>
        <x:v>900 000 000 000 132</x:v>
      </x:c>
      <x:c r="D462" s="21" t="str">
        <x:v>SYN-0132-INV-01</x:v>
      </x:c>
      <x:c r="E462" s="39" t="n">
        <x:v>46255</x:v>
      </x:c>
      <x:c r="F462" s="42" t="n">
        <x:v>3980.66</x:v>
      </x:c>
      <x:c r="G462" s="42" t="n">
        <x:v>199.03</x:v>
      </x:c>
      <x:c r="H462" s="42" t="n">
        <x:v>7860.61</x:v>
      </x:c>
      <x:c r="I462" s="39" t="n">
        <x:v>45846</x:v>
      </x:c>
    </x:row>
    <x:row r="463">
      <x:c r="A463" s="21" t="str">
        <x:v>SYN-0132</x:v>
      </x:c>
      <x:c r="B463" s="21" t="str">
        <x:v>Synthetic Supplier 0132 LLC</x:v>
      </x:c>
      <x:c r="C463" s="38" t="str">
        <x:f>"900 000 000 000 132"</x:f>
        <x:v>900 000 000 000 132</x:v>
      </x:c>
      <x:c r="D463" s="21" t="str">
        <x:v>SYN-0132-INV-02</x:v>
      </x:c>
      <x:c r="E463" s="39" t="n">
        <x:v>45942</x:v>
      </x:c>
      <x:c r="F463" s="42" t="n">
        <x:v>4753.35</x:v>
      </x:c>
      <x:c r="G463" s="42" t="n">
        <x:v>237.67</x:v>
      </x:c>
      <x:c r="H463" s="42" t="n">
        <x:v>7860.61</x:v>
      </x:c>
      <x:c r="I463" s="39" t="n">
        <x:v>45846</x:v>
      </x:c>
    </x:row>
    <x:row r="464">
      <x:c r="A464" s="21" t="str">
        <x:v>SYN-0133</x:v>
      </x:c>
      <x:c r="B464" s="21" t="str">
        <x:v>Synthetic Supplier 0133 LLC</x:v>
      </x:c>
      <x:c r="C464" s="38" t="str">
        <x:f>"900 000 000 000 133"</x:f>
        <x:v>900 000 000 000 133</x:v>
      </x:c>
      <x:c r="D464" s="21" t="str">
        <x:v>SYN-0133-INV-01</x:v>
      </x:c>
      <x:c r="E464" s="39" t="n">
        <x:v>46268</x:v>
      </x:c>
      <x:c r="F464" s="42" t="n">
        <x:v>8792.67</x:v>
      </x:c>
      <x:c r="G464" s="42" t="n">
        <x:v>439.63</x:v>
      </x:c>
      <x:c r="H464" s="42" t="n">
        <x:v>104904.75</x:v>
      </x:c>
      <x:c r="I464" s="39" t="n">
        <x:v>46243</x:v>
      </x:c>
    </x:row>
    <x:row r="465">
      <x:c r="A465" s="21" t="str">
        <x:v>SYN-0133</x:v>
      </x:c>
      <x:c r="B465" s="21" t="str">
        <x:v>Synthetic Supplier 0133 LLC</x:v>
      </x:c>
      <x:c r="C465" s="38" t="str">
        <x:f>"900 000 000 000 133"</x:f>
        <x:v>900 000 000 000 133</x:v>
      </x:c>
      <x:c r="D465" s="21" t="str">
        <x:v>SYN-0133-INV-02</x:v>
      </x:c>
      <x:c r="E465" s="39" t="n">
        <x:v>45955</x:v>
      </x:c>
      <x:c r="F465" s="42" t="n">
        <x:v>7489.98</x:v>
      </x:c>
      <x:c r="G465" s="42" t="n">
        <x:v>374.5</x:v>
      </x:c>
      <x:c r="H465" s="42" t="n">
        <x:v>104904.75</x:v>
      </x:c>
      <x:c r="I465" s="39" t="n">
        <x:v>46243</x:v>
      </x:c>
    </x:row>
    <x:row r="466">
      <x:c r="A466" s="21" t="str">
        <x:v>SYN-0133</x:v>
      </x:c>
      <x:c r="B466" s="21" t="str">
        <x:v>Synthetic Supplier 0133 LLC</x:v>
      </x:c>
      <x:c r="C466" s="38" t="str">
        <x:f>"900 000 000 000 133"</x:f>
        <x:v>900 000 000 000 133</x:v>
      </x:c>
      <x:c r="D466" s="21" t="str">
        <x:v>SYN-0133-INV-03</x:v>
      </x:c>
      <x:c r="E466" s="39" t="n">
        <x:v>46002</x:v>
      </x:c>
      <x:c r="F466" s="42" t="n">
        <x:v>7029.51</x:v>
      </x:c>
      <x:c r="G466" s="42" t="n">
        <x:v>351.48</x:v>
      </x:c>
      <x:c r="H466" s="42" t="n">
        <x:v>104904.75</x:v>
      </x:c>
      <x:c r="I466" s="39" t="n">
        <x:v>46243</x:v>
      </x:c>
    </x:row>
    <x:row r="467">
      <x:c r="A467" s="21" t="str">
        <x:v>SYN-0134</x:v>
      </x:c>
      <x:c r="B467" s="21" t="str">
        <x:v>Synthetic Supplier 0134 LLC</x:v>
      </x:c>
      <x:c r="C467" s="38" t="str">
        <x:f>"900 000 000 000 134"</x:f>
        <x:v>900 000 000 000 134</x:v>
      </x:c>
      <x:c r="D467" s="21" t="str">
        <x:v>SYN-0134-INV-01</x:v>
      </x:c>
      <x:c r="E467" s="39" t="n">
        <x:v>46281</x:v>
      </x:c>
      <x:c r="F467" s="42" t="n">
        <x:v>7234.97</x:v>
      </x:c>
      <x:c r="G467" s="42" t="n">
        <x:v>361.75</x:v>
      </x:c>
      <x:c r="H467" s="42" t="n">
        <x:v>24706.31</x:v>
      </x:c>
      <x:c r="I467" s="39" t="n">
        <x:v>45910</x:v>
      </x:c>
    </x:row>
    <x:row r="468">
      <x:c r="A468" s="21" t="str">
        <x:v>SYN-0134</x:v>
      </x:c>
      <x:c r="B468" s="21" t="str">
        <x:v>Synthetic Supplier 0134 LLC</x:v>
      </x:c>
      <x:c r="C468" s="38" t="str">
        <x:f>"900 000 000 000 134"</x:f>
        <x:v>900 000 000 000 134</x:v>
      </x:c>
      <x:c r="D468" s="21" t="str">
        <x:v>SYN-0134-INV-02</x:v>
      </x:c>
      <x:c r="E468" s="39" t="n">
        <x:v>45968</x:v>
      </x:c>
      <x:c r="F468" s="42" t="n">
        <x:v>7158.94</x:v>
      </x:c>
      <x:c r="G468" s="42" t="n">
        <x:v>357.95</x:v>
      </x:c>
      <x:c r="H468" s="42" t="n">
        <x:v>24706.31</x:v>
      </x:c>
      <x:c r="I468" s="39" t="n">
        <x:v>45910</x:v>
      </x:c>
    </x:row>
    <x:row r="469">
      <x:c r="A469" s="21" t="str">
        <x:v>SYN-0134</x:v>
      </x:c>
      <x:c r="B469" s="21" t="str">
        <x:v>Synthetic Supplier 0134 LLC</x:v>
      </x:c>
      <x:c r="C469" s="38" t="str">
        <x:f>"900 000 000 000 134"</x:f>
        <x:v>900 000 000 000 134</x:v>
      </x:c>
      <x:c r="D469" s="21" t="str">
        <x:v>SYN-0134-INV-03</x:v>
      </x:c>
      <x:c r="E469" s="39" t="n">
        <x:v>46015</x:v>
      </x:c>
      <x:c r="F469" s="42" t="n">
        <x:v>6142.69</x:v>
      </x:c>
      <x:c r="G469" s="42" t="n">
        <x:v>307.13</x:v>
      </x:c>
      <x:c r="H469" s="42" t="n">
        <x:v>24706.31</x:v>
      </x:c>
      <x:c r="I469" s="39" t="n">
        <x:v>45910</x:v>
      </x:c>
    </x:row>
    <x:row r="470">
      <x:c r="A470" s="21" t="str">
        <x:v>SYN-0134</x:v>
      </x:c>
      <x:c r="B470" s="21" t="str">
        <x:v>Synthetic Supplier 0134 LLC</x:v>
      </x:c>
      <x:c r="C470" s="38" t="str">
        <x:f>"900 000 000 000 134"</x:f>
        <x:v>900 000 000 000 134</x:v>
      </x:c>
      <x:c r="D470" s="21" t="str">
        <x:v>SYN-0134-INV-04</x:v>
      </x:c>
      <x:c r="E470" s="39" t="n">
        <x:v>46062</x:v>
      </x:c>
      <x:c r="F470" s="42" t="n">
        <x:v>6914.86</x:v>
      </x:c>
      <x:c r="G470" s="42" t="n">
        <x:v>345.74</x:v>
      </x:c>
      <x:c r="H470" s="42" t="n">
        <x:v>24706.31</x:v>
      </x:c>
      <x:c r="I470" s="39" t="n">
        <x:v>45910</x:v>
      </x:c>
    </x:row>
    <x:row r="471">
      <x:c r="A471" s="21" t="str">
        <x:v>SYN-0135</x:v>
      </x:c>
      <x:c r="B471" s="21" t="str">
        <x:v>Synthetic Supplier 0135 LLC</x:v>
      </x:c>
      <x:c r="C471" s="38" t="str">
        <x:f>"900 000 000 000 135"</x:f>
        <x:v>900 000 000 000 135</x:v>
      </x:c>
      <x:c r="D471" s="21" t="str">
        <x:v>SYN-0135-INV-01</x:v>
      </x:c>
      <x:c r="E471" s="39" t="n">
        <x:v>45934</x:v>
      </x:c>
      <x:c r="F471" s="42" t="n">
        <x:v>6851.44</x:v>
      </x:c>
      <x:c r="G471" s="42" t="n">
        <x:v>342.57</x:v>
      </x:c>
      <x:c r="H471" s="42" t="n">
        <x:v>22981.23</x:v>
      </x:c>
      <x:c r="I471" s="39"/>
    </x:row>
    <x:row r="472">
      <x:c r="A472" s="21" t="str">
        <x:v>SYN-0135</x:v>
      </x:c>
      <x:c r="B472" s="21" t="str">
        <x:v>Synthetic Supplier 0135 LLC</x:v>
      </x:c>
      <x:c r="C472" s="38" t="str">
        <x:f>"900 000 000 000 135"</x:f>
        <x:v>900 000 000 000 135</x:v>
      </x:c>
      <x:c r="D472" s="21" t="str">
        <x:v>SYN-0135-INV-02</x:v>
      </x:c>
      <x:c r="E472" s="39" t="n">
        <x:v>45981</x:v>
      </x:c>
      <x:c r="F472" s="42" t="n">
        <x:v>4250.83</x:v>
      </x:c>
      <x:c r="G472" s="42" t="n">
        <x:v>212.54</x:v>
      </x:c>
      <x:c r="H472" s="42" t="n">
        <x:v>22981.23</x:v>
      </x:c>
      <x:c r="I472" s="39"/>
    </x:row>
    <x:row r="473">
      <x:c r="A473" s="21" t="str">
        <x:v>SYN-0135</x:v>
      </x:c>
      <x:c r="B473" s="21" t="str">
        <x:v>Synthetic Supplier 0135 LLC</x:v>
      </x:c>
      <x:c r="C473" s="38" t="str">
        <x:f>"900 000 000 000 135"</x:f>
        <x:v>900 000 000 000 135</x:v>
      </x:c>
      <x:c r="D473" s="21" t="str">
        <x:v>SYN-0135-INV-03</x:v>
      </x:c>
      <x:c r="E473" s="39" t="n">
        <x:v>46028</x:v>
      </x:c>
      <x:c r="F473" s="42" t="n">
        <x:v>3693.67</x:v>
      </x:c>
      <x:c r="G473" s="42" t="n">
        <x:v>184.68</x:v>
      </x:c>
      <x:c r="H473" s="42" t="n">
        <x:v>22981.23</x:v>
      </x:c>
      <x:c r="I473" s="39"/>
    </x:row>
    <x:row r="474">
      <x:c r="A474" s="21" t="str">
        <x:v>SYN-0135</x:v>
      </x:c>
      <x:c r="B474" s="21" t="str">
        <x:v>Synthetic Supplier 0135 LLC</x:v>
      </x:c>
      <x:c r="C474" s="38" t="str">
        <x:f>"900 000 000 000 135"</x:f>
        <x:v>900 000 000 000 135</x:v>
      </x:c>
      <x:c r="D474" s="21" t="str">
        <x:v>SYN-0135-INV-04</x:v>
      </x:c>
      <x:c r="E474" s="39" t="n">
        <x:v>46075</x:v>
      </x:c>
      <x:c r="F474" s="42" t="n">
        <x:v>6451.92</x:v>
      </x:c>
      <x:c r="G474" s="42" t="n">
        <x:v>322.6</x:v>
      </x:c>
      <x:c r="H474" s="42" t="n">
        <x:v>22981.23</x:v>
      </x:c>
      <x:c r="I474" s="39"/>
    </x:row>
    <x:row r="475">
      <x:c r="A475" s="21" t="str">
        <x:v>SYN-0135</x:v>
      </x:c>
      <x:c r="B475" s="21" t="str">
        <x:v>Synthetic Supplier 0135 LLC</x:v>
      </x:c>
      <x:c r="C475" s="38" t="str">
        <x:f>"900 000 000 000 135"</x:f>
        <x:v>900 000 000 000 135</x:v>
      </x:c>
      <x:c r="D475" s="21" t="str">
        <x:v>SYN-0135-INV-05</x:v>
      </x:c>
      <x:c r="E475" s="39" t="n">
        <x:v>46122</x:v>
      </x:c>
      <x:c r="F475" s="42" t="n">
        <x:v>4286.84</x:v>
      </x:c>
      <x:c r="G475" s="42" t="n">
        <x:v>214.34</x:v>
      </x:c>
      <x:c r="H475" s="42" t="n">
        <x:v>22981.23</x:v>
      </x:c>
      <x:c r="I475" s="39"/>
    </x:row>
    <x:row r="476">
      <x:c r="A476" s="21" t="str">
        <x:v>SYN-0136</x:v>
      </x:c>
      <x:c r="B476" s="21" t="str">
        <x:v>Synthetic Supplier 0136 LLC</x:v>
      </x:c>
      <x:c r="C476" s="38" t="str">
        <x:f>"900 000 000 000 136"</x:f>
        <x:v>900 000 000 000 136</x:v>
      </x:c>
      <x:c r="D476" s="21" t="str">
        <x:v>SYN-0136-INV-01</x:v>
      </x:c>
      <x:c r="E476" s="39" t="n">
        <x:v>45947</x:v>
      </x:c>
      <x:c r="F476" s="42" t="n">
        <x:v>14655.92</x:v>
      </x:c>
      <x:c r="G476" s="42" t="n">
        <x:v>732.8</x:v>
      </x:c>
      <x:c r="H476" s="42" t="n">
        <x:v>25087.57</x:v>
      </x:c>
      <x:c r="I476" s="39" t="n">
        <x:v>45700</x:v>
      </x:c>
    </x:row>
    <x:row r="477">
      <x:c r="A477" s="21" t="str">
        <x:v>SYN-0136</x:v>
      </x:c>
      <x:c r="B477" s="21" t="str">
        <x:v>Synthetic Supplier 0136 LLC</x:v>
      </x:c>
      <x:c r="C477" s="38" t="str">
        <x:f>"900 000 000 000 136"</x:f>
        <x:v>900 000 000 000 136</x:v>
      </x:c>
      <x:c r="D477" s="21" t="str">
        <x:v>SYN-0136-INV-02</x:v>
      </x:c>
      <x:c r="E477" s="39" t="n">
        <x:v>45994</x:v>
      </x:c>
      <x:c r="F477" s="42" t="n">
        <x:v>13219.16</x:v>
      </x:c>
      <x:c r="G477" s="42" t="n">
        <x:v>660.96</x:v>
      </x:c>
      <x:c r="H477" s="42" t="n">
        <x:v>25087.57</x:v>
      </x:c>
      <x:c r="I477" s="39" t="n">
        <x:v>45700</x:v>
      </x:c>
    </x:row>
    <x:row r="478">
      <x:c r="A478" s="21" t="str">
        <x:v>SYN-0137</x:v>
      </x:c>
      <x:c r="B478" s="21" t="str">
        <x:v>Synthetic Supplier 0137 LLC</x:v>
      </x:c>
      <x:c r="C478" s="38" t="str">
        <x:f>"900 000 000 000 137"</x:f>
        <x:v>900 000 000 000 137</x:v>
      </x:c>
      <x:c r="D478" s="21" t="str">
        <x:v>SYN-0137-INV-01</x:v>
      </x:c>
      <x:c r="E478" s="39" t="n">
        <x:v>45960</x:v>
      </x:c>
      <x:c r="F478" s="42" t="n">
        <x:v>4081.84</x:v>
      </x:c>
      <x:c r="G478" s="42" t="n">
        <x:v>204.09</x:v>
      </x:c>
      <x:c r="H478" s="42" t="n">
        <x:v>10925.05</x:v>
      </x:c>
      <x:c r="I478" s="39" t="n">
        <x:v>46094</x:v>
      </x:c>
    </x:row>
    <x:row r="479">
      <x:c r="A479" s="21" t="str">
        <x:v>SYN-0137</x:v>
      </x:c>
      <x:c r="B479" s="21" t="str">
        <x:v>Synthetic Supplier 0137 LLC</x:v>
      </x:c>
      <x:c r="C479" s="38" t="str">
        <x:f>"900 000 000 000 137"</x:f>
        <x:v>900 000 000 000 137</x:v>
      </x:c>
      <x:c r="D479" s="21" t="str">
        <x:v>SYN-0137-INV-02</x:v>
      </x:c>
      <x:c r="E479" s="39" t="n">
        <x:v>46007</x:v>
      </x:c>
      <x:c r="F479" s="42" t="n">
        <x:v>4348.01</x:v>
      </x:c>
      <x:c r="G479" s="42" t="n">
        <x:v>217.4</x:v>
      </x:c>
      <x:c r="H479" s="42" t="n">
        <x:v>10925.05</x:v>
      </x:c>
      <x:c r="I479" s="39" t="n">
        <x:v>46094</x:v>
      </x:c>
    </x:row>
    <x:row r="480">
      <x:c r="A480" s="21" t="str">
        <x:v>SYN-0137</x:v>
      </x:c>
      <x:c r="B480" s="21" t="str">
        <x:v>Synthetic Supplier 0137 LLC</x:v>
      </x:c>
      <x:c r="C480" s="38" t="str">
        <x:f>"900 000 000 000 137"</x:f>
        <x:v>900 000 000 000 137</x:v>
      </x:c>
      <x:c r="D480" s="21" t="str">
        <x:v>SYN-0137-INV-03</x:v>
      </x:c>
      <x:c r="E480" s="39" t="n">
        <x:v>46054</x:v>
      </x:c>
      <x:c r="F480" s="42" t="n">
        <x:v>3709.1</x:v>
      </x:c>
      <x:c r="G480" s="42" t="n">
        <x:v>185.45</x:v>
      </x:c>
      <x:c r="H480" s="42" t="n">
        <x:v>10925.05</x:v>
      </x:c>
      <x:c r="I480" s="39" t="n">
        <x:v>46094</x:v>
      </x:c>
    </x:row>
    <x:row r="481">
      <x:c r="A481" s="21" t="str">
        <x:v>SYN-0138</x:v>
      </x:c>
      <x:c r="B481" s="21" t="str">
        <x:v>Synthetic Supplier 0138 LLC</x:v>
      </x:c>
      <x:c r="C481" s="38" t="str">
        <x:f>"900 000 000 000 138"</x:f>
        <x:v>900 000 000 000 138</x:v>
      </x:c>
      <x:c r="D481" s="21" t="str">
        <x:v>SYN-0138-INV-01</x:v>
      </x:c>
      <x:c r="E481" s="39" t="n">
        <x:v>45973</x:v>
      </x:c>
      <x:c r="F481" s="42" t="n">
        <x:v>3532.44</x:v>
      </x:c>
      <x:c r="G481" s="42" t="n">
        <x:v>176.62</x:v>
      </x:c>
      <x:c r="H481" s="42" t="n">
        <x:v>20681.32</x:v>
      </x:c>
      <x:c r="I481" s="39" t="n">
        <x:v>45761</x:v>
      </x:c>
    </x:row>
    <x:row r="482">
      <x:c r="A482" s="21" t="str">
        <x:v>SYN-0138</x:v>
      </x:c>
      <x:c r="B482" s="21" t="str">
        <x:v>Synthetic Supplier 0138 LLC</x:v>
      </x:c>
      <x:c r="C482" s="38" t="str">
        <x:f>"900 000 000 000 138"</x:f>
        <x:v>900 000 000 000 138</x:v>
      </x:c>
      <x:c r="D482" s="21" t="str">
        <x:v>SYN-0138-INV-02</x:v>
      </x:c>
      <x:c r="E482" s="39" t="n">
        <x:v>46020</x:v>
      </x:c>
      <x:c r="F482" s="42" t="n">
        <x:v>5731.8</x:v>
      </x:c>
      <x:c r="G482" s="42" t="n">
        <x:v>286.59</x:v>
      </x:c>
      <x:c r="H482" s="42" t="n">
        <x:v>20681.32</x:v>
      </x:c>
      <x:c r="I482" s="39" t="n">
        <x:v>45761</x:v>
      </x:c>
    </x:row>
    <x:row r="483">
      <x:c r="A483" s="21" t="str">
        <x:v>SYN-0138</x:v>
      </x:c>
      <x:c r="B483" s="21" t="str">
        <x:v>Synthetic Supplier 0138 LLC</x:v>
      </x:c>
      <x:c r="C483" s="38" t="str">
        <x:f>"900 000 000 000 138"</x:f>
        <x:v>900 000 000 000 138</x:v>
      </x:c>
      <x:c r="D483" s="21" t="str">
        <x:v>SYN-0138-INV-03</x:v>
      </x:c>
      <x:c r="E483" s="39" t="n">
        <x:v>46067</x:v>
      </x:c>
      <x:c r="F483" s="42" t="n">
        <x:v>7089.06</x:v>
      </x:c>
      <x:c r="G483" s="42" t="n">
        <x:v>354.45</x:v>
      </x:c>
      <x:c r="H483" s="42" t="n">
        <x:v>20681.32</x:v>
      </x:c>
      <x:c r="I483" s="39" t="n">
        <x:v>45761</x:v>
      </x:c>
    </x:row>
    <x:row r="484">
      <x:c r="A484" s="21" t="str">
        <x:v>SYN-0138</x:v>
      </x:c>
      <x:c r="B484" s="21" t="str">
        <x:v>Synthetic Supplier 0138 LLC</x:v>
      </x:c>
      <x:c r="C484" s="38" t="str">
        <x:f>"900 000 000 000 138"</x:f>
        <x:v>900 000 000 000 138</x:v>
      </x:c>
      <x:c r="D484" s="21" t="str">
        <x:v>SYN-0138-INV-04</x:v>
      </x:c>
      <x:c r="E484" s="39" t="n">
        <x:v>46114</x:v>
      </x:c>
      <x:c r="F484" s="42" t="n">
        <x:v>6625.94</x:v>
      </x:c>
      <x:c r="G484" s="42" t="n">
        <x:v>331.3</x:v>
      </x:c>
      <x:c r="H484" s="42" t="n">
        <x:v>20681.32</x:v>
      </x:c>
      <x:c r="I484" s="39" t="n">
        <x:v>45761</x:v>
      </x:c>
    </x:row>
    <x:row r="485">
      <x:c r="A485" s="21" t="str">
        <x:v>SYN-0139</x:v>
      </x:c>
      <x:c r="B485" s="21" t="str">
        <x:v>Synthetic Supplier 0139 LLC</x:v>
      </x:c>
      <x:c r="C485" s="38" t="str">
        <x:f>"900 000 000 000 139"</x:f>
        <x:v>900 000 000 000 139</x:v>
      </x:c>
      <x:c r="D485" s="21" t="str">
        <x:v>SYN-0139-INV-01</x:v>
      </x:c>
      <x:c r="E485" s="39" t="n">
        <x:v>45986</x:v>
      </x:c>
      <x:c r="F485" s="42" t="n">
        <x:v>3678.82</x:v>
      </x:c>
      <x:c r="G485" s="42" t="n">
        <x:v>183.94</x:v>
      </x:c>
      <x:c r="H485" s="42" t="n">
        <x:v>12788.65</x:v>
      </x:c>
      <x:c r="I485" s="39" t="n">
        <x:v>46157</x:v>
      </x:c>
    </x:row>
    <x:row r="486">
      <x:c r="A486" s="21" t="str">
        <x:v>SYN-0139</x:v>
      </x:c>
      <x:c r="B486" s="21" t="str">
        <x:v>Synthetic Supplier 0139 LLC</x:v>
      </x:c>
      <x:c r="C486" s="38" t="str">
        <x:f>"900 000 000 000 139"</x:f>
        <x:v>900 000 000 000 139</x:v>
      </x:c>
      <x:c r="D486" s="21" t="str">
        <x:v>SYN-0139-INV-02</x:v>
      </x:c>
      <x:c r="E486" s="39" t="n">
        <x:v>46033</x:v>
      </x:c>
      <x:c r="F486" s="42" t="n">
        <x:v>1571.49</x:v>
      </x:c>
      <x:c r="G486" s="42" t="n">
        <x:v>78.57</x:v>
      </x:c>
      <x:c r="H486" s="42" t="n">
        <x:v>12788.65</x:v>
      </x:c>
      <x:c r="I486" s="39" t="n">
        <x:v>46157</x:v>
      </x:c>
    </x:row>
    <x:row r="487">
      <x:c r="A487" s="21" t="str">
        <x:v>SYN-0139</x:v>
      </x:c>
      <x:c r="B487" s="21" t="str">
        <x:v>Synthetic Supplier 0139 LLC</x:v>
      </x:c>
      <x:c r="C487" s="38" t="str">
        <x:f>"900 000 000 000 139"</x:f>
        <x:v>900 000 000 000 139</x:v>
      </x:c>
      <x:c r="D487" s="21" t="str">
        <x:v>SYN-0139-INV-03</x:v>
      </x:c>
      <x:c r="E487" s="39" t="n">
        <x:v>46080</x:v>
      </x:c>
      <x:c r="F487" s="42" t="n">
        <x:v>3467.38</x:v>
      </x:c>
      <x:c r="G487" s="42" t="n">
        <x:v>173.37</x:v>
      </x:c>
      <x:c r="H487" s="42" t="n">
        <x:v>12788.65</x:v>
      </x:c>
      <x:c r="I487" s="39" t="n">
        <x:v>46157</x:v>
      </x:c>
    </x:row>
    <x:row r="488">
      <x:c r="A488" s="21" t="str">
        <x:v>SYN-0139</x:v>
      </x:c>
      <x:c r="B488" s="21" t="str">
        <x:v>Synthetic Supplier 0139 LLC</x:v>
      </x:c>
      <x:c r="C488" s="38" t="str">
        <x:f>"900 000 000 000 139"</x:f>
        <x:v>900 000 000 000 139</x:v>
      </x:c>
      <x:c r="D488" s="21" t="str">
        <x:v>SYN-0139-INV-04</x:v>
      </x:c>
      <x:c r="E488" s="39" t="n">
        <x:v>46127</x:v>
      </x:c>
      <x:c r="F488" s="42" t="n">
        <x:v>2094.62</x:v>
      </x:c>
      <x:c r="G488" s="42" t="n">
        <x:v>104.73</x:v>
      </x:c>
      <x:c r="H488" s="42" t="n">
        <x:v>12788.65</x:v>
      </x:c>
      <x:c r="I488" s="39" t="n">
        <x:v>46157</x:v>
      </x:c>
    </x:row>
    <x:row r="489">
      <x:c r="A489" s="21" t="str">
        <x:v>SYN-0139</x:v>
      </x:c>
      <x:c r="B489" s="21" t="str">
        <x:v>Synthetic Supplier 0139 LLC</x:v>
      </x:c>
      <x:c r="C489" s="38" t="str">
        <x:f>"900 000 000 000 139"</x:f>
        <x:v>900 000 000 000 139</x:v>
      </x:c>
      <x:c r="D489" s="21" t="str">
        <x:v>SYN-0139-INV-05</x:v>
      </x:c>
      <x:c r="E489" s="39" t="n">
        <x:v>46174</x:v>
      </x:c>
      <x:c r="F489" s="42" t="n">
        <x:v>3397.3</x:v>
      </x:c>
      <x:c r="G489" s="42" t="n">
        <x:v>169.86</x:v>
      </x:c>
      <x:c r="H489" s="42" t="n">
        <x:v>12788.65</x:v>
      </x:c>
      <x:c r="I489" s="39" t="n">
        <x:v>46157</x:v>
      </x:c>
    </x:row>
    <x:row r="490">
      <x:c r="A490" s="21" t="str">
        <x:v>SYN-0140</x:v>
      </x:c>
      <x:c r="B490" s="21" t="str">
        <x:v>Synthetic Supplier 0140 LLC</x:v>
      </x:c>
      <x:c r="C490" s="38" t="str">
        <x:f>"900 000 000 000 140"</x:f>
        <x:v>900 000 000 000 140</x:v>
      </x:c>
      <x:c r="D490" s="21" t="str">
        <x:v>SYN-0140-INV-01</x:v>
      </x:c>
      <x:c r="E490" s="39" t="n">
        <x:v>45999</x:v>
      </x:c>
      <x:c r="F490" s="42" t="n">
        <x:v>3447</x:v>
      </x:c>
      <x:c r="G490" s="42" t="n">
        <x:v>172.35</x:v>
      </x:c>
      <x:c r="H490" s="42" t="n">
        <x:v>25161.16</x:v>
      </x:c>
      <x:c r="I490" s="39"/>
    </x:row>
    <x:row r="491">
      <x:c r="A491" s="21" t="str">
        <x:v>SYN-0140</x:v>
      </x:c>
      <x:c r="B491" s="21" t="str">
        <x:v>Synthetic Supplier 0140 LLC</x:v>
      </x:c>
      <x:c r="C491" s="38" t="str">
        <x:f>"900 000 000 000 140"</x:f>
        <x:v>900 000 000 000 140</x:v>
      </x:c>
      <x:c r="D491" s="21" t="str">
        <x:v>SYN-0140-INV-02</x:v>
      </x:c>
      <x:c r="E491" s="39" t="n">
        <x:v>46046</x:v>
      </x:c>
      <x:c r="F491" s="42" t="n">
        <x:v>2144.37</x:v>
      </x:c>
      <x:c r="G491" s="42" t="n">
        <x:v>107.22</x:v>
      </x:c>
      <x:c r="H491" s="42" t="n">
        <x:v>25161.16</x:v>
      </x:c>
      <x:c r="I491" s="39"/>
    </x:row>
    <x:row r="492">
      <x:c r="A492" s="21" t="str">
        <x:v>SYN-0141</x:v>
      </x:c>
      <x:c r="B492" s="21" t="str">
        <x:v>Synthetic Supplier 0141 LLC</x:v>
      </x:c>
      <x:c r="C492" s="38" t="str">
        <x:f>"900 000 000 000 141"</x:f>
        <x:v>900 000 000 000 141</x:v>
      </x:c>
      <x:c r="D492" s="21" t="str">
        <x:v>SYN-0141-INV-01</x:v>
      </x:c>
      <x:c r="E492" s="39" t="n">
        <x:v>46012</x:v>
      </x:c>
      <x:c r="F492" s="42" t="n">
        <x:v>4580.14</x:v>
      </x:c>
      <x:c r="G492" s="42" t="n">
        <x:v>229.01</x:v>
      </x:c>
      <x:c r="H492" s="42" t="n">
        <x:v>16103.15</x:v>
      </x:c>
      <x:c r="I492" s="39" t="n">
        <x:v>46220</x:v>
      </x:c>
    </x:row>
    <x:row r="493">
      <x:c r="A493" s="21" t="str">
        <x:v>SYN-0141</x:v>
      </x:c>
      <x:c r="B493" s="21" t="str">
        <x:v>Synthetic Supplier 0141 LLC</x:v>
      </x:c>
      <x:c r="C493" s="38" t="str">
        <x:f>"900 000 000 000 141"</x:f>
        <x:v>900 000 000 000 141</x:v>
      </x:c>
      <x:c r="D493" s="21" t="str">
        <x:v>SYN-0141-INV-02</x:v>
      </x:c>
      <x:c r="E493" s="39" t="n">
        <x:v>46059</x:v>
      </x:c>
      <x:c r="F493" s="42" t="n">
        <x:v>6927.72</x:v>
      </x:c>
      <x:c r="G493" s="42" t="n">
        <x:v>346.39</x:v>
      </x:c>
      <x:c r="H493" s="42" t="n">
        <x:v>16103.15</x:v>
      </x:c>
      <x:c r="I493" s="39" t="n">
        <x:v>46220</x:v>
      </x:c>
    </x:row>
    <x:row r="494">
      <x:c r="A494" s="21" t="str">
        <x:v>SYN-0141</x:v>
      </x:c>
      <x:c r="B494" s="21" t="str">
        <x:v>Synthetic Supplier 0141 LLC</x:v>
      </x:c>
      <x:c r="C494" s="38" t="str">
        <x:f>"900 000 000 000 141"</x:f>
        <x:v>900 000 000 000 141</x:v>
      </x:c>
      <x:c r="D494" s="21" t="str">
        <x:v>SYN-0141-INV-03</x:v>
      </x:c>
      <x:c r="E494" s="39" t="n">
        <x:v>46106</x:v>
      </x:c>
      <x:c r="F494" s="42" t="n">
        <x:v>6384.53</x:v>
      </x:c>
      <x:c r="G494" s="42" t="n">
        <x:v>319.23</x:v>
      </x:c>
      <x:c r="H494" s="42" t="n">
        <x:v>16103.15</x:v>
      </x:c>
      <x:c r="I494" s="39" t="n">
        <x:v>46220</x:v>
      </x:c>
    </x:row>
    <x:row r="495">
      <x:c r="A495" s="21" t="str">
        <x:v>SYN-0142</x:v>
      </x:c>
      <x:c r="B495" s="21" t="str">
        <x:v>Synthetic Supplier 0142 LLC</x:v>
      </x:c>
      <x:c r="C495" s="38" t="str">
        <x:f>"900 000 000 000 142"</x:f>
        <x:v>900 000 000 000 142</x:v>
      </x:c>
      <x:c r="D495" s="21" t="str">
        <x:v>SYN-0142-INV-01</x:v>
      </x:c>
      <x:c r="E495" s="39" t="n">
        <x:v>46025</x:v>
      </x:c>
      <x:c r="F495" s="42" t="n">
        <x:v>1651.75</x:v>
      </x:c>
      <x:c r="G495" s="42" t="n">
        <x:v>82.59</x:v>
      </x:c>
      <x:c r="H495" s="42" t="n">
        <x:v>5695.87</x:v>
      </x:c>
      <x:c r="I495" s="39" t="n">
        <x:v>45887</x:v>
      </x:c>
    </x:row>
    <x:row r="496">
      <x:c r="A496" s="21" t="str">
        <x:v>SYN-0142</x:v>
      </x:c>
      <x:c r="B496" s="21" t="str">
        <x:v>Synthetic Supplier 0142 LLC</x:v>
      </x:c>
      <x:c r="C496" s="38" t="str">
        <x:f>"900 000 000 000 142"</x:f>
        <x:v>900 000 000 000 142</x:v>
      </x:c>
      <x:c r="D496" s="21" t="str">
        <x:v>SYN-0142-INV-02</x:v>
      </x:c>
      <x:c r="E496" s="39" t="n">
        <x:v>46072</x:v>
      </x:c>
      <x:c r="F496" s="42" t="n">
        <x:v>1079.87</x:v>
      </x:c>
      <x:c r="G496" s="42" t="n">
        <x:v>53.99</x:v>
      </x:c>
      <x:c r="H496" s="42" t="n">
        <x:v>5695.87</x:v>
      </x:c>
      <x:c r="I496" s="39" t="n">
        <x:v>45887</x:v>
      </x:c>
    </x:row>
    <x:row r="497">
      <x:c r="A497" s="21" t="str">
        <x:v>SYN-0142</x:v>
      </x:c>
      <x:c r="B497" s="21" t="str">
        <x:v>Synthetic Supplier 0142 LLC</x:v>
      </x:c>
      <x:c r="C497" s="38" t="str">
        <x:f>"900 000 000 000 142"</x:f>
        <x:v>900 000 000 000 142</x:v>
      </x:c>
      <x:c r="D497" s="21" t="str">
        <x:v>SYN-0142-INV-03</x:v>
      </x:c>
      <x:c r="E497" s="39" t="n">
        <x:v>46119</x:v>
      </x:c>
      <x:c r="F497" s="42" t="n">
        <x:v>1833.11</x:v>
      </x:c>
      <x:c r="G497" s="42" t="n">
        <x:v>91.66</x:v>
      </x:c>
      <x:c r="H497" s="42" t="n">
        <x:v>5695.87</x:v>
      </x:c>
      <x:c r="I497" s="39" t="n">
        <x:v>45887</x:v>
      </x:c>
    </x:row>
    <x:row r="498">
      <x:c r="A498" s="21" t="str">
        <x:v>SYN-0142</x:v>
      </x:c>
      <x:c r="B498" s="21" t="str">
        <x:v>Synthetic Supplier 0142 LLC</x:v>
      </x:c>
      <x:c r="C498" s="38" t="str">
        <x:f>"900 000 000 000 142"</x:f>
        <x:v>900 000 000 000 142</x:v>
      </x:c>
      <x:c r="D498" s="21" t="str">
        <x:v>SYN-0142-INV-04</x:v>
      </x:c>
      <x:c r="E498" s="39" t="n">
        <x:v>46166</x:v>
      </x:c>
      <x:c r="F498" s="42" t="n">
        <x:v>1764.02</x:v>
      </x:c>
      <x:c r="G498" s="42" t="n">
        <x:v>88.2</x:v>
      </x:c>
      <x:c r="H498" s="42" t="n">
        <x:v>5695.87</x:v>
      </x:c>
      <x:c r="I498" s="39" t="n">
        <x:v>45887</x:v>
      </x:c>
    </x:row>
    <x:row r="499">
      <x:c r="A499" s="21" t="str">
        <x:v>SYN-0143</x:v>
      </x:c>
      <x:c r="B499" s="21" t="str">
        <x:v>Synthetic Supplier 0143 LLC</x:v>
      </x:c>
      <x:c r="C499" s="38" t="str">
        <x:f>"900 000 000 000 143"</x:f>
        <x:v>900 000 000 000 143</x:v>
      </x:c>
      <x:c r="D499" s="21" t="str">
        <x:v>SYN-0143-INV-01</x:v>
      </x:c>
      <x:c r="E499" s="39" t="n">
        <x:v>46038</x:v>
      </x:c>
      <x:c r="F499" s="42" t="n">
        <x:v>5099.16</x:v>
      </x:c>
      <x:c r="G499" s="42" t="n">
        <x:v>254.96</x:v>
      </x:c>
      <x:c r="H499" s="42" t="n">
        <x:v>23835.76</x:v>
      </x:c>
      <x:c r="I499" s="39" t="n">
        <x:v>46284</x:v>
      </x:c>
    </x:row>
    <x:row r="500">
      <x:c r="A500" s="21" t="str">
        <x:v>SYN-0143</x:v>
      </x:c>
      <x:c r="B500" s="21" t="str">
        <x:v>Synthetic Supplier 0143 LLC</x:v>
      </x:c>
      <x:c r="C500" s="38" t="str">
        <x:f>"900 000 000 000 143"</x:f>
        <x:v>900 000 000 000 143</x:v>
      </x:c>
      <x:c r="D500" s="21" t="str">
        <x:v>SYN-0143-INV-02</x:v>
      </x:c>
      <x:c r="E500" s="39" t="n">
        <x:v>46085</x:v>
      </x:c>
      <x:c r="F500" s="42" t="n">
        <x:v>5636.22</x:v>
      </x:c>
      <x:c r="G500" s="42" t="n">
        <x:v>281.81</x:v>
      </x:c>
      <x:c r="H500" s="42" t="n">
        <x:v>23835.76</x:v>
      </x:c>
      <x:c r="I500" s="39" t="n">
        <x:v>46284</x:v>
      </x:c>
    </x:row>
    <x:row r="501">
      <x:c r="A501" s="21" t="str">
        <x:v>SYN-0143</x:v>
      </x:c>
      <x:c r="B501" s="21" t="str">
        <x:v>Synthetic Supplier 0143 LLC</x:v>
      </x:c>
      <x:c r="C501" s="38" t="str">
        <x:f>"900 000 000 000 143"</x:f>
        <x:v>900 000 000 000 143</x:v>
      </x:c>
      <x:c r="D501" s="21" t="str">
        <x:v>SYN-0143-INV-03</x:v>
      </x:c>
      <x:c r="E501" s="39" t="n">
        <x:v>46132</x:v>
      </x:c>
      <x:c r="F501" s="42" t="n">
        <x:v>6061.81</x:v>
      </x:c>
      <x:c r="G501" s="42" t="n">
        <x:v>303.09</x:v>
      </x:c>
      <x:c r="H501" s="42" t="n">
        <x:v>23835.76</x:v>
      </x:c>
      <x:c r="I501" s="39" t="n">
        <x:v>46284</x:v>
      </x:c>
    </x:row>
    <x:row r="502">
      <x:c r="A502" s="21" t="str">
        <x:v>SYN-0143</x:v>
      </x:c>
      <x:c r="B502" s="21" t="str">
        <x:v>Synthetic Supplier 0143 LLC</x:v>
      </x:c>
      <x:c r="C502" s="38" t="str">
        <x:f>"900 000 000 000 143"</x:f>
        <x:v>900 000 000 000 143</x:v>
      </x:c>
      <x:c r="D502" s="21" t="str">
        <x:v>SYN-0143-INV-04</x:v>
      </x:c>
      <x:c r="E502" s="39" t="n">
        <x:v>46179</x:v>
      </x:c>
      <x:c r="F502" s="42" t="n">
        <x:v>5566.72</x:v>
      </x:c>
      <x:c r="G502" s="42" t="n">
        <x:v>278.34</x:v>
      </x:c>
      <x:c r="H502" s="42" t="n">
        <x:v>23835.76</x:v>
      </x:c>
      <x:c r="I502" s="39" t="n">
        <x:v>46284</x:v>
      </x:c>
    </x:row>
    <x:row r="503">
      <x:c r="A503" s="21" t="str">
        <x:v>SYN-0143</x:v>
      </x:c>
      <x:c r="B503" s="21" t="str">
        <x:v>Synthetic Supplier 0143 LLC</x:v>
      </x:c>
      <x:c r="C503" s="38" t="str">
        <x:f>"900 000 000 000 143"</x:f>
        <x:v>900 000 000 000 143</x:v>
      </x:c>
      <x:c r="D503" s="21" t="str">
        <x:v>SYN-0143-INV-05</x:v>
      </x:c>
      <x:c r="E503" s="39" t="n">
        <x:v>46226</x:v>
      </x:c>
      <x:c r="F503" s="42" t="n">
        <x:v>4120.26</x:v>
      </x:c>
      <x:c r="G503" s="42" t="n">
        <x:v>206.01</x:v>
      </x:c>
      <x:c r="H503" s="42" t="n">
        <x:v>23835.76</x:v>
      </x:c>
      <x:c r="I503" s="39" t="n">
        <x:v>46284</x:v>
      </x:c>
    </x:row>
    <x:row r="504">
      <x:c r="A504" s="21" t="str">
        <x:v>SYN-0144</x:v>
      </x:c>
      <x:c r="B504" s="21" t="str">
        <x:v>Synthetic Supplier 0144 LLC</x:v>
      </x:c>
      <x:c r="C504" s="38" t="str">
        <x:f>"900 000 000 000 144"</x:f>
        <x:v>900 000 000 000 144</x:v>
      </x:c>
      <x:c r="D504" s="21" t="str">
        <x:v>SYN-0144-INV-01</x:v>
      </x:c>
      <x:c r="E504" s="39" t="n">
        <x:v>46051</x:v>
      </x:c>
      <x:c r="F504" s="42" t="n">
        <x:v>9677.39</x:v>
      </x:c>
      <x:c r="G504" s="42" t="n">
        <x:v>483.87</x:v>
      </x:c>
      <x:c r="H504" s="42" t="n">
        <x:v>22813.2</x:v>
      </x:c>
      <x:c r="I504" s="39" t="n">
        <x:v>45677</x:v>
      </x:c>
    </x:row>
    <x:row r="505">
      <x:c r="A505" s="21" t="str">
        <x:v>SYN-0144</x:v>
      </x:c>
      <x:c r="B505" s="21" t="str">
        <x:v>Synthetic Supplier 0144 LLC</x:v>
      </x:c>
      <x:c r="C505" s="38" t="str">
        <x:f>"900 000 000 000 144"</x:f>
        <x:v>900 000 000 000 144</x:v>
      </x:c>
      <x:c r="D505" s="21" t="str">
        <x:v>SYN-0144-INV-02</x:v>
      </x:c>
      <x:c r="E505" s="39" t="n">
        <x:v>46098</x:v>
      </x:c>
      <x:c r="F505" s="42" t="n">
        <x:v>15670.61</x:v>
      </x:c>
      <x:c r="G505" s="42" t="n">
        <x:v>783.53</x:v>
      </x:c>
      <x:c r="H505" s="42" t="n">
        <x:v>22813.2</x:v>
      </x:c>
      <x:c r="I505" s="39" t="n">
        <x:v>45677</x:v>
      </x:c>
    </x:row>
    <x:row r="506">
      <x:c r="A506" s="21" t="str">
        <x:v>SYN-0145</x:v>
      </x:c>
      <x:c r="B506" s="21" t="str">
        <x:v>Synthetic Supplier 0145 LLC</x:v>
      </x:c>
      <x:c r="C506" s="38" t="str">
        <x:f>"900 000 000 000 145"</x:f>
        <x:v>900 000 000 000 145</x:v>
      </x:c>
      <x:c r="D506" s="21" t="str">
        <x:v>SYN-0145-INV-01</x:v>
      </x:c>
      <x:c r="E506" s="39" t="n">
        <x:v>46064</x:v>
      </x:c>
      <x:c r="F506" s="42" t="n">
        <x:v>6459.37</x:v>
      </x:c>
      <x:c r="G506" s="42" t="n">
        <x:v>322.97</x:v>
      </x:c>
      <x:c r="H506" s="42" t="n">
        <x:v>24067.55</x:v>
      </x:c>
      <x:c r="I506" s="39"/>
    </x:row>
    <x:row r="507">
      <x:c r="A507" s="21" t="str">
        <x:v>SYN-0145</x:v>
      </x:c>
      <x:c r="B507" s="21" t="str">
        <x:v>Synthetic Supplier 0145 LLC</x:v>
      </x:c>
      <x:c r="C507" s="38" t="str">
        <x:f>"900 000 000 000 145"</x:f>
        <x:v>900 000 000 000 145</x:v>
      </x:c>
      <x:c r="D507" s="21" t="str">
        <x:v>SYN-0145-INV-02</x:v>
      </x:c>
      <x:c r="E507" s="39" t="n">
        <x:v>46111</x:v>
      </x:c>
      <x:c r="F507" s="42" t="n">
        <x:v>10432.55</x:v>
      </x:c>
      <x:c r="G507" s="42" t="n">
        <x:v>521.63</x:v>
      </x:c>
      <x:c r="H507" s="42" t="n">
        <x:v>24067.55</x:v>
      </x:c>
      <x:c r="I507" s="39"/>
    </x:row>
    <x:row r="508">
      <x:c r="A508" s="21" t="str">
        <x:v>SYN-0145</x:v>
      </x:c>
      <x:c r="B508" s="21" t="str">
        <x:v>Synthetic Supplier 0145 LLC</x:v>
      </x:c>
      <x:c r="C508" s="38" t="str">
        <x:f>"900 000 000 000 145"</x:f>
        <x:v>900 000 000 000 145</x:v>
      </x:c>
      <x:c r="D508" s="21" t="str">
        <x:v>SYN-0145-INV-03</x:v>
      </x:c>
      <x:c r="E508" s="39" t="n">
        <x:v>46158</x:v>
      </x:c>
      <x:c r="F508" s="42" t="n">
        <x:v>9849.8</x:v>
      </x:c>
      <x:c r="G508" s="42" t="n">
        <x:v>492.49</x:v>
      </x:c>
      <x:c r="H508" s="42" t="n">
        <x:v>24067.55</x:v>
      </x:c>
      <x:c r="I508" s="39"/>
    </x:row>
    <x:row r="509">
      <x:c r="A509" s="21" t="str">
        <x:v>SYN-0146</x:v>
      </x:c>
      <x:c r="B509" s="21" t="str">
        <x:v>Synthetic Supplier 0146 LLC</x:v>
      </x:c>
      <x:c r="C509" s="38" t="str">
        <x:f>"900 000 000 000 146"</x:f>
        <x:v>900 000 000 000 146</x:v>
      </x:c>
      <x:c r="D509" s="21" t="str">
        <x:v>SYN-0146-INV-01</x:v>
      </x:c>
      <x:c r="E509" s="39" t="n">
        <x:v>46077</x:v>
      </x:c>
      <x:c r="F509" s="42" t="n">
        <x:v>3549.49</x:v>
      </x:c>
      <x:c r="G509" s="42" t="n">
        <x:v>177.47</x:v>
      </x:c>
      <x:c r="H509" s="42" t="n">
        <x:v>11211.54</x:v>
      </x:c>
      <x:c r="I509" s="39" t="n">
        <x:v>45738</x:v>
      </x:c>
    </x:row>
    <x:row r="510">
      <x:c r="A510" s="21" t="str">
        <x:v>SYN-0146</x:v>
      </x:c>
      <x:c r="B510" s="21" t="str">
        <x:v>Synthetic Supplier 0146 LLC</x:v>
      </x:c>
      <x:c r="C510" s="38" t="str">
        <x:f>"900 000 000 000 146"</x:f>
        <x:v>900 000 000 000 146</x:v>
      </x:c>
      <x:c r="D510" s="21" t="str">
        <x:v>SYN-0146-INV-02</x:v>
      </x:c>
      <x:c r="E510" s="39" t="n">
        <x:v>46124</x:v>
      </x:c>
      <x:c r="F510" s="42" t="n">
        <x:v>2871.96</x:v>
      </x:c>
      <x:c r="G510" s="42" t="n">
        <x:v>143.6</x:v>
      </x:c>
      <x:c r="H510" s="42" t="n">
        <x:v>11211.54</x:v>
      </x:c>
      <x:c r="I510" s="39" t="n">
        <x:v>45738</x:v>
      </x:c>
    </x:row>
    <x:row r="511">
      <x:c r="A511" s="21" t="str">
        <x:v>SYN-0146</x:v>
      </x:c>
      <x:c r="B511" s="21" t="str">
        <x:v>Synthetic Supplier 0146 LLC</x:v>
      </x:c>
      <x:c r="C511" s="38" t="str">
        <x:f>"900 000 000 000 146"</x:f>
        <x:v>900 000 000 000 146</x:v>
      </x:c>
      <x:c r="D511" s="21" t="str">
        <x:v>SYN-0146-INV-03</x:v>
      </x:c>
      <x:c r="E511" s="39" t="n">
        <x:v>46171</x:v>
      </x:c>
      <x:c r="F511" s="42" t="n">
        <x:v>2445.01</x:v>
      </x:c>
      <x:c r="G511" s="42" t="n">
        <x:v>122.25</x:v>
      </x:c>
      <x:c r="H511" s="42" t="n">
        <x:v>11211.54</x:v>
      </x:c>
      <x:c r="I511" s="39" t="n">
        <x:v>45738</x:v>
      </x:c>
    </x:row>
    <x:row r="512">
      <x:c r="A512" s="21" t="str">
        <x:v>SYN-0146</x:v>
      </x:c>
      <x:c r="B512" s="21" t="str">
        <x:v>Synthetic Supplier 0146 LLC</x:v>
      </x:c>
      <x:c r="C512" s="38" t="str">
        <x:f>"900 000 000 000 146"</x:f>
        <x:v>900 000 000 000 146</x:v>
      </x:c>
      <x:c r="D512" s="21" t="str">
        <x:v>SYN-0146-INV-04</x:v>
      </x:c>
      <x:c r="E512" s="39" t="n">
        <x:v>46218</x:v>
      </x:c>
      <x:c r="F512" s="42" t="n">
        <x:v>3590.81</x:v>
      </x:c>
      <x:c r="G512" s="42" t="n">
        <x:v>179.54</x:v>
      </x:c>
      <x:c r="H512" s="42" t="n">
        <x:v>11211.54</x:v>
      </x:c>
      <x:c r="I512" s="39" t="n">
        <x:v>45738</x:v>
      </x:c>
    </x:row>
    <x:row r="513">
      <x:c r="A513" s="21" t="str">
        <x:v>SYN-0147</x:v>
      </x:c>
      <x:c r="B513" s="21" t="str">
        <x:v>Synthetic Supplier 0147 LLC</x:v>
      </x:c>
      <x:c r="C513" s="38" t="str">
        <x:f>"900 000 000 000 147"</x:f>
        <x:v>900 000 000 000 147</x:v>
      </x:c>
      <x:c r="D513" s="21" t="str">
        <x:v>SYN-0147-INV-01</x:v>
      </x:c>
      <x:c r="E513" s="39" t="n">
        <x:v>46090</x:v>
      </x:c>
      <x:c r="F513" s="42" t="n">
        <x:v>5623.56</x:v>
      </x:c>
      <x:c r="G513" s="42" t="n">
        <x:v>281.18</x:v>
      </x:c>
      <x:c r="H513" s="42" t="n">
        <x:v>88751.48</x:v>
      </x:c>
      <x:c r="I513" s="39" t="n">
        <x:v>46135</x:v>
      </x:c>
    </x:row>
    <x:row r="514">
      <x:c r="A514" s="21" t="str">
        <x:v>SYN-0147</x:v>
      </x:c>
      <x:c r="B514" s="21" t="str">
        <x:v>Synthetic Supplier 0147 LLC</x:v>
      </x:c>
      <x:c r="C514" s="38" t="str">
        <x:f>"900 000 000 000 147"</x:f>
        <x:v>900 000 000 000 147</x:v>
      </x:c>
      <x:c r="D514" s="21" t="str">
        <x:v>SYN-0147-INV-02</x:v>
      </x:c>
      <x:c r="E514" s="39" t="n">
        <x:v>46137</x:v>
      </x:c>
      <x:c r="F514" s="42" t="n">
        <x:v>2664.71</x:v>
      </x:c>
      <x:c r="G514" s="42" t="n">
        <x:v>133.24</x:v>
      </x:c>
      <x:c r="H514" s="42" t="n">
        <x:v>88751.48</x:v>
      </x:c>
      <x:c r="I514" s="39" t="n">
        <x:v>46135</x:v>
      </x:c>
    </x:row>
    <x:row r="515">
      <x:c r="A515" s="21" t="str">
        <x:v>SYN-0147</x:v>
      </x:c>
      <x:c r="B515" s="21" t="str">
        <x:v>Synthetic Supplier 0147 LLC</x:v>
      </x:c>
      <x:c r="C515" s="38" t="str">
        <x:f>"900 000 000 000 147"</x:f>
        <x:v>900 000 000 000 147</x:v>
      </x:c>
      <x:c r="D515" s="21" t="str">
        <x:v>SYN-0147-INV-03</x:v>
      </x:c>
      <x:c r="E515" s="39" t="n">
        <x:v>46184</x:v>
      </x:c>
      <x:c r="F515" s="42" t="n">
        <x:v>2856.25</x:v>
      </x:c>
      <x:c r="G515" s="42" t="n">
        <x:v>142.81</x:v>
      </x:c>
      <x:c r="H515" s="42" t="n">
        <x:v>88751.48</x:v>
      </x:c>
      <x:c r="I515" s="39" t="n">
        <x:v>46135</x:v>
      </x:c>
    </x:row>
    <x:row r="516">
      <x:c r="A516" s="21" t="str">
        <x:v>SYN-0147</x:v>
      </x:c>
      <x:c r="B516" s="21" t="str">
        <x:v>Synthetic Supplier 0147 LLC</x:v>
      </x:c>
      <x:c r="C516" s="38" t="str">
        <x:f>"900 000 000 000 147"</x:f>
        <x:v>900 000 000 000 147</x:v>
      </x:c>
      <x:c r="D516" s="21" t="str">
        <x:v>SYN-0147-INV-04</x:v>
      </x:c>
      <x:c r="E516" s="39" t="n">
        <x:v>46231</x:v>
      </x:c>
      <x:c r="F516" s="42" t="n">
        <x:v>4644.02</x:v>
      </x:c>
      <x:c r="G516" s="42" t="n">
        <x:v>232.2</x:v>
      </x:c>
      <x:c r="H516" s="42" t="n">
        <x:v>88751.48</x:v>
      </x:c>
      <x:c r="I516" s="39" t="n">
        <x:v>46135</x:v>
      </x:c>
    </x:row>
    <x:row r="517">
      <x:c r="A517" s="21" t="str">
        <x:v>SYN-0147</x:v>
      </x:c>
      <x:c r="B517" s="21" t="str">
        <x:v>Synthetic Supplier 0147 LLC</x:v>
      </x:c>
      <x:c r="C517" s="38" t="str">
        <x:f>"900 000 000 000 147"</x:f>
        <x:v>900 000 000 000 147</x:v>
      </x:c>
      <x:c r="D517" s="21" t="str">
        <x:v>SYN-0147-INV-05</x:v>
      </x:c>
      <x:c r="E517" s="39" t="n">
        <x:v>46278</x:v>
      </x:c>
      <x:c r="F517" s="42" t="n">
        <x:v>3934.01</x:v>
      </x:c>
      <x:c r="G517" s="42" t="n">
        <x:v>196.7</x:v>
      </x:c>
      <x:c r="H517" s="42" t="n">
        <x:v>88751.48</x:v>
      </x:c>
      <x:c r="I517" s="39" t="n">
        <x:v>46135</x:v>
      </x:c>
    </x:row>
    <x:row r="518">
      <x:c r="A518" s="21" t="str">
        <x:v>SYN-0148</x:v>
      </x:c>
      <x:c r="B518" s="21" t="str">
        <x:v>Synthetic Supplier 0148 LLC</x:v>
      </x:c>
      <x:c r="C518" s="38" t="str">
        <x:f>"900 000 000 000 148"</x:f>
        <x:v>900 000 000 000 148</x:v>
      </x:c>
      <x:c r="D518" s="21" t="str">
        <x:v>SYN-0148-INV-01</x:v>
      </x:c>
      <x:c r="E518" s="39" t="n">
        <x:v>46103</x:v>
      </x:c>
      <x:c r="F518" s="42" t="n">
        <x:v>9557.25</x:v>
      </x:c>
      <x:c r="G518" s="42" t="n">
        <x:v>477.86</x:v>
      </x:c>
      <x:c r="H518" s="42" t="n">
        <x:v>19011.73</x:v>
      </x:c>
      <x:c r="I518" s="39" t="n">
        <x:v>45801</x:v>
      </x:c>
    </x:row>
    <x:row r="519">
      <x:c r="A519" s="21" t="str">
        <x:v>SYN-0148</x:v>
      </x:c>
      <x:c r="B519" s="21" t="str">
        <x:v>Synthetic Supplier 0148 LLC</x:v>
      </x:c>
      <x:c r="C519" s="38" t="str">
        <x:f>"900 000 000 000 148"</x:f>
        <x:v>900 000 000 000 148</x:v>
      </x:c>
      <x:c r="D519" s="21" t="str">
        <x:v>SYN-0148-INV-02</x:v>
      </x:c>
      <x:c r="E519" s="39" t="n">
        <x:v>46150</x:v>
      </x:c>
      <x:c r="F519" s="42" t="n">
        <x:v>11566.89</x:v>
      </x:c>
      <x:c r="G519" s="42" t="n">
        <x:v>578.34</x:v>
      </x:c>
      <x:c r="H519" s="42" t="n">
        <x:v>19011.73</x:v>
      </x:c>
      <x:c r="I519" s="39" t="n">
        <x:v>45801</x:v>
      </x:c>
    </x:row>
    <x:row r="520">
      <x:c r="A520" s="21" t="str">
        <x:v>SYN-0149</x:v>
      </x:c>
      <x:c r="B520" s="21" t="str">
        <x:v>Synthetic Supplier 0149 LLC</x:v>
      </x:c>
      <x:c r="C520" s="38" t="str">
        <x:f>"900 000 000 000 149"</x:f>
        <x:v>900 000 000 000 149</x:v>
      </x:c>
      <x:c r="D520" s="21" t="str">
        <x:v>SYN-0149-INV-01</x:v>
      </x:c>
      <x:c r="E520" s="39" t="n">
        <x:v>46116</x:v>
      </x:c>
      <x:c r="F520" s="42" t="n">
        <x:v>9348.28</x:v>
      </x:c>
      <x:c r="G520" s="42" t="n">
        <x:v>467.41</x:v>
      </x:c>
      <x:c r="H520" s="42" t="n">
        <x:v>24566.9</x:v>
      </x:c>
      <x:c r="I520" s="39" t="n">
        <x:v>46198</x:v>
      </x:c>
    </x:row>
    <x:row r="521">
      <x:c r="A521" s="21" t="str">
        <x:v>SYN-0149</x:v>
      </x:c>
      <x:c r="B521" s="21" t="str">
        <x:v>Synthetic Supplier 0149 LLC</x:v>
      </x:c>
      <x:c r="C521" s="38" t="str">
        <x:f>"900 000 000 000 149"</x:f>
        <x:v>900 000 000 000 149</x:v>
      </x:c>
      <x:c r="D521" s="21" t="str">
        <x:v>SYN-0149-INV-02</x:v>
      </x:c>
      <x:c r="E521" s="39" t="n">
        <x:v>46163</x:v>
      </x:c>
      <x:c r="F521" s="42" t="n">
        <x:v>8234.46</x:v>
      </x:c>
      <x:c r="G521" s="42" t="n">
        <x:v>411.72</x:v>
      </x:c>
      <x:c r="H521" s="42" t="n">
        <x:v>24566.9</x:v>
      </x:c>
      <x:c r="I521" s="39" t="n">
        <x:v>46198</x:v>
      </x:c>
    </x:row>
    <x:row r="522">
      <x:c r="A522" s="21" t="str">
        <x:v>SYN-0149</x:v>
      </x:c>
      <x:c r="B522" s="21" t="str">
        <x:v>Synthetic Supplier 0149 LLC</x:v>
      </x:c>
      <x:c r="C522" s="38" t="str">
        <x:f>"900 000 000 000 149"</x:f>
        <x:v>900 000 000 000 149</x:v>
      </x:c>
      <x:c r="D522" s="21" t="str">
        <x:v>SYN-0149-INV-03</x:v>
      </x:c>
      <x:c r="E522" s="39" t="n">
        <x:v>46210</x:v>
      </x:c>
      <x:c r="F522" s="42" t="n">
        <x:v>9713.82</x:v>
      </x:c>
      <x:c r="G522" s="42" t="n">
        <x:v>485.69</x:v>
      </x:c>
      <x:c r="H522" s="42" t="n">
        <x:v>24566.9</x:v>
      </x:c>
      <x:c r="I522" s="39" t="n">
        <x:v>46198</x:v>
      </x:c>
    </x:row>
    <x:row r="523">
      <x:c r="A523" s="21" t="str">
        <x:v>SYN-0150</x:v>
      </x:c>
      <x:c r="B523" s="21" t="str">
        <x:v>Synthetic Supplier 0150 LLC</x:v>
      </x:c>
      <x:c r="C523" s="38" t="str">
        <x:f>"900 000 000 000 150"</x:f>
        <x:v>900 000 000 000 150</x:v>
      </x:c>
      <x:c r="D523" s="21" t="str">
        <x:v>SYN-0150-INV-01</x:v>
      </x:c>
      <x:c r="E523" s="39" t="n">
        <x:v>46129</x:v>
      </x:c>
      <x:c r="F523" s="42" t="n">
        <x:v>2969.83</x:v>
      </x:c>
      <x:c r="G523" s="42" t="n">
        <x:v>148.49</x:v>
      </x:c>
      <x:c r="H523" s="42" t="n">
        <x:v>12349.16</x:v>
      </x:c>
      <x:c r="I523" s="39"/>
    </x:row>
    <x:row r="524">
      <x:c r="A524" s="21" t="str">
        <x:v>SYN-0150</x:v>
      </x:c>
      <x:c r="B524" s="21" t="str">
        <x:v>Synthetic Supplier 0150 LLC</x:v>
      </x:c>
      <x:c r="C524" s="38" t="str">
        <x:f>"900 000 000 000 150"</x:f>
        <x:v>900 000 000 000 150</x:v>
      </x:c>
      <x:c r="D524" s="21" t="str">
        <x:v>SYN-0150-INV-02</x:v>
      </x:c>
      <x:c r="E524" s="39" t="n">
        <x:v>46176</x:v>
      </x:c>
      <x:c r="F524" s="42" t="n">
        <x:v>4617</x:v>
      </x:c>
      <x:c r="G524" s="42" t="n">
        <x:v>230.85</x:v>
      </x:c>
      <x:c r="H524" s="42" t="n">
        <x:v>12349.16</x:v>
      </x:c>
      <x:c r="I524" s="39"/>
    </x:row>
    <x:row r="525">
      <x:c r="A525" s="21" t="str">
        <x:v>SYN-0150</x:v>
      </x:c>
      <x:c r="B525" s="21" t="str">
        <x:v>Synthetic Supplier 0150 LLC</x:v>
      </x:c>
      <x:c r="C525" s="38" t="str">
        <x:f>"900 000 000 000 150"</x:f>
        <x:v>900 000 000 000 150</x:v>
      </x:c>
      <x:c r="D525" s="21" t="str">
        <x:v>SYN-0150-INV-03</x:v>
      </x:c>
      <x:c r="E525" s="39" t="n">
        <x:v>46223</x:v>
      </x:c>
      <x:c r="F525" s="42" t="n">
        <x:v>3469.54</x:v>
      </x:c>
      <x:c r="G525" s="42" t="n">
        <x:v>173.48</x:v>
      </x:c>
      <x:c r="H525" s="42" t="n">
        <x:v>12349.16</x:v>
      </x:c>
      <x:c r="I525" s="39"/>
    </x:row>
    <x:row r="526">
      <x:c r="A526" s="21" t="str">
        <x:v>SYN-0150</x:v>
      </x:c>
      <x:c r="B526" s="21" t="str">
        <x:v>Synthetic Supplier 0150 LLC</x:v>
      </x:c>
      <x:c r="C526" s="38" t="str">
        <x:f>"900 000 000 000 150"</x:f>
        <x:v>900 000 000 000 150</x:v>
      </x:c>
      <x:c r="D526" s="21" t="str">
        <x:v>SYN-0150-INV-04</x:v>
      </x:c>
      <x:c r="E526" s="39" t="n">
        <x:v>46270</x:v>
      </x:c>
      <x:c r="F526" s="42" t="n">
        <x:v>2664.91</x:v>
      </x:c>
      <x:c r="G526" s="42" t="n">
        <x:v>133.25</x:v>
      </x:c>
      <x:c r="H526" s="42" t="n">
        <x:v>12349.16</x:v>
      </x:c>
      <x:c r="I526" s="39"/>
    </x:row>
    <x:row r="527">
      <x:c r="A527" s="21" t="str">
        <x:v>SYN-0151</x:v>
      </x:c>
      <x:c r="B527" s="21" t="str">
        <x:v>Synthetic Supplier 0151 LLC</x:v>
      </x:c>
      <x:c r="C527" s="38" t="str">
        <x:f>"900 000 000 000 151"</x:f>
        <x:v>900 000 000 000 151</x:v>
      </x:c>
      <x:c r="D527" s="21" t="str">
        <x:v>SYN-0151-INV-01</x:v>
      </x:c>
      <x:c r="E527" s="39" t="n">
        <x:v>46142</x:v>
      </x:c>
      <x:c r="F527" s="42" t="n">
        <x:v>3710.56</x:v>
      </x:c>
      <x:c r="G527" s="42" t="n">
        <x:v>185.53</x:v>
      </x:c>
      <x:c r="H527" s="42" t="n">
        <x:v>19787.82</x:v>
      </x:c>
      <x:c r="I527" s="39" t="n">
        <x:v>46236</x:v>
      </x:c>
    </x:row>
    <x:row r="528">
      <x:c r="A528" s="21" t="str">
        <x:v>SYN-0151</x:v>
      </x:c>
      <x:c r="B528" s="21" t="str">
        <x:v>Synthetic Supplier 0151 LLC</x:v>
      </x:c>
      <x:c r="C528" s="38" t="str">
        <x:f>"900 000 000 000 151"</x:f>
        <x:v>900 000 000 000 151</x:v>
      </x:c>
      <x:c r="D528" s="21" t="str">
        <x:v>SYN-0151-INV-02</x:v>
      </x:c>
      <x:c r="E528" s="39" t="n">
        <x:v>46189</x:v>
      </x:c>
      <x:c r="F528" s="42" t="n">
        <x:v>4256.47</x:v>
      </x:c>
      <x:c r="G528" s="42" t="n">
        <x:v>212.82</x:v>
      </x:c>
      <x:c r="H528" s="42" t="n">
        <x:v>19787.82</x:v>
      </x:c>
      <x:c r="I528" s="39" t="n">
        <x:v>46236</x:v>
      </x:c>
    </x:row>
    <x:row r="529">
      <x:c r="A529" s="21" t="str">
        <x:v>SYN-0151</x:v>
      </x:c>
      <x:c r="B529" s="21" t="str">
        <x:v>Synthetic Supplier 0151 LLC</x:v>
      </x:c>
      <x:c r="C529" s="38" t="str">
        <x:f>"900 000 000 000 151"</x:f>
        <x:v>900 000 000 000 151</x:v>
      </x:c>
      <x:c r="D529" s="21" t="str">
        <x:v>SYN-0151-INV-03</x:v>
      </x:c>
      <x:c r="E529" s="39" t="n">
        <x:v>46236</x:v>
      </x:c>
      <x:c r="F529" s="42" t="n">
        <x:v>4854.43</x:v>
      </x:c>
      <x:c r="G529" s="42" t="n">
        <x:v>242.72</x:v>
      </x:c>
      <x:c r="H529" s="42" t="n">
        <x:v>19787.82</x:v>
      </x:c>
      <x:c r="I529" s="39" t="n">
        <x:v>46236</x:v>
      </x:c>
    </x:row>
    <x:row r="530">
      <x:c r="A530" s="21" t="str">
        <x:v>SYN-0151</x:v>
      </x:c>
      <x:c r="B530" s="21" t="str">
        <x:v>Synthetic Supplier 0151 LLC</x:v>
      </x:c>
      <x:c r="C530" s="38" t="str">
        <x:f>"900 000 000 000 151"</x:f>
        <x:v>900 000 000 000 151</x:v>
      </x:c>
      <x:c r="D530" s="21" t="str">
        <x:v>SYN-0151-INV-04</x:v>
      </x:c>
      <x:c r="E530" s="39" t="n">
        <x:v>46283</x:v>
      </x:c>
      <x:c r="F530" s="42" t="n">
        <x:v>5964.52</x:v>
      </x:c>
      <x:c r="G530" s="42" t="n">
        <x:v>298.23</x:v>
      </x:c>
      <x:c r="H530" s="42" t="n">
        <x:v>19787.82</x:v>
      </x:c>
      <x:c r="I530" s="39" t="n">
        <x:v>46236</x:v>
      </x:c>
    </x:row>
    <x:row r="531">
      <x:c r="A531" s="21" t="str">
        <x:v>SYN-0151</x:v>
      </x:c>
      <x:c r="B531" s="21" t="str">
        <x:v>Synthetic Supplier 0151 LLC</x:v>
      </x:c>
      <x:c r="C531" s="38" t="str">
        <x:f>"900 000 000 000 151"</x:f>
        <x:v>900 000 000 000 151</x:v>
      </x:c>
      <x:c r="D531" s="21" t="str">
        <x:v>SYN-0151-INV-05</x:v>
      </x:c>
      <x:c r="E531" s="39" t="n">
        <x:v>45970</x:v>
      </x:c>
      <x:c r="F531" s="42" t="n">
        <x:v>3200.49</x:v>
      </x:c>
      <x:c r="G531" s="42" t="n">
        <x:v>160.02</x:v>
      </x:c>
      <x:c r="H531" s="42" t="n">
        <x:v>19787.82</x:v>
      </x:c>
      <x:c r="I531" s="39" t="n">
        <x:v>46236</x:v>
      </x:c>
    </x:row>
    <x:row r="532">
      <x:c r="A532" s="21" t="str">
        <x:v>SYN-0152</x:v>
      </x:c>
      <x:c r="B532" s="21" t="str">
        <x:v>Synthetic Supplier 0152 LLC</x:v>
      </x:c>
      <x:c r="C532" s="38" t="str">
        <x:f>"900 000 000 000 152"</x:f>
        <x:v>900 000 000 000 152</x:v>
      </x:c>
      <x:c r="D532" s="21" t="str">
        <x:v>SYN-0152-INV-01</x:v>
      </x:c>
      <x:c r="E532" s="39" t="n">
        <x:v>46155</x:v>
      </x:c>
      <x:c r="F532" s="42" t="n">
        <x:v>4628.37</x:v>
      </x:c>
      <x:c r="G532" s="42" t="n">
        <x:v>231.42</x:v>
      </x:c>
      <x:c r="H532" s="42" t="n">
        <x:v>6528.6</x:v>
      </x:c>
      <x:c r="I532" s="39" t="n">
        <x:v>45903</x:v>
      </x:c>
    </x:row>
    <x:row r="533">
      <x:c r="A533" s="21" t="str">
        <x:v>SYN-0152</x:v>
      </x:c>
      <x:c r="B533" s="21" t="str">
        <x:v>Synthetic Supplier 0152 LLC</x:v>
      </x:c>
      <x:c r="C533" s="38" t="str">
        <x:f>"900 000 000 000 152"</x:f>
        <x:v>900 000 000 000 152</x:v>
      </x:c>
      <x:c r="D533" s="21" t="str">
        <x:v>SYN-0152-INV-02</x:v>
      </x:c>
      <x:c r="E533" s="39" t="n">
        <x:v>46202</x:v>
      </x:c>
      <x:c r="F533" s="42" t="n">
        <x:v>2625.63</x:v>
      </x:c>
      <x:c r="G533" s="42" t="n">
        <x:v>131.28</x:v>
      </x:c>
      <x:c r="H533" s="42" t="n">
        <x:v>6528.6</x:v>
      </x:c>
      <x:c r="I533" s="39" t="n">
        <x:v>45903</x:v>
      </x:c>
    </x:row>
    <x:row r="534">
      <x:c r="A534" s="21" t="str">
        <x:v>SYN-0153</x:v>
      </x:c>
      <x:c r="B534" s="21" t="str">
        <x:v>Synthetic Supplier 0153 LLC</x:v>
      </x:c>
      <x:c r="C534" s="38" t="str">
        <x:f>"900 000 000 000 153"</x:f>
        <x:v>900 000 000 000 153</x:v>
      </x:c>
      <x:c r="D534" s="21" t="str">
        <x:v>SYN-0153-INV-01</x:v>
      </x:c>
      <x:c r="E534" s="39" t="n">
        <x:v>46168</x:v>
      </x:c>
      <x:c r="F534" s="42" t="n">
        <x:v>6260.77</x:v>
      </x:c>
      <x:c r="G534" s="42" t="n">
        <x:v>313.04</x:v>
      </x:c>
      <x:c r="H534" s="42" t="n">
        <x:v>18759.37</x:v>
      </x:c>
      <x:c r="I534" s="39" t="n">
        <x:v>46026</x:v>
      </x:c>
    </x:row>
    <x:row r="535">
      <x:c r="A535" s="21" t="str">
        <x:v>SYN-0153</x:v>
      </x:c>
      <x:c r="B535" s="21" t="str">
        <x:v>Synthetic Supplier 0153 LLC</x:v>
      </x:c>
      <x:c r="C535" s="38" t="str">
        <x:f>"900 000 000 000 153"</x:f>
        <x:v>900 000 000 000 153</x:v>
      </x:c>
      <x:c r="D535" s="21" t="str">
        <x:v>SYN-0153-INV-02</x:v>
      </x:c>
      <x:c r="E535" s="39" t="n">
        <x:v>46215</x:v>
      </x:c>
      <x:c r="F535" s="42" t="n">
        <x:v>7739.1</x:v>
      </x:c>
      <x:c r="G535" s="42" t="n">
        <x:v>386.95</x:v>
      </x:c>
      <x:c r="H535" s="42" t="n">
        <x:v>18759.37</x:v>
      </x:c>
      <x:c r="I535" s="39" t="n">
        <x:v>46026</x:v>
      </x:c>
    </x:row>
    <x:row r="536">
      <x:c r="A536" s="21" t="str">
        <x:v>SYN-0153</x:v>
      </x:c>
      <x:c r="B536" s="21" t="str">
        <x:v>Synthetic Supplier 0153 LLC</x:v>
      </x:c>
      <x:c r="C536" s="38" t="str">
        <x:f>"900 000 000 000 153"</x:f>
        <x:v>900 000 000 000 153</x:v>
      </x:c>
      <x:c r="D536" s="21" t="str">
        <x:v>SYN-0153-INV-03</x:v>
      </x:c>
      <x:c r="E536" s="39" t="n">
        <x:v>46262</x:v>
      </x:c>
      <x:c r="F536" s="42" t="n">
        <x:v>6843.88</x:v>
      </x:c>
      <x:c r="G536" s="42" t="n">
        <x:v>342.19</x:v>
      </x:c>
      <x:c r="H536" s="42" t="n">
        <x:v>18759.37</x:v>
      </x:c>
      <x:c r="I536" s="39" t="n">
        <x:v>46026</x:v>
      </x:c>
    </x:row>
    <x:row r="537">
      <x:c r="A537" s="21" t="str">
        <x:v>SYN-0154</x:v>
      </x:c>
      <x:c r="B537" s="21" t="str">
        <x:v>Synthetic Supplier 0154 LLC</x:v>
      </x:c>
      <x:c r="C537" s="38" t="str">
        <x:f>"900 000 000 000 154"</x:f>
        <x:v>900 000 000 000 154</x:v>
      </x:c>
      <x:c r="D537" s="21" t="str">
        <x:v>SYN-0154-INV-01</x:v>
      </x:c>
      <x:c r="E537" s="39" t="n">
        <x:v>46181</x:v>
      </x:c>
      <x:c r="F537" s="42" t="n">
        <x:v>4831.55</x:v>
      </x:c>
      <x:c r="G537" s="42" t="n">
        <x:v>241.58</x:v>
      </x:c>
      <x:c r="H537" s="42" t="n">
        <x:v>98647.78</x:v>
      </x:c>
      <x:c r="I537" s="39" t="n">
        <x:v>45693</x:v>
      </x:c>
    </x:row>
    <x:row r="538">
      <x:c r="A538" s="21" t="str">
        <x:v>SYN-0154</x:v>
      </x:c>
      <x:c r="B538" s="21" t="str">
        <x:v>Synthetic Supplier 0154 LLC</x:v>
      </x:c>
      <x:c r="C538" s="38" t="str">
        <x:f>"900 000 000 000 154"</x:f>
        <x:v>900 000 000 000 154</x:v>
      </x:c>
      <x:c r="D538" s="21" t="str">
        <x:v>SYN-0154-INV-02</x:v>
      </x:c>
      <x:c r="E538" s="39" t="n">
        <x:v>46228</x:v>
      </x:c>
      <x:c r="F538" s="42" t="n">
        <x:v>5970.5</x:v>
      </x:c>
      <x:c r="G538" s="42" t="n">
        <x:v>298.52</x:v>
      </x:c>
      <x:c r="H538" s="42" t="n">
        <x:v>98647.78</x:v>
      </x:c>
      <x:c r="I538" s="39" t="n">
        <x:v>45693</x:v>
      </x:c>
    </x:row>
    <x:row r="539">
      <x:c r="A539" s="21" t="str">
        <x:v>SYN-0154</x:v>
      </x:c>
      <x:c r="B539" s="21" t="str">
        <x:v>Synthetic Supplier 0154 LLC</x:v>
      </x:c>
      <x:c r="C539" s="38" t="str">
        <x:f>"900 000 000 000 154"</x:f>
        <x:v>900 000 000 000 154</x:v>
      </x:c>
      <x:c r="D539" s="21" t="str">
        <x:v>SYN-0154-INV-03</x:v>
      </x:c>
      <x:c r="E539" s="39" t="n">
        <x:v>46275</x:v>
      </x:c>
      <x:c r="F539" s="42" t="n">
        <x:v>5441.8</x:v>
      </x:c>
      <x:c r="G539" s="42" t="n">
        <x:v>272.09</x:v>
      </x:c>
      <x:c r="H539" s="42" t="n">
        <x:v>98647.78</x:v>
      </x:c>
      <x:c r="I539" s="39" t="n">
        <x:v>45693</x:v>
      </x:c>
    </x:row>
    <x:row r="540">
      <x:c r="A540" s="21" t="str">
        <x:v>SYN-0154</x:v>
      </x:c>
      <x:c r="B540" s="21" t="str">
        <x:v>Synthetic Supplier 0154 LLC</x:v>
      </x:c>
      <x:c r="C540" s="38" t="str">
        <x:f>"900 000 000 000 154"</x:f>
        <x:v>900 000 000 000 154</x:v>
      </x:c>
      <x:c r="D540" s="21" t="str">
        <x:v>SYN-0154-INV-04</x:v>
      </x:c>
      <x:c r="E540" s="39" t="n">
        <x:v>45962</x:v>
      </x:c>
      <x:c r="F540" s="42" t="n">
        <x:v>5677.88</x:v>
      </x:c>
      <x:c r="G540" s="42" t="n">
        <x:v>283.89</x:v>
      </x:c>
      <x:c r="H540" s="42" t="n">
        <x:v>98647.78</x:v>
      </x:c>
      <x:c r="I540" s="39" t="n">
        <x:v>45693</x:v>
      </x:c>
    </x:row>
    <x:row r="541">
      <x:c r="A541" s="21" t="str">
        <x:v>SYN-0155</x:v>
      </x:c>
      <x:c r="B541" s="21" t="str">
        <x:v>Synthetic Supplier 0155 LLC</x:v>
      </x:c>
      <x:c r="C541" s="38" t="str">
        <x:f>"900 000 000 000 155"</x:f>
        <x:v>900 000 000 000 155</x:v>
      </x:c>
      <x:c r="D541" s="21" t="str">
        <x:v>SYN-0155-INV-01</x:v>
      </x:c>
      <x:c r="E541" s="39" t="n">
        <x:v>46194</x:v>
      </x:c>
      <x:c r="F541" s="42" t="n">
        <x:v>3728.93</x:v>
      </x:c>
      <x:c r="G541" s="42" t="n">
        <x:v>186.45</x:v>
      </x:c>
      <x:c r="H541" s="42" t="n">
        <x:v>15717.89</x:v>
      </x:c>
      <x:c r="I541" s="39"/>
    </x:row>
    <x:row r="542">
      <x:c r="A542" s="21" t="str">
        <x:v>SYN-0155</x:v>
      </x:c>
      <x:c r="B542" s="21" t="str">
        <x:v>Synthetic Supplier 0155 LLC</x:v>
      </x:c>
      <x:c r="C542" s="38" t="str">
        <x:f>"900 000 000 000 155"</x:f>
        <x:v>900 000 000 000 155</x:v>
      </x:c>
      <x:c r="D542" s="21" t="str">
        <x:v>SYN-0155-INV-02</x:v>
      </x:c>
      <x:c r="E542" s="39" t="n">
        <x:v>46241</x:v>
      </x:c>
      <x:c r="F542" s="42" t="n">
        <x:v>2529.25</x:v>
      </x:c>
      <x:c r="G542" s="42" t="n">
        <x:v>126.46</x:v>
      </x:c>
      <x:c r="H542" s="42" t="n">
        <x:v>15717.89</x:v>
      </x:c>
      <x:c r="I542" s="39"/>
    </x:row>
    <x:row r="543">
      <x:c r="A543" s="21" t="str">
        <x:v>SYN-0155</x:v>
      </x:c>
      <x:c r="B543" s="21" t="str">
        <x:v>Synthetic Supplier 0155 LLC</x:v>
      </x:c>
      <x:c r="C543" s="38" t="str">
        <x:f>"900 000 000 000 155"</x:f>
        <x:v>900 000 000 000 155</x:v>
      </x:c>
      <x:c r="D543" s="21" t="str">
        <x:v>SYN-0155-INV-03</x:v>
      </x:c>
      <x:c r="E543" s="39" t="n">
        <x:v>46288</x:v>
      </x:c>
      <x:c r="F543" s="42" t="n">
        <x:v>4775.9</x:v>
      </x:c>
      <x:c r="G543" s="42" t="n">
        <x:v>238.79</x:v>
      </x:c>
      <x:c r="H543" s="42" t="n">
        <x:v>15717.89</x:v>
      </x:c>
      <x:c r="I543" s="39"/>
    </x:row>
    <x:row r="544">
      <x:c r="A544" s="21" t="str">
        <x:v>SYN-0155</x:v>
      </x:c>
      <x:c r="B544" s="21" t="str">
        <x:v>Synthetic Supplier 0155 LLC</x:v>
      </x:c>
      <x:c r="C544" s="38" t="str">
        <x:f>"900 000 000 000 155"</x:f>
        <x:v>900 000 000 000 155</x:v>
      </x:c>
      <x:c r="D544" s="21" t="str">
        <x:v>SYN-0155-INV-04</x:v>
      </x:c>
      <x:c r="E544" s="39" t="n">
        <x:v>45975</x:v>
      </x:c>
      <x:c r="F544" s="42" t="n">
        <x:v>2288.75</x:v>
      </x:c>
      <x:c r="G544" s="42" t="n">
        <x:v>114.44</x:v>
      </x:c>
      <x:c r="H544" s="42" t="n">
        <x:v>15717.89</x:v>
      </x:c>
      <x:c r="I544" s="39"/>
    </x:row>
    <x:row r="545">
      <x:c r="A545" s="21" t="str">
        <x:v>SYN-0155</x:v>
      </x:c>
      <x:c r="B545" s="21" t="str">
        <x:v>Synthetic Supplier 0155 LLC</x:v>
      </x:c>
      <x:c r="C545" s="38" t="str">
        <x:f>"900 000 000 000 155"</x:f>
        <x:v>900 000 000 000 155</x:v>
      </x:c>
      <x:c r="D545" s="21" t="str">
        <x:v>SYN-0155-INV-05</x:v>
      </x:c>
      <x:c r="E545" s="39" t="n">
        <x:v>46022</x:v>
      </x:c>
      <x:c r="F545" s="42" t="n">
        <x:v>4141.49</x:v>
      </x:c>
      <x:c r="G545" s="42" t="n">
        <x:v>207.07</x:v>
      </x:c>
      <x:c r="H545" s="42" t="n">
        <x:v>15717.89</x:v>
      </x:c>
      <x:c r="I545" s="39"/>
    </x:row>
    <x:row r="546">
      <x:c r="A546" s="21" t="str">
        <x:v>SYN-0156</x:v>
      </x:c>
      <x:c r="B546" s="21" t="str">
        <x:v>Synthetic Supplier 0156 LLC</x:v>
      </x:c>
      <x:c r="C546" s="38" t="str">
        <x:f>"900 000 000 000 156"</x:f>
        <x:v>900 000 000 000 156</x:v>
      </x:c>
      <x:c r="D546" s="21" t="str">
        <x:v>SYN-0156-INV-01</x:v>
      </x:c>
      <x:c r="E546" s="39" t="n">
        <x:v>46207</x:v>
      </x:c>
      <x:c r="F546" s="42" t="n">
        <x:v>13197.98</x:v>
      </x:c>
      <x:c r="G546" s="42" t="n">
        <x:v>659.9</x:v>
      </x:c>
      <x:c r="H546" s="42" t="n">
        <x:v>19513.57</x:v>
      </x:c>
      <x:c r="I546" s="39" t="n">
        <x:v>45754</x:v>
      </x:c>
    </x:row>
    <x:row r="547">
      <x:c r="A547" s="21" t="str">
        <x:v>SYN-0156</x:v>
      </x:c>
      <x:c r="B547" s="21" t="str">
        <x:v>Synthetic Supplier 0156 LLC</x:v>
      </x:c>
      <x:c r="C547" s="38" t="str">
        <x:f>"900 000 000 000 156"</x:f>
        <x:v>900 000 000 000 156</x:v>
      </x:c>
      <x:c r="D547" s="21" t="str">
        <x:v>SYN-0156-INV-02</x:v>
      </x:c>
      <x:c r="E547" s="39" t="n">
        <x:v>46254</x:v>
      </x:c>
      <x:c r="F547" s="42" t="n">
        <x:v>8483.76</x:v>
      </x:c>
      <x:c r="G547" s="42" t="n">
        <x:v>424.19</x:v>
      </x:c>
      <x:c r="H547" s="42" t="n">
        <x:v>19513.57</x:v>
      </x:c>
      <x:c r="I547" s="39" t="n">
        <x:v>45754</x:v>
      </x:c>
    </x:row>
    <x:row r="548">
      <x:c r="A548" s="21" t="str">
        <x:v>SYN-0157</x:v>
      </x:c>
      <x:c r="B548" s="21" t="str">
        <x:v>Synthetic Supplier 0157 LLC</x:v>
      </x:c>
      <x:c r="C548" s="38" t="str">
        <x:f>"900 000 000 000 157"</x:f>
        <x:v>900 000 000 000 157</x:v>
      </x:c>
      <x:c r="D548" s="21" t="str">
        <x:v>SYN-0157-INV-01</x:v>
      </x:c>
      <x:c r="E548" s="39" t="n">
        <x:v>46220</x:v>
      </x:c>
      <x:c r="F548" s="42" t="n">
        <x:v>5780.83</x:v>
      </x:c>
      <x:c r="G548" s="42" t="n">
        <x:v>289.04</x:v>
      </x:c>
      <x:c r="H548" s="42" t="n">
        <x:v>19754.06</x:v>
      </x:c>
      <x:c r="I548" s="39" t="n">
        <x:v>46150</x:v>
      </x:c>
    </x:row>
    <x:row r="549">
      <x:c r="A549" s="21" t="str">
        <x:v>SYN-0157</x:v>
      </x:c>
      <x:c r="B549" s="21" t="str">
        <x:v>Synthetic Supplier 0157 LLC</x:v>
      </x:c>
      <x:c r="C549" s="38" t="str">
        <x:f>"900 000 000 000 157"</x:f>
        <x:v>900 000 000 000 157</x:v>
      </x:c>
      <x:c r="D549" s="21" t="str">
        <x:v>SYN-0157-INV-02</x:v>
      </x:c>
      <x:c r="E549" s="39" t="n">
        <x:v>46267</x:v>
      </x:c>
      <x:c r="F549" s="42" t="n">
        <x:v>7119.26</x:v>
      </x:c>
      <x:c r="G549" s="42" t="n">
        <x:v>355.96</x:v>
      </x:c>
      <x:c r="H549" s="42" t="n">
        <x:v>19754.06</x:v>
      </x:c>
      <x:c r="I549" s="39" t="n">
        <x:v>46150</x:v>
      </x:c>
    </x:row>
    <x:row r="550">
      <x:c r="A550" s="21" t="str">
        <x:v>SYN-0157</x:v>
      </x:c>
      <x:c r="B550" s="21" t="str">
        <x:v>Synthetic Supplier 0157 LLC</x:v>
      </x:c>
      <x:c r="C550" s="38" t="str">
        <x:f>"900 000 000 000 157"</x:f>
        <x:v>900 000 000 000 157</x:v>
      </x:c>
      <x:c r="D550" s="21" t="str">
        <x:v>SYN-0157-INV-03</x:v>
      </x:c>
      <x:c r="E550" s="39" t="n">
        <x:v>45954</x:v>
      </x:c>
      <x:c r="F550" s="42" t="n">
        <x:v>9048.86</x:v>
      </x:c>
      <x:c r="G550" s="42" t="n">
        <x:v>452.44</x:v>
      </x:c>
      <x:c r="H550" s="42" t="n">
        <x:v>19754.06</x:v>
      </x:c>
      <x:c r="I550" s="39" t="n">
        <x:v>46150</x:v>
      </x:c>
    </x:row>
    <x:row r="551">
      <x:c r="A551" s="21" t="str">
        <x:v>SYN-0158</x:v>
      </x:c>
      <x:c r="B551" s="21" t="str">
        <x:v>Synthetic Supplier 0158 LLC</x:v>
      </x:c>
      <x:c r="C551" s="38" t="str">
        <x:f>"900 000 000 000 158"</x:f>
        <x:v>900 000 000 000 158</x:v>
      </x:c>
      <x:c r="D551" s="21" t="str">
        <x:v>SYN-0158-INV-01</x:v>
      </x:c>
      <x:c r="E551" s="39" t="n">
        <x:v>46233</x:v>
      </x:c>
      <x:c r="F551" s="42" t="n">
        <x:v>6470.94</x:v>
      </x:c>
      <x:c r="G551" s="42" t="n">
        <x:v>323.55</x:v>
      </x:c>
      <x:c r="H551" s="42" t="n">
        <x:v>24863.37</x:v>
      </x:c>
      <x:c r="I551" s="39" t="n">
        <x:v>45817</x:v>
      </x:c>
    </x:row>
    <x:row r="552">
      <x:c r="A552" s="21" t="str">
        <x:v>SYN-0158</x:v>
      </x:c>
      <x:c r="B552" s="21" t="str">
        <x:v>Synthetic Supplier 0158 LLC</x:v>
      </x:c>
      <x:c r="C552" s="38" t="str">
        <x:f>"900 000 000 000 158"</x:f>
        <x:v>900 000 000 000 158</x:v>
      </x:c>
      <x:c r="D552" s="21" t="str">
        <x:v>SYN-0158-INV-02</x:v>
      </x:c>
      <x:c r="E552" s="39" t="n">
        <x:v>46280</x:v>
      </x:c>
      <x:c r="F552" s="42" t="n">
        <x:v>8888.46</x:v>
      </x:c>
      <x:c r="G552" s="42" t="n">
        <x:v>444.42</x:v>
      </x:c>
      <x:c r="H552" s="42" t="n">
        <x:v>24863.37</x:v>
      </x:c>
      <x:c r="I552" s="39" t="n">
        <x:v>45817</x:v>
      </x:c>
    </x:row>
    <x:row r="553">
      <x:c r="A553" s="21" t="str">
        <x:v>SYN-0158</x:v>
      </x:c>
      <x:c r="B553" s="21" t="str">
        <x:v>Synthetic Supplier 0158 LLC</x:v>
      </x:c>
      <x:c r="C553" s="38" t="str">
        <x:f>"900 000 000 000 158"</x:f>
        <x:v>900 000 000 000 158</x:v>
      </x:c>
      <x:c r="D553" s="21" t="str">
        <x:v>SYN-0158-INV-03</x:v>
      </x:c>
      <x:c r="E553" s="39" t="n">
        <x:v>45967</x:v>
      </x:c>
      <x:c r="F553" s="42" t="n">
        <x:v>8056.48</x:v>
      </x:c>
      <x:c r="G553" s="42" t="n">
        <x:v>402.82</x:v>
      </x:c>
      <x:c r="H553" s="42" t="n">
        <x:v>24863.37</x:v>
      </x:c>
      <x:c r="I553" s="39" t="n">
        <x:v>45817</x:v>
      </x:c>
    </x:row>
    <x:row r="554">
      <x:c r="A554" s="21" t="str">
        <x:v>SYN-0158</x:v>
      </x:c>
      <x:c r="B554" s="21" t="str">
        <x:v>Synthetic Supplier 0158 LLC</x:v>
      </x:c>
      <x:c r="C554" s="38" t="str">
        <x:f>"900 000 000 000 158"</x:f>
        <x:v>900 000 000 000 158</x:v>
      </x:c>
      <x:c r="D554" s="21" t="str">
        <x:v>SYN-0158-INV-04</x:v>
      </x:c>
      <x:c r="E554" s="39" t="n">
        <x:v>46014</x:v>
      </x:c>
      <x:c r="F554" s="42" t="n">
        <x:v>4210.09</x:v>
      </x:c>
      <x:c r="G554" s="42" t="n">
        <x:v>210.5</x:v>
      </x:c>
      <x:c r="H554" s="42" t="n">
        <x:v>24863.37</x:v>
      </x:c>
      <x:c r="I554" s="39" t="n">
        <x:v>45817</x:v>
      </x:c>
    </x:row>
    <x:row r="555">
      <x:c r="A555" s="21" t="str">
        <x:v>SYN-0159</x:v>
      </x:c>
      <x:c r="B555" s="21" t="str">
        <x:v>Synthetic Supplier 0159 LLC</x:v>
      </x:c>
      <x:c r="C555" s="38" t="str">
        <x:f>"900 000 000 000 159"</x:f>
        <x:v>900 000 000 000 159</x:v>
      </x:c>
      <x:c r="D555" s="21" t="str">
        <x:v>SYN-0159-INV-01</x:v>
      </x:c>
      <x:c r="E555" s="39" t="n">
        <x:v>46246</x:v>
      </x:c>
      <x:c r="F555" s="42" t="n">
        <x:v>1099.18</x:v>
      </x:c>
      <x:c r="G555" s="42" t="n">
        <x:v>54.96</x:v>
      </x:c>
      <x:c r="H555" s="42" t="n">
        <x:v>4847.85</x:v>
      </x:c>
      <x:c r="I555" s="39" t="n">
        <x:v>46213</x:v>
      </x:c>
    </x:row>
    <x:row r="556">
      <x:c r="A556" s="21" t="str">
        <x:v>SYN-0159</x:v>
      </x:c>
      <x:c r="B556" s="21" t="str">
        <x:v>Synthetic Supplier 0159 LLC</x:v>
      </x:c>
      <x:c r="C556" s="38" t="str">
        <x:f>"900 000 000 000 159"</x:f>
        <x:v>900 000 000 000 159</x:v>
      </x:c>
      <x:c r="D556" s="21" t="str">
        <x:v>SYN-0159-INV-02</x:v>
      </x:c>
      <x:c r="E556" s="39" t="n">
        <x:v>45933</x:v>
      </x:c>
      <x:c r="F556" s="42" t="n">
        <x:v>1342.77</x:v>
      </x:c>
      <x:c r="G556" s="42" t="n">
        <x:v>67.14</x:v>
      </x:c>
      <x:c r="H556" s="42" t="n">
        <x:v>4847.85</x:v>
      </x:c>
      <x:c r="I556" s="39" t="n">
        <x:v>46213</x:v>
      </x:c>
    </x:row>
    <x:row r="557">
      <x:c r="A557" s="21" t="str">
        <x:v>SYN-0159</x:v>
      </x:c>
      <x:c r="B557" s="21" t="str">
        <x:v>Synthetic Supplier 0159 LLC</x:v>
      </x:c>
      <x:c r="C557" s="38" t="str">
        <x:f>"900 000 000 000 159"</x:f>
        <x:v>900 000 000 000 159</x:v>
      </x:c>
      <x:c r="D557" s="21" t="str">
        <x:v>SYN-0159-INV-03</x:v>
      </x:c>
      <x:c r="E557" s="39" t="n">
        <x:v>45980</x:v>
      </x:c>
      <x:c r="F557" s="42" t="n">
        <x:v>1270.09</x:v>
      </x:c>
      <x:c r="G557" s="42" t="n">
        <x:v>63.5</x:v>
      </x:c>
      <x:c r="H557" s="42" t="n">
        <x:v>4847.85</x:v>
      </x:c>
      <x:c r="I557" s="39" t="n">
        <x:v>46213</x:v>
      </x:c>
    </x:row>
    <x:row r="558">
      <x:c r="A558" s="21" t="str">
        <x:v>SYN-0159</x:v>
      </x:c>
      <x:c r="B558" s="21" t="str">
        <x:v>Synthetic Supplier 0159 LLC</x:v>
      </x:c>
      <x:c r="C558" s="38" t="str">
        <x:f>"900 000 000 000 159"</x:f>
        <x:v>900 000 000 000 159</x:v>
      </x:c>
      <x:c r="D558" s="21" t="str">
        <x:v>SYN-0159-INV-04</x:v>
      </x:c>
      <x:c r="E558" s="39" t="n">
        <x:v>46027</x:v>
      </x:c>
      <x:c r="F558" s="42" t="n">
        <x:v>751.15</x:v>
      </x:c>
      <x:c r="G558" s="42" t="n">
        <x:v>37.56</x:v>
      </x:c>
      <x:c r="H558" s="42" t="n">
        <x:v>4847.85</x:v>
      </x:c>
      <x:c r="I558" s="39" t="n">
        <x:v>46213</x:v>
      </x:c>
    </x:row>
    <x:row r="559">
      <x:c r="A559" s="21" t="str">
        <x:v>SYN-0159</x:v>
      </x:c>
      <x:c r="B559" s="21" t="str">
        <x:v>Synthetic Supplier 0159 LLC</x:v>
      </x:c>
      <x:c r="C559" s="38" t="str">
        <x:f>"900 000 000 000 159"</x:f>
        <x:v>900 000 000 000 159</x:v>
      </x:c>
      <x:c r="D559" s="21" t="str">
        <x:v>SYN-0159-INV-05</x:v>
      </x:c>
      <x:c r="E559" s="39" t="n">
        <x:v>46074</x:v>
      </x:c>
      <x:c r="F559" s="42" t="n">
        <x:v>923.31</x:v>
      </x:c>
      <x:c r="G559" s="42" t="n">
        <x:v>46.17</x:v>
      </x:c>
      <x:c r="H559" s="42" t="n">
        <x:v>4847.85</x:v>
      </x:c>
      <x:c r="I559" s="39" t="n">
        <x:v>46213</x:v>
      </x:c>
    </x:row>
    <x:row r="560">
      <x:c r="A560" s="21" t="str">
        <x:v>SYN-0160</x:v>
      </x:c>
      <x:c r="B560" s="21" t="str">
        <x:v>Synthetic Supplier 0160 LLC</x:v>
      </x:c>
      <x:c r="C560" s="38" t="str">
        <x:f>"900 000 000 000 160"</x:f>
        <x:v>900 000 000 000 160</x:v>
      </x:c>
      <x:c r="D560" s="21" t="str">
        <x:v>SYN-0160-INV-01</x:v>
      </x:c>
      <x:c r="E560" s="39" t="n">
        <x:v>46259</x:v>
      </x:c>
      <x:c r="F560" s="42" t="n">
        <x:v>12771.71</x:v>
      </x:c>
      <x:c r="G560" s="42" t="n">
        <x:v>638.59</x:v>
      </x:c>
      <x:c r="H560" s="42" t="n">
        <x:v>22816.86</x:v>
      </x:c>
      <x:c r="I560" s="39"/>
    </x:row>
    <x:row r="561">
      <x:c r="A561" s="21" t="str">
        <x:v>SYN-0160</x:v>
      </x:c>
      <x:c r="B561" s="21" t="str">
        <x:v>Synthetic Supplier 0160 LLC</x:v>
      </x:c>
      <x:c r="C561" s="38" t="str">
        <x:f>"900 000 000 000 160"</x:f>
        <x:v>900 000 000 000 160</x:v>
      </x:c>
      <x:c r="D561" s="21" t="str">
        <x:v>SYN-0160-INV-02</x:v>
      </x:c>
      <x:c r="E561" s="39" t="n">
        <x:v>45946</x:v>
      </x:c>
      <x:c r="F561" s="42" t="n">
        <x:v>12580.36</x:v>
      </x:c>
      <x:c r="G561" s="42" t="n">
        <x:v>629.02</x:v>
      </x:c>
      <x:c r="H561" s="42" t="n">
        <x:v>22816.86</x:v>
      </x:c>
      <x:c r="I561" s="39"/>
    </x:row>
    <x:row r="562">
      <x:c r="A562" s="21" t="str">
        <x:v>SYN-0161</x:v>
      </x:c>
      <x:c r="B562" s="21" t="str">
        <x:v>Synthetic Supplier 0161 LLC</x:v>
      </x:c>
      <x:c r="C562" s="38" t="str">
        <x:f>"900 000 000 000 161"</x:f>
        <x:v>900 000 000 000 161</x:v>
      </x:c>
      <x:c r="D562" s="21" t="str">
        <x:v>SYN-0161-INV-01</x:v>
      </x:c>
      <x:c r="E562" s="39" t="n">
        <x:v>46272</x:v>
      </x:c>
      <x:c r="F562" s="42" t="n">
        <x:v>1354.12</x:v>
      </x:c>
      <x:c r="G562" s="42" t="n">
        <x:v>67.71</x:v>
      </x:c>
      <x:c r="H562" s="42" t="n">
        <x:v>29039.01</x:v>
      </x:c>
      <x:c r="I562" s="39" t="n">
        <x:v>46277</x:v>
      </x:c>
    </x:row>
    <x:row r="563">
      <x:c r="A563" s="21" t="str">
        <x:v>SYN-0161</x:v>
      </x:c>
      <x:c r="B563" s="21" t="str">
        <x:v>Synthetic Supplier 0161 LLC</x:v>
      </x:c>
      <x:c r="C563" s="38" t="str">
        <x:f>"900 000 000 000 161"</x:f>
        <x:v>900 000 000 000 161</x:v>
      </x:c>
      <x:c r="D563" s="21" t="str">
        <x:v>SYN-0161-INV-02</x:v>
      </x:c>
      <x:c r="E563" s="39" t="n">
        <x:v>45959</x:v>
      </x:c>
      <x:c r="F563" s="42" t="n">
        <x:v>2669.19</x:v>
      </x:c>
      <x:c r="G563" s="42" t="n">
        <x:v>133.46</x:v>
      </x:c>
      <x:c r="H563" s="42" t="n">
        <x:v>29039.01</x:v>
      </x:c>
      <x:c r="I563" s="39" t="n">
        <x:v>46277</x:v>
      </x:c>
    </x:row>
    <x:row r="564">
      <x:c r="A564" s="21" t="str">
        <x:v>SYN-0161</x:v>
      </x:c>
      <x:c r="B564" s="21" t="str">
        <x:v>Synthetic Supplier 0161 LLC</x:v>
      </x:c>
      <x:c r="C564" s="38" t="str">
        <x:f>"900 000 000 000 161"</x:f>
        <x:v>900 000 000 000 161</x:v>
      </x:c>
      <x:c r="D564" s="21" t="str">
        <x:v>SYN-0161-INV-03</x:v>
      </x:c>
      <x:c r="E564" s="39" t="n">
        <x:v>46006</x:v>
      </x:c>
      <x:c r="F564" s="42" t="n">
        <x:v>2429.8</x:v>
      </x:c>
      <x:c r="G564" s="42" t="n">
        <x:v>121.49</x:v>
      </x:c>
      <x:c r="H564" s="42" t="n">
        <x:v>29039.01</x:v>
      </x:c>
      <x:c r="I564" s="39" t="n">
        <x:v>46277</x:v>
      </x:c>
    </x:row>
    <x:row r="565">
      <x:c r="A565" s="21" t="str">
        <x:v>SYN-0162</x:v>
      </x:c>
      <x:c r="B565" s="21" t="str">
        <x:v>Synthetic Supplier 0162 LLC</x:v>
      </x:c>
      <x:c r="C565" s="38" t="str">
        <x:f>"900 000 000 000 162"</x:f>
        <x:v>900 000 000 000 162</x:v>
      </x:c>
      <x:c r="D565" s="21" t="str">
        <x:v>SYN-0162-INV-01</x:v>
      </x:c>
      <x:c r="E565" s="39" t="n">
        <x:v>46285</x:v>
      </x:c>
      <x:c r="F565" s="42" t="n">
        <x:v>2555.07</x:v>
      </x:c>
      <x:c r="G565" s="42" t="n">
        <x:v>127.75</x:v>
      </x:c>
      <x:c r="H565" s="42" t="n">
        <x:v>14765.59</x:v>
      </x:c>
      <x:c r="I565" s="39" t="n">
        <x:v>45670</x:v>
      </x:c>
    </x:row>
    <x:row r="566">
      <x:c r="A566" s="21" t="str">
        <x:v>SYN-0162</x:v>
      </x:c>
      <x:c r="B566" s="21" t="str">
        <x:v>Synthetic Supplier 0162 LLC</x:v>
      </x:c>
      <x:c r="C566" s="38" t="str">
        <x:f>"900 000 000 000 162"</x:f>
        <x:v>900 000 000 000 162</x:v>
      </x:c>
      <x:c r="D566" s="21" t="str">
        <x:v>SYN-0162-INV-02</x:v>
      </x:c>
      <x:c r="E566" s="39" t="n">
        <x:v>45972</x:v>
      </x:c>
      <x:c r="F566" s="42" t="n">
        <x:v>4398.73</x:v>
      </x:c>
      <x:c r="G566" s="42" t="n">
        <x:v>219.94</x:v>
      </x:c>
      <x:c r="H566" s="42" t="n">
        <x:v>14765.59</x:v>
      </x:c>
      <x:c r="I566" s="39" t="n">
        <x:v>45670</x:v>
      </x:c>
    </x:row>
    <x:row r="567">
      <x:c r="A567" s="21" t="str">
        <x:v>SYN-0162</x:v>
      </x:c>
      <x:c r="B567" s="21" t="str">
        <x:v>Synthetic Supplier 0162 LLC</x:v>
      </x:c>
      <x:c r="C567" s="38" t="str">
        <x:f>"900 000 000 000 162"</x:f>
        <x:v>900 000 000 000 162</x:v>
      </x:c>
      <x:c r="D567" s="21" t="str">
        <x:v>SYN-0162-INV-03</x:v>
      </x:c>
      <x:c r="E567" s="39" t="n">
        <x:v>46019</x:v>
      </x:c>
      <x:c r="F567" s="42" t="n">
        <x:v>5120.56</x:v>
      </x:c>
      <x:c r="G567" s="42" t="n">
        <x:v>256.03</x:v>
      </x:c>
      <x:c r="H567" s="42" t="n">
        <x:v>14765.59</x:v>
      </x:c>
      <x:c r="I567" s="39" t="n">
        <x:v>45670</x:v>
      </x:c>
    </x:row>
    <x:row r="568">
      <x:c r="A568" s="21" t="str">
        <x:v>SYN-0162</x:v>
      </x:c>
      <x:c r="B568" s="21" t="str">
        <x:v>Synthetic Supplier 0162 LLC</x:v>
      </x:c>
      <x:c r="C568" s="38" t="str">
        <x:f>"900 000 000 000 162"</x:f>
        <x:v>900 000 000 000 162</x:v>
      </x:c>
      <x:c r="D568" s="21" t="str">
        <x:v>SYN-0162-INV-04</x:v>
      </x:c>
      <x:c r="E568" s="39" t="n">
        <x:v>46066</x:v>
      </x:c>
      <x:c r="F568" s="42" t="n">
        <x:v>4331.84</x:v>
      </x:c>
      <x:c r="G568" s="42" t="n">
        <x:v>216.59</x:v>
      </x:c>
      <x:c r="H568" s="42" t="n">
        <x:v>14765.59</x:v>
      </x:c>
      <x:c r="I568" s="39" t="n">
        <x:v>45670</x:v>
      </x:c>
    </x:row>
    <x:row r="569">
      <x:c r="A569" s="21" t="str">
        <x:v>SYN-0163</x:v>
      </x:c>
      <x:c r="B569" s="21" t="str">
        <x:v>Synthetic Supplier 0163 LLC</x:v>
      </x:c>
      <x:c r="C569" s="38" t="str">
        <x:f>"900 000 000 000 163"</x:f>
        <x:v>900 000 000 000 163</x:v>
      </x:c>
      <x:c r="D569" s="21" t="str">
        <x:v>SYN-0163-INV-01</x:v>
      </x:c>
      <x:c r="E569" s="39" t="n">
        <x:v>45938</x:v>
      </x:c>
      <x:c r="F569" s="42" t="n">
        <x:v>3000.97</x:v>
      </x:c>
      <x:c r="G569" s="42" t="n">
        <x:v>150.05</x:v>
      </x:c>
      <x:c r="H569" s="42" t="n">
        <x:v>11622.85</x:v>
      </x:c>
      <x:c r="I569" s="39" t="n">
        <x:v>46067</x:v>
      </x:c>
    </x:row>
    <x:row r="570">
      <x:c r="A570" s="21" t="str">
        <x:v>SYN-0163</x:v>
      </x:c>
      <x:c r="B570" s="21" t="str">
        <x:v>Synthetic Supplier 0163 LLC</x:v>
      </x:c>
      <x:c r="C570" s="38" t="str">
        <x:f>"900 000 000 000 163"</x:f>
        <x:v>900 000 000 000 163</x:v>
      </x:c>
      <x:c r="D570" s="21" t="str">
        <x:v>SYN-0163-INV-02</x:v>
      </x:c>
      <x:c r="E570" s="39" t="n">
        <x:v>45985</x:v>
      </x:c>
      <x:c r="F570" s="42" t="n">
        <x:v>2251.47</x:v>
      </x:c>
      <x:c r="G570" s="42" t="n">
        <x:v>112.57</x:v>
      </x:c>
      <x:c r="H570" s="42" t="n">
        <x:v>11622.85</x:v>
      </x:c>
      <x:c r="I570" s="39" t="n">
        <x:v>46067</x:v>
      </x:c>
    </x:row>
    <x:row r="571">
      <x:c r="A571" s="21" t="str">
        <x:v>SYN-0163</x:v>
      </x:c>
      <x:c r="B571" s="21" t="str">
        <x:v>Synthetic Supplier 0163 LLC</x:v>
      </x:c>
      <x:c r="C571" s="38" t="str">
        <x:f>"900 000 000 000 163"</x:f>
        <x:v>900 000 000 000 163</x:v>
      </x:c>
      <x:c r="D571" s="21" t="str">
        <x:v>SYN-0163-INV-03</x:v>
      </x:c>
      <x:c r="E571" s="39" t="n">
        <x:v>46032</x:v>
      </x:c>
      <x:c r="F571" s="42" t="n">
        <x:v>2995.75</x:v>
      </x:c>
      <x:c r="G571" s="42" t="n">
        <x:v>149.79</x:v>
      </x:c>
      <x:c r="H571" s="42" t="n">
        <x:v>11622.85</x:v>
      </x:c>
      <x:c r="I571" s="39" t="n">
        <x:v>46067</x:v>
      </x:c>
    </x:row>
    <x:row r="572">
      <x:c r="A572" s="21" t="str">
        <x:v>SYN-0163</x:v>
      </x:c>
      <x:c r="B572" s="21" t="str">
        <x:v>Synthetic Supplier 0163 LLC</x:v>
      </x:c>
      <x:c r="C572" s="38" t="str">
        <x:f>"900 000 000 000 163"</x:f>
        <x:v>900 000 000 000 163</x:v>
      </x:c>
      <x:c r="D572" s="21" t="str">
        <x:v>SYN-0163-INV-04</x:v>
      </x:c>
      <x:c r="E572" s="39" t="n">
        <x:v>46079</x:v>
      </x:c>
      <x:c r="F572" s="42" t="n">
        <x:v>2797.54</x:v>
      </x:c>
      <x:c r="G572" s="42" t="n">
        <x:v>139.88</x:v>
      </x:c>
      <x:c r="H572" s="42" t="n">
        <x:v>11622.85</x:v>
      </x:c>
      <x:c r="I572" s="39" t="n">
        <x:v>46067</x:v>
      </x:c>
    </x:row>
    <x:row r="573">
      <x:c r="A573" s="21" t="str">
        <x:v>SYN-0163</x:v>
      </x:c>
      <x:c r="B573" s="21" t="str">
        <x:v>Synthetic Supplier 0163 LLC</x:v>
      </x:c>
      <x:c r="C573" s="38" t="str">
        <x:f>"900 000 000 000 163"</x:f>
        <x:v>900 000 000 000 163</x:v>
      </x:c>
      <x:c r="D573" s="21" t="str">
        <x:v>SYN-0163-INV-05</x:v>
      </x:c>
      <x:c r="E573" s="39" t="n">
        <x:v>46126</x:v>
      </x:c>
      <x:c r="F573" s="42" t="n">
        <x:v>1868.55</x:v>
      </x:c>
      <x:c r="G573" s="42" t="n">
        <x:v>93.43</x:v>
      </x:c>
      <x:c r="H573" s="42" t="n">
        <x:v>11622.85</x:v>
      </x:c>
      <x:c r="I573" s="39" t="n">
        <x:v>46067</x:v>
      </x:c>
    </x:row>
    <x:row r="574">
      <x:c r="A574" s="21" t="str">
        <x:v>SYN-0164</x:v>
      </x:c>
      <x:c r="B574" s="21" t="str">
        <x:v>Synthetic Supplier 0164 LLC</x:v>
      </x:c>
      <x:c r="C574" s="38" t="str">
        <x:f>"900 000 000 000 164"</x:f>
        <x:v>900 000 000 000 164</x:v>
      </x:c>
      <x:c r="D574" s="21" t="str">
        <x:v>SYN-0164-INV-01</x:v>
      </x:c>
      <x:c r="E574" s="39" t="n">
        <x:v>45951</x:v>
      </x:c>
      <x:c r="F574" s="42" t="n">
        <x:v>7356.09</x:v>
      </x:c>
      <x:c r="G574" s="42" t="n">
        <x:v>367.8</x:v>
      </x:c>
      <x:c r="H574" s="42" t="n">
        <x:v>13848.94</x:v>
      </x:c>
      <x:c r="I574" s="39" t="n">
        <x:v>45731</x:v>
      </x:c>
    </x:row>
    <x:row r="575">
      <x:c r="A575" s="21" t="str">
        <x:v>SYN-0164</x:v>
      </x:c>
      <x:c r="B575" s="21" t="str">
        <x:v>Synthetic Supplier 0164 LLC</x:v>
      </x:c>
      <x:c r="C575" s="38" t="str">
        <x:f>"900 000 000 000 164"</x:f>
        <x:v>900 000 000 000 164</x:v>
      </x:c>
      <x:c r="D575" s="21" t="str">
        <x:v>SYN-0164-INV-02</x:v>
      </x:c>
      <x:c r="E575" s="39" t="n">
        <x:v>45998</x:v>
      </x:c>
      <x:c r="F575" s="42" t="n">
        <x:v>8031.62</x:v>
      </x:c>
      <x:c r="G575" s="42" t="n">
        <x:v>401.58</x:v>
      </x:c>
      <x:c r="H575" s="42" t="n">
        <x:v>13848.94</x:v>
      </x:c>
      <x:c r="I575" s="39" t="n">
        <x:v>45731</x:v>
      </x:c>
    </x:row>
    <x:row r="576">
      <x:c r="A576" s="21" t="str">
        <x:v>SYN-0165</x:v>
      </x:c>
      <x:c r="B576" s="21" t="str">
        <x:v>Synthetic Supplier 0165 LLC</x:v>
      </x:c>
      <x:c r="C576" s="38" t="str">
        <x:f>"900 000 000 000 165"</x:f>
        <x:v>900 000 000 000 165</x:v>
      </x:c>
      <x:c r="D576" s="21" t="str">
        <x:v>SYN-0165-INV-01</x:v>
      </x:c>
      <x:c r="E576" s="39" t="n">
        <x:v>45964</x:v>
      </x:c>
      <x:c r="F576" s="42" t="n">
        <x:v>3512.7</x:v>
      </x:c>
      <x:c r="G576" s="42" t="n">
        <x:v>175.64</x:v>
      </x:c>
      <x:c r="H576" s="42" t="n">
        <x:v>7575.72</x:v>
      </x:c>
      <x:c r="I576" s="39"/>
    </x:row>
    <x:row r="577">
      <x:c r="A577" s="21" t="str">
        <x:v>SYN-0165</x:v>
      </x:c>
      <x:c r="B577" s="21" t="str">
        <x:v>Synthetic Supplier 0165 LLC</x:v>
      </x:c>
      <x:c r="C577" s="38" t="str">
        <x:f>"900 000 000 000 165"</x:f>
        <x:v>900 000 000 000 165</x:v>
      </x:c>
      <x:c r="D577" s="21" t="str">
        <x:v>SYN-0165-INV-02</x:v>
      </x:c>
      <x:c r="E577" s="39" t="n">
        <x:v>46011</x:v>
      </x:c>
      <x:c r="F577" s="42" t="n">
        <x:v>2420.75</x:v>
      </x:c>
      <x:c r="G577" s="42" t="n">
        <x:v>121.04</x:v>
      </x:c>
      <x:c r="H577" s="42" t="n">
        <x:v>7575.72</x:v>
      </x:c>
      <x:c r="I577" s="39"/>
    </x:row>
    <x:row r="578">
      <x:c r="A578" s="21" t="str">
        <x:v>SYN-0165</x:v>
      </x:c>
      <x:c r="B578" s="21" t="str">
        <x:v>Synthetic Supplier 0165 LLC</x:v>
      </x:c>
      <x:c r="C578" s="38" t="str">
        <x:f>"900 000 000 000 165"</x:f>
        <x:v>900 000 000 000 165</x:v>
      </x:c>
      <x:c r="D578" s="21" t="str">
        <x:v>SYN-0165-INV-03</x:v>
      </x:c>
      <x:c r="E578" s="39" t="n">
        <x:v>46058</x:v>
      </x:c>
      <x:c r="F578" s="42" t="n">
        <x:v>2484.02</x:v>
      </x:c>
      <x:c r="G578" s="42" t="n">
        <x:v>124.2</x:v>
      </x:c>
      <x:c r="H578" s="42" t="n">
        <x:v>7575.72</x:v>
      </x:c>
      <x:c r="I578" s="39"/>
    </x:row>
    <x:row r="579">
      <x:c r="A579" s="21" t="str">
        <x:v>SYN-0166</x:v>
      </x:c>
      <x:c r="B579" s="21" t="str">
        <x:v>Synthetic Supplier 0166 LLC</x:v>
      </x:c>
      <x:c r="C579" s="38" t="str">
        <x:f>"900 000 000 000 166"</x:f>
        <x:v>900 000 000 000 166</x:v>
      </x:c>
      <x:c r="D579" s="21" t="str">
        <x:v>SYN-0166-INV-01</x:v>
      </x:c>
      <x:c r="E579" s="39" t="n">
        <x:v>45977</x:v>
      </x:c>
      <x:c r="F579" s="42" t="n">
        <x:v>2533.94</x:v>
      </x:c>
      <x:c r="G579" s="42" t="n">
        <x:v>126.7</x:v>
      </x:c>
      <x:c r="H579" s="42" t="n">
        <x:v>13979.15</x:v>
      </x:c>
      <x:c r="I579" s="39" t="n">
        <x:v>45794</x:v>
      </x:c>
    </x:row>
    <x:row r="580">
      <x:c r="A580" s="21" t="str">
        <x:v>SYN-0166</x:v>
      </x:c>
      <x:c r="B580" s="21" t="str">
        <x:v>Synthetic Supplier 0166 LLC</x:v>
      </x:c>
      <x:c r="C580" s="38" t="str">
        <x:f>"900 000 000 000 166"</x:f>
        <x:v>900 000 000 000 166</x:v>
      </x:c>
      <x:c r="D580" s="21" t="str">
        <x:v>SYN-0166-INV-02</x:v>
      </x:c>
      <x:c r="E580" s="39" t="n">
        <x:v>46024</x:v>
      </x:c>
      <x:c r="F580" s="42" t="n">
        <x:v>3948.67</x:v>
      </x:c>
      <x:c r="G580" s="42" t="n">
        <x:v>197.43</x:v>
      </x:c>
      <x:c r="H580" s="42" t="n">
        <x:v>13979.15</x:v>
      </x:c>
      <x:c r="I580" s="39" t="n">
        <x:v>45794</x:v>
      </x:c>
    </x:row>
    <x:row r="581">
      <x:c r="A581" s="21" t="str">
        <x:v>SYN-0166</x:v>
      </x:c>
      <x:c r="B581" s="21" t="str">
        <x:v>Synthetic Supplier 0166 LLC</x:v>
      </x:c>
      <x:c r="C581" s="38" t="str">
        <x:f>"900 000 000 000 166"</x:f>
        <x:v>900 000 000 000 166</x:v>
      </x:c>
      <x:c r="D581" s="21" t="str">
        <x:v>SYN-0166-INV-03</x:v>
      </x:c>
      <x:c r="E581" s="39" t="n">
        <x:v>46071</x:v>
      </x:c>
      <x:c r="F581" s="42" t="n">
        <x:v>4708.62</x:v>
      </x:c>
      <x:c r="G581" s="42" t="n">
        <x:v>235.43</x:v>
      </x:c>
      <x:c r="H581" s="42" t="n">
        <x:v>13979.15</x:v>
      </x:c>
      <x:c r="I581" s="39" t="n">
        <x:v>45794</x:v>
      </x:c>
    </x:row>
    <x:row r="582">
      <x:c r="A582" s="21" t="str">
        <x:v>SYN-0166</x:v>
      </x:c>
      <x:c r="B582" s="21" t="str">
        <x:v>Synthetic Supplier 0166 LLC</x:v>
      </x:c>
      <x:c r="C582" s="38" t="str">
        <x:f>"900 000 000 000 166"</x:f>
        <x:v>900 000 000 000 166</x:v>
      </x:c>
      <x:c r="D582" s="21" t="str">
        <x:v>SYN-0166-INV-04</x:v>
      </x:c>
      <x:c r="E582" s="39" t="n">
        <x:v>46118</x:v>
      </x:c>
      <x:c r="F582" s="42" t="n">
        <x:v>4341.15</x:v>
      </x:c>
      <x:c r="G582" s="42" t="n">
        <x:v>217.06</x:v>
      </x:c>
      <x:c r="H582" s="42" t="n">
        <x:v>13979.15</x:v>
      </x:c>
      <x:c r="I582" s="39" t="n">
        <x:v>45794</x:v>
      </x:c>
    </x:row>
    <x:row r="583">
      <x:c r="A583" s="21" t="str">
        <x:v>SYN-0167</x:v>
      </x:c>
      <x:c r="B583" s="21" t="str">
        <x:v>Synthetic Supplier 0167 LLC</x:v>
      </x:c>
      <x:c r="C583" s="38" t="str">
        <x:f>"900 000 000 000 167"</x:f>
        <x:v>900 000 000 000 167</x:v>
      </x:c>
      <x:c r="D583" s="21" t="str">
        <x:v>SYN-0167-INV-01</x:v>
      </x:c>
      <x:c r="E583" s="39" t="n">
        <x:v>45990</x:v>
      </x:c>
      <x:c r="F583" s="42" t="n">
        <x:v>4838.88</x:v>
      </x:c>
      <x:c r="G583" s="42" t="n">
        <x:v>241.94</x:v>
      </x:c>
      <x:c r="H583" s="42" t="n">
        <x:v>17139.67</x:v>
      </x:c>
      <x:c r="I583" s="39" t="n">
        <x:v>46191</x:v>
      </x:c>
    </x:row>
    <x:row r="584">
      <x:c r="A584" s="21" t="str">
        <x:v>SYN-0167</x:v>
      </x:c>
      <x:c r="B584" s="21" t="str">
        <x:v>Synthetic Supplier 0167 LLC</x:v>
      </x:c>
      <x:c r="C584" s="38" t="str">
        <x:f>"900 000 000 000 167"</x:f>
        <x:v>900 000 000 000 167</x:v>
      </x:c>
      <x:c r="D584" s="21" t="str">
        <x:v>SYN-0167-INV-02</x:v>
      </x:c>
      <x:c r="E584" s="39" t="n">
        <x:v>46037</x:v>
      </x:c>
      <x:c r="F584" s="42" t="n">
        <x:v>3308.63</x:v>
      </x:c>
      <x:c r="G584" s="42" t="n">
        <x:v>165.43</x:v>
      </x:c>
      <x:c r="H584" s="42" t="n">
        <x:v>17139.67</x:v>
      </x:c>
      <x:c r="I584" s="39" t="n">
        <x:v>46191</x:v>
      </x:c>
    </x:row>
    <x:row r="585">
      <x:c r="A585" s="21" t="str">
        <x:v>SYN-0167</x:v>
      </x:c>
      <x:c r="B585" s="21" t="str">
        <x:v>Synthetic Supplier 0167 LLC</x:v>
      </x:c>
      <x:c r="C585" s="38" t="str">
        <x:f>"900 000 000 000 167"</x:f>
        <x:v>900 000 000 000 167</x:v>
      </x:c>
      <x:c r="D585" s="21" t="str">
        <x:v>SYN-0167-INV-03</x:v>
      </x:c>
      <x:c r="E585" s="39" t="n">
        <x:v>46084</x:v>
      </x:c>
      <x:c r="F585" s="42" t="n">
        <x:v>3837.81</x:v>
      </x:c>
      <x:c r="G585" s="42" t="n">
        <x:v>191.89</x:v>
      </x:c>
      <x:c r="H585" s="42" t="n">
        <x:v>17139.67</x:v>
      </x:c>
      <x:c r="I585" s="39" t="n">
        <x:v>46191</x:v>
      </x:c>
    </x:row>
    <x:row r="586">
      <x:c r="A586" s="21" t="str">
        <x:v>SYN-0167</x:v>
      </x:c>
      <x:c r="B586" s="21" t="str">
        <x:v>Synthetic Supplier 0167 LLC</x:v>
      </x:c>
      <x:c r="C586" s="38" t="str">
        <x:f>"900 000 000 000 167"</x:f>
        <x:v>900 000 000 000 167</x:v>
      </x:c>
      <x:c r="D586" s="21" t="str">
        <x:v>SYN-0167-INV-04</x:v>
      </x:c>
      <x:c r="E586" s="39" t="n">
        <x:v>46131</x:v>
      </x:c>
      <x:c r="F586" s="42" t="n">
        <x:v>4911.74</x:v>
      </x:c>
      <x:c r="G586" s="42" t="n">
        <x:v>245.59</x:v>
      </x:c>
      <x:c r="H586" s="42" t="n">
        <x:v>17139.67</x:v>
      </x:c>
      <x:c r="I586" s="39" t="n">
        <x:v>46191</x:v>
      </x:c>
    </x:row>
    <x:row r="587">
      <x:c r="A587" s="21" t="str">
        <x:v>SYN-0167</x:v>
      </x:c>
      <x:c r="B587" s="21" t="str">
        <x:v>Synthetic Supplier 0167 LLC</x:v>
      </x:c>
      <x:c r="C587" s="38" t="str">
        <x:f>"900 000 000 000 167"</x:f>
        <x:v>900 000 000 000 167</x:v>
      </x:c>
      <x:c r="D587" s="21" t="str">
        <x:v>SYN-0167-INV-05</x:v>
      </x:c>
      <x:c r="E587" s="39" t="n">
        <x:v>46178</x:v>
      </x:c>
      <x:c r="F587" s="42" t="n">
        <x:v>2147.02</x:v>
      </x:c>
      <x:c r="G587" s="42" t="n">
        <x:v>107.35</x:v>
      </x:c>
      <x:c r="H587" s="42" t="n">
        <x:v>17139.67</x:v>
      </x:c>
      <x:c r="I587" s="39" t="n">
        <x:v>46191</x:v>
      </x:c>
    </x:row>
    <x:row r="588">
      <x:c r="A588" s="21" t="str">
        <x:v>SYN-0168</x:v>
      </x:c>
      <x:c r="B588" s="21" t="str">
        <x:v>Synthetic Supplier 0168 LLC</x:v>
      </x:c>
      <x:c r="C588" s="38" t="str">
        <x:f>"900 000 000 000 168"</x:f>
        <x:v>900 000 000 000 168</x:v>
      </x:c>
      <x:c r="D588" s="21" t="str">
        <x:v>SYN-0168-INV-01</x:v>
      </x:c>
      <x:c r="E588" s="39" t="n">
        <x:v>46003</x:v>
      </x:c>
      <x:c r="F588" s="42" t="n">
        <x:v>11033.32</x:v>
      </x:c>
      <x:c r="G588" s="42" t="n">
        <x:v>551.67</x:v>
      </x:c>
      <x:c r="H588" s="42" t="n">
        <x:v>91451.54</x:v>
      </x:c>
      <x:c r="I588" s="39" t="n">
        <x:v>45857</x:v>
      </x:c>
    </x:row>
    <x:row r="589">
      <x:c r="A589" s="21" t="str">
        <x:v>SYN-0168</x:v>
      </x:c>
      <x:c r="B589" s="21" t="str">
        <x:v>Synthetic Supplier 0168 LLC</x:v>
      </x:c>
      <x:c r="C589" s="38" t="str">
        <x:f>"900 000 000 000 168"</x:f>
        <x:v>900 000 000 000 168</x:v>
      </x:c>
      <x:c r="D589" s="21" t="str">
        <x:v>SYN-0168-INV-02</x:v>
      </x:c>
      <x:c r="E589" s="39" t="n">
        <x:v>46050</x:v>
      </x:c>
      <x:c r="F589" s="42" t="n">
        <x:v>9289.25</x:v>
      </x:c>
      <x:c r="G589" s="42" t="n">
        <x:v>464.46</x:v>
      </x:c>
      <x:c r="H589" s="42" t="n">
        <x:v>91451.54</x:v>
      </x:c>
      <x:c r="I589" s="39" t="n">
        <x:v>45857</x:v>
      </x:c>
    </x:row>
    <x:row r="590">
      <x:c r="A590" s="21" t="str">
        <x:v>SYN-0169</x:v>
      </x:c>
      <x:c r="B590" s="21" t="str">
        <x:v>Synthetic Supplier 0169 LLC</x:v>
      </x:c>
      <x:c r="C590" s="38" t="str">
        <x:f>"900 000 000 000 169"</x:f>
        <x:v>900 000 000 000 169</x:v>
      </x:c>
      <x:c r="D590" s="21" t="str">
        <x:v>SYN-0169-INV-01</x:v>
      </x:c>
      <x:c r="E590" s="39" t="n">
        <x:v>46016</x:v>
      </x:c>
      <x:c r="F590" s="42" t="n">
        <x:v>8453.75</x:v>
      </x:c>
      <x:c r="G590" s="42" t="n">
        <x:v>422.69</x:v>
      </x:c>
      <x:c r="H590" s="42" t="n">
        <x:v>22978.7</x:v>
      </x:c>
      <x:c r="I590" s="39" t="n">
        <x:v>46254</x:v>
      </x:c>
    </x:row>
    <x:row r="591">
      <x:c r="A591" s="21" t="str">
        <x:v>SYN-0169</x:v>
      </x:c>
      <x:c r="B591" s="21" t="str">
        <x:v>Synthetic Supplier 0169 LLC</x:v>
      </x:c>
      <x:c r="C591" s="38" t="str">
        <x:f>"900 000 000 000 169"</x:f>
        <x:v>900 000 000 000 169</x:v>
      </x:c>
      <x:c r="D591" s="21" t="str">
        <x:v>SYN-0169-INV-02</x:v>
      </x:c>
      <x:c r="E591" s="39" t="n">
        <x:v>46063</x:v>
      </x:c>
      <x:c r="F591" s="42" t="n">
        <x:v>9167.8</x:v>
      </x:c>
      <x:c r="G591" s="42" t="n">
        <x:v>458.39</x:v>
      </x:c>
      <x:c r="H591" s="42" t="n">
        <x:v>22978.7</x:v>
      </x:c>
      <x:c r="I591" s="39" t="n">
        <x:v>46254</x:v>
      </x:c>
    </x:row>
    <x:row r="592">
      <x:c r="A592" s="21" t="str">
        <x:v>SYN-0169</x:v>
      </x:c>
      <x:c r="B592" s="21" t="str">
        <x:v>Synthetic Supplier 0169 LLC</x:v>
      </x:c>
      <x:c r="C592" s="38" t="str">
        <x:f>"900 000 000 000 169"</x:f>
        <x:v>900 000 000 000 169</x:v>
      </x:c>
      <x:c r="D592" s="21" t="str">
        <x:v>SYN-0169-INV-03</x:v>
      </x:c>
      <x:c r="E592" s="39" t="n">
        <x:v>46110</x:v>
      </x:c>
      <x:c r="F592" s="42" t="n">
        <x:v>7910.34</x:v>
      </x:c>
      <x:c r="G592" s="42" t="n">
        <x:v>395.52</x:v>
      </x:c>
      <x:c r="H592" s="42" t="n">
        <x:v>22978.7</x:v>
      </x:c>
      <x:c r="I592" s="39" t="n">
        <x:v>46254</x:v>
      </x:c>
    </x:row>
    <x:row r="593">
      <x:c r="A593" s="21" t="str">
        <x:v>SYN-0170</x:v>
      </x:c>
      <x:c r="B593" s="21" t="str">
        <x:v>Synthetic Supplier 0170 LLC</x:v>
      </x:c>
      <x:c r="C593" s="38" t="str">
        <x:f>"900 000 000 000 170"</x:f>
        <x:v>900 000 000 000 170</x:v>
      </x:c>
      <x:c r="D593" s="21" t="str">
        <x:v>SYN-0170-INV-01</x:v>
      </x:c>
      <x:c r="E593" s="39" t="n">
        <x:v>46029</x:v>
      </x:c>
      <x:c r="F593" s="42" t="n">
        <x:v>5439.52</x:v>
      </x:c>
      <x:c r="G593" s="42" t="n">
        <x:v>271.98</x:v>
      </x:c>
      <x:c r="H593" s="42" t="n">
        <x:v>24294.11</x:v>
      </x:c>
      <x:c r="I593" s="39"/>
    </x:row>
    <x:row r="594">
      <x:c r="A594" s="21" t="str">
        <x:v>SYN-0170</x:v>
      </x:c>
      <x:c r="B594" s="21" t="str">
        <x:v>Synthetic Supplier 0170 LLC</x:v>
      </x:c>
      <x:c r="C594" s="38" t="str">
        <x:f>"900 000 000 000 170"</x:f>
        <x:v>900 000 000 000 170</x:v>
      </x:c>
      <x:c r="D594" s="21" t="str">
        <x:v>SYN-0170-INV-02</x:v>
      </x:c>
      <x:c r="E594" s="39" t="n">
        <x:v>46076</x:v>
      </x:c>
      <x:c r="F594" s="42" t="n">
        <x:v>6922.65</x:v>
      </x:c>
      <x:c r="G594" s="42" t="n">
        <x:v>346.13</x:v>
      </x:c>
      <x:c r="H594" s="42" t="n">
        <x:v>24294.11</x:v>
      </x:c>
      <x:c r="I594" s="39"/>
    </x:row>
    <x:row r="595">
      <x:c r="A595" s="21" t="str">
        <x:v>SYN-0170</x:v>
      </x:c>
      <x:c r="B595" s="21" t="str">
        <x:v>Synthetic Supplier 0170 LLC</x:v>
      </x:c>
      <x:c r="C595" s="38" t="str">
        <x:f>"900 000 000 000 170"</x:f>
        <x:v>900 000 000 000 170</x:v>
      </x:c>
      <x:c r="D595" s="21" t="str">
        <x:v>SYN-0170-INV-03</x:v>
      </x:c>
      <x:c r="E595" s="39" t="n">
        <x:v>46123</x:v>
      </x:c>
      <x:c r="F595" s="42" t="n">
        <x:v>5641.47</x:v>
      </x:c>
      <x:c r="G595" s="42" t="n">
        <x:v>282.07</x:v>
      </x:c>
      <x:c r="H595" s="42" t="n">
        <x:v>24294.11</x:v>
      </x:c>
      <x:c r="I595" s="39"/>
    </x:row>
    <x:row r="596">
      <x:c r="A596" s="21" t="str">
        <x:v>SYN-0170</x:v>
      </x:c>
      <x:c r="B596" s="21" t="str">
        <x:v>Synthetic Supplier 0170 LLC</x:v>
      </x:c>
      <x:c r="C596" s="38" t="str">
        <x:f>"900 000 000 000 170"</x:f>
        <x:v>900 000 000 000 170</x:v>
      </x:c>
      <x:c r="D596" s="21" t="str">
        <x:v>SYN-0170-INV-04</x:v>
      </x:c>
      <x:c r="E596" s="39" t="n">
        <x:v>46170</x:v>
      </x:c>
      <x:c r="F596" s="42" t="n">
        <x:v>8989.82</x:v>
      </x:c>
      <x:c r="G596" s="42" t="n">
        <x:v>449.49</x:v>
      </x:c>
      <x:c r="H596" s="42" t="n">
        <x:v>24294.11</x:v>
      </x:c>
      <x:c r="I596" s="39"/>
    </x:row>
    <x:row r="597">
      <x:c r="A597" s="21" t="str">
        <x:v>SYN-0171</x:v>
      </x:c>
      <x:c r="B597" s="21" t="str">
        <x:v>Synthetic Supplier 0171 LLC</x:v>
      </x:c>
      <x:c r="C597" s="38" t="str">
        <x:f>"900 000 000 000 171"</x:f>
        <x:v>900 000 000 000 171</x:v>
      </x:c>
      <x:c r="D597" s="21" t="str">
        <x:v>SYN-0171-INV-01</x:v>
      </x:c>
      <x:c r="E597" s="39" t="n">
        <x:v>46042</x:v>
      </x:c>
      <x:c r="F597" s="42" t="n">
        <x:v>4660.87</x:v>
      </x:c>
      <x:c r="G597" s="42" t="n">
        <x:v>233.04</x:v>
      </x:c>
      <x:c r="H597" s="42" t="n">
        <x:v>21430.39</x:v>
      </x:c>
      <x:c r="I597" s="39" t="n">
        <x:v>46044</x:v>
      </x:c>
    </x:row>
    <x:row r="598">
      <x:c r="A598" s="21" t="str">
        <x:v>SYN-0171</x:v>
      </x:c>
      <x:c r="B598" s="21" t="str">
        <x:v>Synthetic Supplier 0171 LLC</x:v>
      </x:c>
      <x:c r="C598" s="38" t="str">
        <x:f>"900 000 000 000 171"</x:f>
        <x:v>900 000 000 000 171</x:v>
      </x:c>
      <x:c r="D598" s="21" t="str">
        <x:v>SYN-0171-INV-02</x:v>
      </x:c>
      <x:c r="E598" s="39" t="n">
        <x:v>46089</x:v>
      </x:c>
      <x:c r="F598" s="42" t="n">
        <x:v>6040.66</x:v>
      </x:c>
      <x:c r="G598" s="42" t="n">
        <x:v>302.03</x:v>
      </x:c>
      <x:c r="H598" s="42" t="n">
        <x:v>21430.39</x:v>
      </x:c>
      <x:c r="I598" s="39" t="n">
        <x:v>46044</x:v>
      </x:c>
    </x:row>
    <x:row r="599">
      <x:c r="A599" s="21" t="str">
        <x:v>SYN-0171</x:v>
      </x:c>
      <x:c r="B599" s="21" t="str">
        <x:v>Synthetic Supplier 0171 LLC</x:v>
      </x:c>
      <x:c r="C599" s="38" t="str">
        <x:f>"900 000 000 000 171"</x:f>
        <x:v>900 000 000 000 171</x:v>
      </x:c>
      <x:c r="D599" s="21" t="str">
        <x:v>SYN-0171-INV-03</x:v>
      </x:c>
      <x:c r="E599" s="39" t="n">
        <x:v>46136</x:v>
      </x:c>
      <x:c r="F599" s="42" t="n">
        <x:v>2683.04</x:v>
      </x:c>
      <x:c r="G599" s="42" t="n">
        <x:v>134.15</x:v>
      </x:c>
      <x:c r="H599" s="42" t="n">
        <x:v>21430.39</x:v>
      </x:c>
      <x:c r="I599" s="39" t="n">
        <x:v>46044</x:v>
      </x:c>
    </x:row>
    <x:row r="600">
      <x:c r="A600" s="21" t="str">
        <x:v>SYN-0171</x:v>
      </x:c>
      <x:c r="B600" s="21" t="str">
        <x:v>Synthetic Supplier 0171 LLC</x:v>
      </x:c>
      <x:c r="C600" s="38" t="str">
        <x:f>"900 000 000 000 171"</x:f>
        <x:v>900 000 000 000 171</x:v>
      </x:c>
      <x:c r="D600" s="21" t="str">
        <x:v>SYN-0171-INV-04</x:v>
      </x:c>
      <x:c r="E600" s="39" t="n">
        <x:v>46183</x:v>
      </x:c>
      <x:c r="F600" s="42" t="n">
        <x:v>4491.98</x:v>
      </x:c>
      <x:c r="G600" s="42" t="n">
        <x:v>224.6</x:v>
      </x:c>
      <x:c r="H600" s="42" t="n">
        <x:v>21430.39</x:v>
      </x:c>
      <x:c r="I600" s="39" t="n">
        <x:v>46044</x:v>
      </x:c>
    </x:row>
    <x:row r="601">
      <x:c r="A601" s="21" t="str">
        <x:v>SYN-0171</x:v>
      </x:c>
      <x:c r="B601" s="21" t="str">
        <x:v>Synthetic Supplier 0171 LLC</x:v>
      </x:c>
      <x:c r="C601" s="38" t="str">
        <x:f>"900 000 000 000 171"</x:f>
        <x:v>900 000 000 000 171</x:v>
      </x:c>
      <x:c r="D601" s="21" t="str">
        <x:v>SYN-0171-INV-05</x:v>
      </x:c>
      <x:c r="E601" s="39" t="n">
        <x:v>46230</x:v>
      </x:c>
      <x:c r="F601" s="42" t="n">
        <x:v>5934.98</x:v>
      </x:c>
      <x:c r="G601" s="42" t="n">
        <x:v>296.75</x:v>
      </x:c>
      <x:c r="H601" s="42" t="n">
        <x:v>21430.39</x:v>
      </x:c>
      <x:c r="I601" s="39" t="n">
        <x:v>46044</x:v>
      </x:c>
    </x:row>
    <x:row r="602">
      <x:c r="A602" s="21" t="str">
        <x:v>SYN-0172</x:v>
      </x:c>
      <x:c r="B602" s="21" t="str">
        <x:v>Synthetic Supplier 0172 LLC</x:v>
      </x:c>
      <x:c r="C602" s="38" t="str">
        <x:f>"900 000 000 000 172"</x:f>
        <x:v>900 000 000 000 172</x:v>
      </x:c>
      <x:c r="D602" s="21" t="str">
        <x:v>SYN-0172-INV-01</x:v>
      </x:c>
      <x:c r="E602" s="39" t="n">
        <x:v>46055</x:v>
      </x:c>
      <x:c r="F602" s="42" t="n">
        <x:v>6740.2</x:v>
      </x:c>
      <x:c r="G602" s="42" t="n">
        <x:v>337.01</x:v>
      </x:c>
      <x:c r="H602" s="42" t="n">
        <x:v>17517.14</x:v>
      </x:c>
      <x:c r="I602" s="39" t="n">
        <x:v>45711</x:v>
      </x:c>
    </x:row>
    <x:row r="603">
      <x:c r="A603" s="21" t="str">
        <x:v>SYN-0172</x:v>
      </x:c>
      <x:c r="B603" s="21" t="str">
        <x:v>Synthetic Supplier 0172 LLC</x:v>
      </x:c>
      <x:c r="C603" s="38" t="str">
        <x:f>"900 000 000 000 172"</x:f>
        <x:v>900 000 000 000 172</x:v>
      </x:c>
      <x:c r="D603" s="21" t="str">
        <x:v>SYN-0172-INV-02</x:v>
      </x:c>
      <x:c r="E603" s="39" t="n">
        <x:v>46102</x:v>
      </x:c>
      <x:c r="F603" s="42" t="n">
        <x:v>12723.29</x:v>
      </x:c>
      <x:c r="G603" s="42" t="n">
        <x:v>636.16</x:v>
      </x:c>
      <x:c r="H603" s="42" t="n">
        <x:v>17517.14</x:v>
      </x:c>
      <x:c r="I603" s="39" t="n">
        <x:v>45711</x:v>
      </x:c>
    </x:row>
    <x:row r="604">
      <x:c r="A604" s="21" t="str">
        <x:v>SYN-0173</x:v>
      </x:c>
      <x:c r="B604" s="21" t="str">
        <x:v>Synthetic Supplier 0173 LLC</x:v>
      </x:c>
      <x:c r="C604" s="38" t="str">
        <x:f>"900 000 000 000 173"</x:f>
        <x:v>900 000 000 000 173</x:v>
      </x:c>
      <x:c r="D604" s="21" t="str">
        <x:v>SYN-0173-INV-01</x:v>
      </x:c>
      <x:c r="E604" s="39" t="n">
        <x:v>46068</x:v>
      </x:c>
      <x:c r="F604" s="42" t="n">
        <x:v>7513.11</x:v>
      </x:c>
      <x:c r="G604" s="42" t="n">
        <x:v>375.66</x:v>
      </x:c>
      <x:c r="H604" s="42" t="n">
        <x:v>19259.55</x:v>
      </x:c>
      <x:c r="I604" s="39" t="n">
        <x:v>46105</x:v>
      </x:c>
    </x:row>
    <x:row r="605">
      <x:c r="A605" s="21" t="str">
        <x:v>SYN-0173</x:v>
      </x:c>
      <x:c r="B605" s="21" t="str">
        <x:v>Synthetic Supplier 0173 LLC</x:v>
      </x:c>
      <x:c r="C605" s="38" t="str">
        <x:f>"900 000 000 000 173"</x:f>
        <x:v>900 000 000 000 173</x:v>
      </x:c>
      <x:c r="D605" s="21" t="str">
        <x:v>SYN-0173-INV-02</x:v>
      </x:c>
      <x:c r="E605" s="39" t="n">
        <x:v>46115</x:v>
      </x:c>
      <x:c r="F605" s="42" t="n">
        <x:v>7153.98</x:v>
      </x:c>
      <x:c r="G605" s="42" t="n">
        <x:v>357.7</x:v>
      </x:c>
      <x:c r="H605" s="42" t="n">
        <x:v>19259.55</x:v>
      </x:c>
      <x:c r="I605" s="39" t="n">
        <x:v>46105</x:v>
      </x:c>
    </x:row>
    <x:row r="606">
      <x:c r="A606" s="21" t="str">
        <x:v>SYN-0173</x:v>
      </x:c>
      <x:c r="B606" s="21" t="str">
        <x:v>Synthetic Supplier 0173 LLC</x:v>
      </x:c>
      <x:c r="C606" s="38" t="str">
        <x:f>"900 000 000 000 173"</x:f>
        <x:v>900 000 000 000 173</x:v>
      </x:c>
      <x:c r="D606" s="21" t="str">
        <x:v>SYN-0173-INV-03</x:v>
      </x:c>
      <x:c r="E606" s="39" t="n">
        <x:v>46162</x:v>
      </x:c>
      <x:c r="F606" s="42" t="n">
        <x:v>6732.42</x:v>
      </x:c>
      <x:c r="G606" s="42" t="n">
        <x:v>336.62</x:v>
      </x:c>
      <x:c r="H606" s="42" t="n">
        <x:v>19259.55</x:v>
      </x:c>
      <x:c r="I606" s="39" t="n">
        <x:v>46105</x:v>
      </x:c>
    </x:row>
    <x:row r="607">
      <x:c r="A607" s="21" t="str">
        <x:v>SYN-0174</x:v>
      </x:c>
      <x:c r="B607" s="21" t="str">
        <x:v>Synthetic Supplier 0174 LLC</x:v>
      </x:c>
      <x:c r="C607" s="38" t="str">
        <x:f>"900 000 000 000 174"</x:f>
        <x:v>900 000 000 000 174</x:v>
      </x:c>
      <x:c r="D607" s="21" t="str">
        <x:v>SYN-0174-INV-01</x:v>
      </x:c>
      <x:c r="E607" s="39" t="n">
        <x:v>46081</x:v>
      </x:c>
      <x:c r="F607" s="42" t="n">
        <x:v>8198.32</x:v>
      </x:c>
      <x:c r="G607" s="42" t="n">
        <x:v>409.92</x:v>
      </x:c>
      <x:c r="H607" s="42" t="n">
        <x:v>20695.26</x:v>
      </x:c>
      <x:c r="I607" s="39" t="n">
        <x:v>45772</x:v>
      </x:c>
    </x:row>
    <x:row r="608">
      <x:c r="A608" s="21" t="str">
        <x:v>SYN-0174</x:v>
      </x:c>
      <x:c r="B608" s="21" t="str">
        <x:v>Synthetic Supplier 0174 LLC</x:v>
      </x:c>
      <x:c r="C608" s="38" t="str">
        <x:f>"900 000 000 000 174"</x:f>
        <x:v>900 000 000 000 174</x:v>
      </x:c>
      <x:c r="D608" s="21" t="str">
        <x:v>SYN-0174-INV-02</x:v>
      </x:c>
      <x:c r="E608" s="39" t="n">
        <x:v>46128</x:v>
      </x:c>
      <x:c r="F608" s="42" t="n">
        <x:v>6002.86</x:v>
      </x:c>
      <x:c r="G608" s="42" t="n">
        <x:v>300.14</x:v>
      </x:c>
      <x:c r="H608" s="42" t="n">
        <x:v>20695.26</x:v>
      </x:c>
      <x:c r="I608" s="39" t="n">
        <x:v>45772</x:v>
      </x:c>
    </x:row>
    <x:row r="609">
      <x:c r="A609" s="21" t="str">
        <x:v>SYN-0174</x:v>
      </x:c>
      <x:c r="B609" s="21" t="str">
        <x:v>Synthetic Supplier 0174 LLC</x:v>
      </x:c>
      <x:c r="C609" s="38" t="str">
        <x:f>"900 000 000 000 174"</x:f>
        <x:v>900 000 000 000 174</x:v>
      </x:c>
      <x:c r="D609" s="21" t="str">
        <x:v>SYN-0174-INV-03</x:v>
      </x:c>
      <x:c r="E609" s="39" t="n">
        <x:v>46175</x:v>
      </x:c>
      <x:c r="F609" s="42" t="n">
        <x:v>4051.22</x:v>
      </x:c>
      <x:c r="G609" s="42" t="n">
        <x:v>202.56</x:v>
      </x:c>
      <x:c r="H609" s="42" t="n">
        <x:v>20695.26</x:v>
      </x:c>
      <x:c r="I609" s="39" t="n">
        <x:v>45772</x:v>
      </x:c>
    </x:row>
    <x:row r="610">
      <x:c r="A610" s="21" t="str">
        <x:v>SYN-0174</x:v>
      </x:c>
      <x:c r="B610" s="21" t="str">
        <x:v>Synthetic Supplier 0174 LLC</x:v>
      </x:c>
      <x:c r="C610" s="38" t="str">
        <x:f>"900 000 000 000 174"</x:f>
        <x:v>900 000 000 000 174</x:v>
      </x:c>
      <x:c r="D610" s="21" t="str">
        <x:v>SYN-0174-INV-04</x:v>
      </x:c>
      <x:c r="E610" s="39" t="n">
        <x:v>46222</x:v>
      </x:c>
      <x:c r="F610" s="42" t="n">
        <x:v>4742.34</x:v>
      </x:c>
      <x:c r="G610" s="42" t="n">
        <x:v>237.12</x:v>
      </x:c>
      <x:c r="H610" s="42" t="n">
        <x:v>20695.26</x:v>
      </x:c>
      <x:c r="I610" s="39" t="n">
        <x:v>45772</x:v>
      </x:c>
    </x:row>
    <x:row r="611">
      <x:c r="A611" s="21" t="str">
        <x:v>SYN-0175</x:v>
      </x:c>
      <x:c r="B611" s="21" t="str">
        <x:v>Synthetic Supplier 0175 LLC</x:v>
      </x:c>
      <x:c r="C611" s="38" t="str">
        <x:f>"900 000 000 000 175"</x:f>
        <x:v>900 000 000 000 175</x:v>
      </x:c>
      <x:c r="D611" s="21" t="str">
        <x:v>SYN-0175-INV-01</x:v>
      </x:c>
      <x:c r="E611" s="39" t="n">
        <x:v>46094</x:v>
      </x:c>
      <x:c r="F611" s="42" t="n">
        <x:v>4230.96</x:v>
      </x:c>
      <x:c r="G611" s="42" t="n">
        <x:v>211.55</x:v>
      </x:c>
      <x:c r="H611" s="42" t="n">
        <x:v>83291.02</x:v>
      </x:c>
      <x:c r="I611" s="39"/>
    </x:row>
    <x:row r="612">
      <x:c r="A612" s="21" t="str">
        <x:v>SYN-0175</x:v>
      </x:c>
      <x:c r="B612" s="21" t="str">
        <x:v>Synthetic Supplier 0175 LLC</x:v>
      </x:c>
      <x:c r="C612" s="38" t="str">
        <x:f>"900 000 000 000 175"</x:f>
        <x:v>900 000 000 000 175</x:v>
      </x:c>
      <x:c r="D612" s="21" t="str">
        <x:v>SYN-0175-INV-02</x:v>
      </x:c>
      <x:c r="E612" s="39" t="n">
        <x:v>46141</x:v>
      </x:c>
      <x:c r="F612" s="42" t="n">
        <x:v>4400.04</x:v>
      </x:c>
      <x:c r="G612" s="42" t="n">
        <x:v>220</x:v>
      </x:c>
      <x:c r="H612" s="42" t="n">
        <x:v>83291.02</x:v>
      </x:c>
      <x:c r="I612" s="39"/>
    </x:row>
    <x:row r="613">
      <x:c r="A613" s="21" t="str">
        <x:v>SYN-0175</x:v>
      </x:c>
      <x:c r="B613" s="21" t="str">
        <x:v>Synthetic Supplier 0175 LLC</x:v>
      </x:c>
      <x:c r="C613" s="38" t="str">
        <x:f>"900 000 000 000 175"</x:f>
        <x:v>900 000 000 000 175</x:v>
      </x:c>
      <x:c r="D613" s="21" t="str">
        <x:v>SYN-0175-INV-03</x:v>
      </x:c>
      <x:c r="E613" s="39" t="n">
        <x:v>46188</x:v>
      </x:c>
      <x:c r="F613" s="42" t="n">
        <x:v>4040.1</x:v>
      </x:c>
      <x:c r="G613" s="42" t="n">
        <x:v>202</x:v>
      </x:c>
      <x:c r="H613" s="42" t="n">
        <x:v>83291.02</x:v>
      </x:c>
      <x:c r="I613" s="39"/>
    </x:row>
    <x:row r="614">
      <x:c r="A614" s="21" t="str">
        <x:v>SYN-0175</x:v>
      </x:c>
      <x:c r="B614" s="21" t="str">
        <x:v>Synthetic Supplier 0175 LLC</x:v>
      </x:c>
      <x:c r="C614" s="38" t="str">
        <x:f>"900 000 000 000 175"</x:f>
        <x:v>900 000 000 000 175</x:v>
      </x:c>
      <x:c r="D614" s="21" t="str">
        <x:v>SYN-0175-INV-04</x:v>
      </x:c>
      <x:c r="E614" s="39" t="n">
        <x:v>46235</x:v>
      </x:c>
      <x:c r="F614" s="42" t="n">
        <x:v>2393.6</x:v>
      </x:c>
      <x:c r="G614" s="42" t="n">
        <x:v>119.68</x:v>
      </x:c>
      <x:c r="H614" s="42" t="n">
        <x:v>83291.02</x:v>
      </x:c>
      <x:c r="I614" s="39"/>
    </x:row>
    <x:row r="615">
      <x:c r="A615" s="21" t="str">
        <x:v>SYN-0175</x:v>
      </x:c>
      <x:c r="B615" s="21" t="str">
        <x:v>Synthetic Supplier 0175 LLC</x:v>
      </x:c>
      <x:c r="C615" s="38" t="str">
        <x:f>"900 000 000 000 175"</x:f>
        <x:v>900 000 000 000 175</x:v>
      </x:c>
      <x:c r="D615" s="21" t="str">
        <x:v>SYN-0175-INV-05</x:v>
      </x:c>
      <x:c r="E615" s="39" t="n">
        <x:v>46282</x:v>
      </x:c>
      <x:c r="F615" s="42" t="n">
        <x:v>3444.41</x:v>
      </x:c>
      <x:c r="G615" s="42" t="n">
        <x:v>172.22</x:v>
      </x:c>
      <x:c r="H615" s="42" t="n">
        <x:v>83291.02</x:v>
      </x:c>
      <x:c r="I615" s="39"/>
    </x:row>
    <x:row r="616">
      <x:c r="A616" s="21" t="str">
        <x:v>SYN-0176</x:v>
      </x:c>
      <x:c r="B616" s="21" t="str">
        <x:v>Synthetic Supplier 0176 LLC</x:v>
      </x:c>
      <x:c r="C616" s="38" t="str">
        <x:f>"900 000 000 000 176"</x:f>
        <x:v>900 000 000 000 176</x:v>
      </x:c>
      <x:c r="D616" s="21" t="str">
        <x:v>SYN-0176-INV-01</x:v>
      </x:c>
      <x:c r="E616" s="39" t="n">
        <x:v>46107</x:v>
      </x:c>
      <x:c r="F616" s="42" t="n">
        <x:v>3935.18</x:v>
      </x:c>
      <x:c r="G616" s="42" t="n">
        <x:v>196.76</x:v>
      </x:c>
      <x:c r="H616" s="42" t="n">
        <x:v>8051.77</x:v>
      </x:c>
      <x:c r="I616" s="39" t="n">
        <x:v>45810</x:v>
      </x:c>
    </x:row>
    <x:row r="617">
      <x:c r="A617" s="21" t="str">
        <x:v>SYN-0176</x:v>
      </x:c>
      <x:c r="B617" s="21" t="str">
        <x:v>Synthetic Supplier 0176 LLC</x:v>
      </x:c>
      <x:c r="C617" s="38" t="str">
        <x:f>"900 000 000 000 176"</x:f>
        <x:v>900 000 000 000 176</x:v>
      </x:c>
      <x:c r="D617" s="21" t="str">
        <x:v>SYN-0176-INV-02</x:v>
      </x:c>
      <x:c r="E617" s="39" t="n">
        <x:v>46154</x:v>
      </x:c>
      <x:c r="F617" s="42" t="n">
        <x:v>5011.23</x:v>
      </x:c>
      <x:c r="G617" s="42" t="n">
        <x:v>250.56</x:v>
      </x:c>
      <x:c r="H617" s="42" t="n">
        <x:v>8051.77</x:v>
      </x:c>
      <x:c r="I617" s="39" t="n">
        <x:v>45810</x:v>
      </x:c>
    </x:row>
    <x:row r="618">
      <x:c r="A618" s="21" t="str">
        <x:v>SYN-0177</x:v>
      </x:c>
      <x:c r="B618" s="21" t="str">
        <x:v>Synthetic Supplier 0177 LLC</x:v>
      </x:c>
      <x:c r="C618" s="38" t="str">
        <x:f>"900 000 000 000 177"</x:f>
        <x:v>900 000 000 000 177</x:v>
      </x:c>
      <x:c r="D618" s="21" t="str">
        <x:v>SYN-0177-INV-01</x:v>
      </x:c>
      <x:c r="E618" s="39" t="n">
        <x:v>46120</x:v>
      </x:c>
      <x:c r="F618" s="42" t="n">
        <x:v>7756.47</x:v>
      </x:c>
      <x:c r="G618" s="42" t="n">
        <x:v>387.82</x:v>
      </x:c>
      <x:c r="H618" s="42" t="n">
        <x:v>23802.08</x:v>
      </x:c>
      <x:c r="I618" s="39" t="n">
        <x:v>46206</x:v>
      </x:c>
    </x:row>
    <x:row r="619">
      <x:c r="A619" s="21" t="str">
        <x:v>SYN-0177</x:v>
      </x:c>
      <x:c r="B619" s="21" t="str">
        <x:v>Synthetic Supplier 0177 LLC</x:v>
      </x:c>
      <x:c r="C619" s="38" t="str">
        <x:f>"900 000 000 000 177"</x:f>
        <x:v>900 000 000 000 177</x:v>
      </x:c>
      <x:c r="D619" s="21" t="str">
        <x:v>SYN-0177-INV-02</x:v>
      </x:c>
      <x:c r="E619" s="39" t="n">
        <x:v>46167</x:v>
      </x:c>
      <x:c r="F619" s="42" t="n">
        <x:v>6826.03</x:v>
      </x:c>
      <x:c r="G619" s="42" t="n">
        <x:v>341.3</x:v>
      </x:c>
      <x:c r="H619" s="42" t="n">
        <x:v>23802.08</x:v>
      </x:c>
      <x:c r="I619" s="39" t="n">
        <x:v>46206</x:v>
      </x:c>
    </x:row>
    <x:row r="620">
      <x:c r="A620" s="21" t="str">
        <x:v>SYN-0177</x:v>
      </x:c>
      <x:c r="B620" s="21" t="str">
        <x:v>Synthetic Supplier 0177 LLC</x:v>
      </x:c>
      <x:c r="C620" s="38" t="str">
        <x:f>"900 000 000 000 177"</x:f>
        <x:v>900 000 000 000 177</x:v>
      </x:c>
      <x:c r="D620" s="21" t="str">
        <x:v>SYN-0177-INV-03</x:v>
      </x:c>
      <x:c r="E620" s="39" t="n">
        <x:v>46214</x:v>
      </x:c>
      <x:c r="F620" s="42" t="n">
        <x:v>11864.25</x:v>
      </x:c>
      <x:c r="G620" s="42" t="n">
        <x:v>593.21</x:v>
      </x:c>
      <x:c r="H620" s="42" t="n">
        <x:v>23802.08</x:v>
      </x:c>
      <x:c r="I620" s="39" t="n">
        <x:v>46206</x:v>
      </x:c>
    </x:row>
    <x:row r="621">
      <x:c r="A621" s="21" t="str">
        <x:v>SYN-0178</x:v>
      </x:c>
      <x:c r="B621" s="21" t="str">
        <x:v>Synthetic Supplier 0178 LLC</x:v>
      </x:c>
      <x:c r="C621" s="38" t="str">
        <x:f>"900 000 000 000 178"</x:f>
        <x:v>900 000 000 000 178</x:v>
      </x:c>
      <x:c r="D621" s="21" t="str">
        <x:v>SYN-0178-INV-01</x:v>
      </x:c>
      <x:c r="E621" s="39" t="n">
        <x:v>46133</x:v>
      </x:c>
      <x:c r="F621" s="42" t="n">
        <x:v>1330.39</x:v>
      </x:c>
      <x:c r="G621" s="42" t="n">
        <x:v>66.52</x:v>
      </x:c>
      <x:c r="H621" s="42" t="n">
        <x:v>7010.57</x:v>
      </x:c>
      <x:c r="I621" s="39" t="n">
        <x:v>45873</x:v>
      </x:c>
    </x:row>
    <x:row r="622">
      <x:c r="A622" s="21" t="str">
        <x:v>SYN-0178</x:v>
      </x:c>
      <x:c r="B622" s="21" t="str">
        <x:v>Synthetic Supplier 0178 LLC</x:v>
      </x:c>
      <x:c r="C622" s="38" t="str">
        <x:f>"900 000 000 000 178"</x:f>
        <x:v>900 000 000 000 178</x:v>
      </x:c>
      <x:c r="D622" s="21" t="str">
        <x:v>SYN-0178-INV-02</x:v>
      </x:c>
      <x:c r="E622" s="39" t="n">
        <x:v>46180</x:v>
      </x:c>
      <x:c r="F622" s="42" t="n">
        <x:v>2571.22</x:v>
      </x:c>
      <x:c r="G622" s="42" t="n">
        <x:v>128.56</x:v>
      </x:c>
      <x:c r="H622" s="42" t="n">
        <x:v>7010.57</x:v>
      </x:c>
      <x:c r="I622" s="39" t="n">
        <x:v>45873</x:v>
      </x:c>
    </x:row>
    <x:row r="623">
      <x:c r="A623" s="21" t="str">
        <x:v>SYN-0178</x:v>
      </x:c>
      <x:c r="B623" s="21" t="str">
        <x:v>Synthetic Supplier 0178 LLC</x:v>
      </x:c>
      <x:c r="C623" s="38" t="str">
        <x:f>"900 000 000 000 178"</x:f>
        <x:v>900 000 000 000 178</x:v>
      </x:c>
      <x:c r="D623" s="21" t="str">
        <x:v>SYN-0178-INV-03</x:v>
      </x:c>
      <x:c r="E623" s="39" t="n">
        <x:v>46227</x:v>
      </x:c>
      <x:c r="F623" s="42" t="n">
        <x:v>2384.46</x:v>
      </x:c>
      <x:c r="G623" s="42" t="n">
        <x:v>119.22</x:v>
      </x:c>
      <x:c r="H623" s="42" t="n">
        <x:v>7010.57</x:v>
      </x:c>
      <x:c r="I623" s="39" t="n">
        <x:v>45873</x:v>
      </x:c>
    </x:row>
    <x:row r="624">
      <x:c r="A624" s="21" t="str">
        <x:v>SYN-0178</x:v>
      </x:c>
      <x:c r="B624" s="21" t="str">
        <x:v>Synthetic Supplier 0178 LLC</x:v>
      </x:c>
      <x:c r="C624" s="38" t="str">
        <x:f>"900 000 000 000 178"</x:f>
        <x:v>900 000 000 000 178</x:v>
      </x:c>
      <x:c r="D624" s="21" t="str">
        <x:v>SYN-0178-INV-04</x:v>
      </x:c>
      <x:c r="E624" s="39" t="n">
        <x:v>46274</x:v>
      </x:c>
      <x:c r="F624" s="42" t="n">
        <x:v>1503.44</x:v>
      </x:c>
      <x:c r="G624" s="42" t="n">
        <x:v>75.17</x:v>
      </x:c>
      <x:c r="H624" s="42" t="n">
        <x:v>7010.57</x:v>
      </x:c>
      <x:c r="I624" s="39" t="n">
        <x:v>45873</x:v>
      </x:c>
    </x:row>
    <x:row r="625">
      <x:c r="A625" s="21" t="str">
        <x:v>SYN-0179</x:v>
      </x:c>
      <x:c r="B625" s="21" t="str">
        <x:v>Synthetic Supplier 0179 LLC</x:v>
      </x:c>
      <x:c r="C625" s="38" t="str">
        <x:f>"900 000 000 000 179"</x:f>
        <x:v>900 000 000 000 179</x:v>
      </x:c>
      <x:c r="D625" s="21" t="str">
        <x:v>SYN-0179-INV-01</x:v>
      </x:c>
      <x:c r="E625" s="39" t="n">
        <x:v>46146</x:v>
      </x:c>
      <x:c r="F625" s="42" t="n">
        <x:v>1326.78</x:v>
      </x:c>
      <x:c r="G625" s="42" t="n">
        <x:v>66.34</x:v>
      </x:c>
      <x:c r="H625" s="42" t="n">
        <x:v>5173.38</x:v>
      </x:c>
      <x:c r="I625" s="39" t="n">
        <x:v>46270</x:v>
      </x:c>
    </x:row>
    <x:row r="626">
      <x:c r="A626" s="21" t="str">
        <x:v>SYN-0179</x:v>
      </x:c>
      <x:c r="B626" s="21" t="str">
        <x:v>Synthetic Supplier 0179 LLC</x:v>
      </x:c>
      <x:c r="C626" s="38" t="str">
        <x:f>"900 000 000 000 179"</x:f>
        <x:v>900 000 000 000 179</x:v>
      </x:c>
      <x:c r="D626" s="21" t="str">
        <x:v>SYN-0179-INV-02</x:v>
      </x:c>
      <x:c r="E626" s="39" t="n">
        <x:v>46193</x:v>
      </x:c>
      <x:c r="F626" s="42" t="n">
        <x:v>1038.82</x:v>
      </x:c>
      <x:c r="G626" s="42" t="n">
        <x:v>51.94</x:v>
      </x:c>
      <x:c r="H626" s="42" t="n">
        <x:v>5173.38</x:v>
      </x:c>
      <x:c r="I626" s="39" t="n">
        <x:v>46270</x:v>
      </x:c>
    </x:row>
    <x:row r="627">
      <x:c r="A627" s="21" t="str">
        <x:v>SYN-0179</x:v>
      </x:c>
      <x:c r="B627" s="21" t="str">
        <x:v>Synthetic Supplier 0179 LLC</x:v>
      </x:c>
      <x:c r="C627" s="38" t="str">
        <x:f>"900 000 000 000 179"</x:f>
        <x:v>900 000 000 000 179</x:v>
      </x:c>
      <x:c r="D627" s="21" t="str">
        <x:v>SYN-0179-INV-03</x:v>
      </x:c>
      <x:c r="E627" s="39" t="n">
        <x:v>46240</x:v>
      </x:c>
      <x:c r="F627" s="42" t="n">
        <x:v>1173.71</x:v>
      </x:c>
      <x:c r="G627" s="42" t="n">
        <x:v>58.69</x:v>
      </x:c>
      <x:c r="H627" s="42" t="n">
        <x:v>5173.38</x:v>
      </x:c>
      <x:c r="I627" s="39" t="n">
        <x:v>46270</x:v>
      </x:c>
    </x:row>
    <x:row r="628">
      <x:c r="A628" s="21" t="str">
        <x:v>SYN-0179</x:v>
      </x:c>
      <x:c r="B628" s="21" t="str">
        <x:v>Synthetic Supplier 0179 LLC</x:v>
      </x:c>
      <x:c r="C628" s="38" t="str">
        <x:f>"900 000 000 000 179"</x:f>
        <x:v>900 000 000 000 179</x:v>
      </x:c>
      <x:c r="D628" s="21" t="str">
        <x:v>SYN-0179-INV-04</x:v>
      </x:c>
      <x:c r="E628" s="39" t="n">
        <x:v>46287</x:v>
      </x:c>
      <x:c r="F628" s="42" t="n">
        <x:v>1052.02</x:v>
      </x:c>
      <x:c r="G628" s="42" t="n">
        <x:v>52.6</x:v>
      </x:c>
      <x:c r="H628" s="42" t="n">
        <x:v>5173.38</x:v>
      </x:c>
      <x:c r="I628" s="39" t="n">
        <x:v>46270</x:v>
      </x:c>
    </x:row>
    <x:row r="629">
      <x:c r="A629" s="21" t="str">
        <x:v>SYN-0179</x:v>
      </x:c>
      <x:c r="B629" s="21" t="str">
        <x:v>Synthetic Supplier 0179 LLC</x:v>
      </x:c>
      <x:c r="C629" s="38" t="str">
        <x:f>"900 000 000 000 179"</x:f>
        <x:v>900 000 000 000 179</x:v>
      </x:c>
      <x:c r="D629" s="21" t="str">
        <x:v>SYN-0179-INV-05</x:v>
      </x:c>
      <x:c r="E629" s="39" t="n">
        <x:v>45974</x:v>
      </x:c>
      <x:c r="F629" s="42" t="n">
        <x:v>1156.87</x:v>
      </x:c>
      <x:c r="G629" s="42" t="n">
        <x:v>57.84</x:v>
      </x:c>
      <x:c r="H629" s="42" t="n">
        <x:v>5173.38</x:v>
      </x:c>
      <x:c r="I629" s="39" t="n">
        <x:v>46270</x:v>
      </x:c>
    </x:row>
    <x:row r="630">
      <x:c r="A630" s="21" t="str">
        <x:v>SYN-0180</x:v>
      </x:c>
      <x:c r="B630" s="21" t="str">
        <x:v>Synthetic Supplier 0180 LLC</x:v>
      </x:c>
      <x:c r="C630" s="38" t="str">
        <x:f>"900 000 000 000 180"</x:f>
        <x:v>900 000 000 000 180</x:v>
      </x:c>
      <x:c r="D630" s="21" t="str">
        <x:v>SYN-0180-INV-01</x:v>
      </x:c>
      <x:c r="E630" s="39" t="n">
        <x:v>46159</x:v>
      </x:c>
      <x:c r="F630" s="42" t="n">
        <x:v>11336.09</x:v>
      </x:c>
      <x:c r="G630" s="42" t="n">
        <x:v>566.8</x:v>
      </x:c>
      <x:c r="H630" s="42" t="n">
        <x:v>21358.58</x:v>
      </x:c>
      <x:c r="I630" s="39"/>
    </x:row>
    <x:row r="631">
      <x:c r="A631" s="21" t="str">
        <x:v>SYN-0180</x:v>
      </x:c>
      <x:c r="B631" s="21" t="str">
        <x:v>Synthetic Supplier 0180 LLC</x:v>
      </x:c>
      <x:c r="C631" s="38" t="str">
        <x:f>"900 000 000 000 180"</x:f>
        <x:v>900 000 000 000 180</x:v>
      </x:c>
      <x:c r="D631" s="21" t="str">
        <x:v>SYN-0180-INV-02</x:v>
      </x:c>
      <x:c r="E631" s="39" t="n">
        <x:v>46206</x:v>
      </x:c>
      <x:c r="F631" s="42" t="n">
        <x:v>12395.67</x:v>
      </x:c>
      <x:c r="G631" s="42" t="n">
        <x:v>619.78</x:v>
      </x:c>
      <x:c r="H631" s="42" t="n">
        <x:v>21358.58</x:v>
      </x:c>
      <x:c r="I631" s="39"/>
    </x:row>
    <x:row r="632">
      <x:c r="A632" s="21" t="str">
        <x:v>SYN-0181</x:v>
      </x:c>
      <x:c r="B632" s="21" t="str">
        <x:v>Synthetic Supplier 0181 LLC</x:v>
      </x:c>
      <x:c r="C632" s="38" t="str">
        <x:f>"900 000 000 000 181"</x:f>
        <x:v>900 000 000 000 181</x:v>
      </x:c>
      <x:c r="D632" s="21" t="str">
        <x:v>SYN-0181-INV-01</x:v>
      </x:c>
      <x:c r="E632" s="39" t="n">
        <x:v>46172</x:v>
      </x:c>
      <x:c r="F632" s="42" t="n">
        <x:v>6233.91</x:v>
      </x:c>
      <x:c r="G632" s="42" t="n">
        <x:v>311.7</x:v>
      </x:c>
      <x:c r="H632" s="42" t="n">
        <x:v>13033.09</x:v>
      </x:c>
      <x:c r="I632" s="39" t="n">
        <x:v>46060</x:v>
      </x:c>
    </x:row>
    <x:row r="633">
      <x:c r="A633" s="21" t="str">
        <x:v>SYN-0181</x:v>
      </x:c>
      <x:c r="B633" s="21" t="str">
        <x:v>Synthetic Supplier 0181 LLC</x:v>
      </x:c>
      <x:c r="C633" s="38" t="str">
        <x:f>"900 000 000 000 181"</x:f>
        <x:v>900 000 000 000 181</x:v>
      </x:c>
      <x:c r="D633" s="21" t="str">
        <x:v>SYN-0181-INV-02</x:v>
      </x:c>
      <x:c r="E633" s="39" t="n">
        <x:v>46219</x:v>
      </x:c>
      <x:c r="F633" s="42" t="n">
        <x:v>4173.24</x:v>
      </x:c>
      <x:c r="G633" s="42" t="n">
        <x:v>208.66</x:v>
      </x:c>
      <x:c r="H633" s="42" t="n">
        <x:v>13033.09</x:v>
      </x:c>
      <x:c r="I633" s="39" t="n">
        <x:v>46060</x:v>
      </x:c>
    </x:row>
    <x:row r="634">
      <x:c r="A634" s="21" t="str">
        <x:v>SYN-0181</x:v>
      </x:c>
      <x:c r="B634" s="21" t="str">
        <x:v>Synthetic Supplier 0181 LLC</x:v>
      </x:c>
      <x:c r="C634" s="38" t="str">
        <x:f>"900 000 000 000 181"</x:f>
        <x:v>900 000 000 000 181</x:v>
      </x:c>
      <x:c r="D634" s="21" t="str">
        <x:v>SYN-0181-INV-03</x:v>
      </x:c>
      <x:c r="E634" s="39" t="n">
        <x:v>46266</x:v>
      </x:c>
      <x:c r="F634" s="42" t="n">
        <x:v>4074.06</x:v>
      </x:c>
      <x:c r="G634" s="42" t="n">
        <x:v>203.7</x:v>
      </x:c>
      <x:c r="H634" s="42" t="n">
        <x:v>13033.09</x:v>
      </x:c>
      <x:c r="I634" s="39" t="n">
        <x:v>46060</x:v>
      </x:c>
    </x:row>
    <x:row r="635">
      <x:c r="A635" s="21" t="str">
        <x:v>SYN-0182</x:v>
      </x:c>
      <x:c r="B635" s="21" t="str">
        <x:v>Synthetic Supplier 0182 LLC</x:v>
      </x:c>
      <x:c r="C635" s="38" t="str">
        <x:f>"900 000 000 000 182"</x:f>
        <x:v>900 000 000 000 182</x:v>
      </x:c>
      <x:c r="D635" s="21" t="str">
        <x:v>SYN-0182-INV-01</x:v>
      </x:c>
      <x:c r="E635" s="39" t="n">
        <x:v>46185</x:v>
      </x:c>
      <x:c r="F635" s="42" t="n">
        <x:v>5548.76</x:v>
      </x:c>
      <x:c r="G635" s="42" t="n">
        <x:v>277.44</x:v>
      </x:c>
      <x:c r="H635" s="42" t="n">
        <x:v>118583.77</x:v>
      </x:c>
      <x:c r="I635" s="39" t="n">
        <x:v>45724</x:v>
      </x:c>
    </x:row>
    <x:row r="636">
      <x:c r="A636" s="21" t="str">
        <x:v>SYN-0182</x:v>
      </x:c>
      <x:c r="B636" s="21" t="str">
        <x:v>Synthetic Supplier 0182 LLC</x:v>
      </x:c>
      <x:c r="C636" s="38" t="str">
        <x:f>"900 000 000 000 182"</x:f>
        <x:v>900 000 000 000 182</x:v>
      </x:c>
      <x:c r="D636" s="21" t="str">
        <x:v>SYN-0182-INV-02</x:v>
      </x:c>
      <x:c r="E636" s="39" t="n">
        <x:v>46232</x:v>
      </x:c>
      <x:c r="F636" s="42" t="n">
        <x:v>5274.64</x:v>
      </x:c>
      <x:c r="G636" s="42" t="n">
        <x:v>263.73</x:v>
      </x:c>
      <x:c r="H636" s="42" t="n">
        <x:v>118583.77</x:v>
      </x:c>
      <x:c r="I636" s="39" t="n">
        <x:v>45724</x:v>
      </x:c>
    </x:row>
    <x:row r="637">
      <x:c r="A637" s="21" t="str">
        <x:v>SYN-0182</x:v>
      </x:c>
      <x:c r="B637" s="21" t="str">
        <x:v>Synthetic Supplier 0182 LLC</x:v>
      </x:c>
      <x:c r="C637" s="38" t="str">
        <x:f>"900 000 000 000 182"</x:f>
        <x:v>900 000 000 000 182</x:v>
      </x:c>
      <x:c r="D637" s="21" t="str">
        <x:v>SYN-0182-INV-03</x:v>
      </x:c>
      <x:c r="E637" s="39" t="n">
        <x:v>46279</x:v>
      </x:c>
      <x:c r="F637" s="42" t="n">
        <x:v>5572.05</x:v>
      </x:c>
      <x:c r="G637" s="42" t="n">
        <x:v>278.6</x:v>
      </x:c>
      <x:c r="H637" s="42" t="n">
        <x:v>118583.77</x:v>
      </x:c>
      <x:c r="I637" s="39" t="n">
        <x:v>45724</x:v>
      </x:c>
    </x:row>
    <x:row r="638">
      <x:c r="A638" s="21" t="str">
        <x:v>SYN-0182</x:v>
      </x:c>
      <x:c r="B638" s="21" t="str">
        <x:v>Synthetic Supplier 0182 LLC</x:v>
      </x:c>
      <x:c r="C638" s="38" t="str">
        <x:f>"900 000 000 000 182"</x:f>
        <x:v>900 000 000 000 182</x:v>
      </x:c>
      <x:c r="D638" s="21" t="str">
        <x:v>SYN-0182-INV-04</x:v>
      </x:c>
      <x:c r="E638" s="39" t="n">
        <x:v>45966</x:v>
      </x:c>
      <x:c r="F638" s="42" t="n">
        <x:v>9956.5</x:v>
      </x:c>
      <x:c r="G638" s="42" t="n">
        <x:v>497.82</x:v>
      </x:c>
      <x:c r="H638" s="42" t="n">
        <x:v>118583.77</x:v>
      </x:c>
      <x:c r="I638" s="39" t="n">
        <x:v>45724</x:v>
      </x:c>
    </x:row>
    <x:row r="639">
      <x:c r="A639" s="21" t="str">
        <x:v>SYN-0183</x:v>
      </x:c>
      <x:c r="B639" s="21" t="str">
        <x:v>Synthetic Supplier 0183 LLC</x:v>
      </x:c>
      <x:c r="C639" s="38" t="str">
        <x:f>"900 000 000 000 183"</x:f>
        <x:v>900 000 000 000 183</x:v>
      </x:c>
      <x:c r="D639" s="21" t="str">
        <x:v>SYN-0183-INV-01</x:v>
      </x:c>
      <x:c r="E639" s="39" t="n">
        <x:v>46198</x:v>
      </x:c>
      <x:c r="F639" s="42" t="n">
        <x:v>4881.43</x:v>
      </x:c>
      <x:c r="G639" s="42" t="n">
        <x:v>244.07</x:v>
      </x:c>
      <x:c r="H639" s="42" t="n">
        <x:v>23851.53</x:v>
      </x:c>
      <x:c r="I639" s="39" t="n">
        <x:v>46121</x:v>
      </x:c>
    </x:row>
    <x:row r="640">
      <x:c r="A640" s="21" t="str">
        <x:v>SYN-0183</x:v>
      </x:c>
      <x:c r="B640" s="21" t="str">
        <x:v>Synthetic Supplier 0183 LLC</x:v>
      </x:c>
      <x:c r="C640" s="38" t="str">
        <x:f>"900 000 000 000 183"</x:f>
        <x:v>900 000 000 000 183</x:v>
      </x:c>
      <x:c r="D640" s="21" t="str">
        <x:v>SYN-0183-INV-02</x:v>
      </x:c>
      <x:c r="E640" s="39" t="n">
        <x:v>46245</x:v>
      </x:c>
      <x:c r="F640" s="42" t="n">
        <x:v>3521.01</x:v>
      </x:c>
      <x:c r="G640" s="42" t="n">
        <x:v>176.05</x:v>
      </x:c>
      <x:c r="H640" s="42" t="n">
        <x:v>23851.53</x:v>
      </x:c>
      <x:c r="I640" s="39" t="n">
        <x:v>46121</x:v>
      </x:c>
    </x:row>
    <x:row r="641">
      <x:c r="A641" s="21" t="str">
        <x:v>SYN-0183</x:v>
      </x:c>
      <x:c r="B641" s="21" t="str">
        <x:v>Synthetic Supplier 0183 LLC</x:v>
      </x:c>
      <x:c r="C641" s="38" t="str">
        <x:f>"900 000 000 000 183"</x:f>
        <x:v>900 000 000 000 183</x:v>
      </x:c>
      <x:c r="D641" s="21" t="str">
        <x:v>SYN-0183-INV-03</x:v>
      </x:c>
      <x:c r="E641" s="39" t="n">
        <x:v>45932</x:v>
      </x:c>
      <x:c r="F641" s="42" t="n">
        <x:v>7527.36</x:v>
      </x:c>
      <x:c r="G641" s="42" t="n">
        <x:v>376.37</x:v>
      </x:c>
      <x:c r="H641" s="42" t="n">
        <x:v>23851.53</x:v>
      </x:c>
      <x:c r="I641" s="39" t="n">
        <x:v>46121</x:v>
      </x:c>
    </x:row>
    <x:row r="642">
      <x:c r="A642" s="21" t="str">
        <x:v>SYN-0183</x:v>
      </x:c>
      <x:c r="B642" s="21" t="str">
        <x:v>Synthetic Supplier 0183 LLC</x:v>
      </x:c>
      <x:c r="C642" s="38" t="str">
        <x:f>"900 000 000 000 183"</x:f>
        <x:v>900 000 000 000 183</x:v>
      </x:c>
      <x:c r="D642" s="21" t="str">
        <x:v>SYN-0183-INV-04</x:v>
      </x:c>
      <x:c r="E642" s="39" t="n">
        <x:v>45979</x:v>
      </x:c>
      <x:c r="F642" s="42" t="n">
        <x:v>4956.06</x:v>
      </x:c>
      <x:c r="G642" s="42" t="n">
        <x:v>247.8</x:v>
      </x:c>
      <x:c r="H642" s="42" t="n">
        <x:v>23851.53</x:v>
      </x:c>
      <x:c r="I642" s="39" t="n">
        <x:v>46121</x:v>
      </x:c>
    </x:row>
    <x:row r="643">
      <x:c r="A643" s="21" t="str">
        <x:v>SYN-0183</x:v>
      </x:c>
      <x:c r="B643" s="21" t="str">
        <x:v>Synthetic Supplier 0183 LLC</x:v>
      </x:c>
      <x:c r="C643" s="38" t="str">
        <x:f>"900 000 000 000 183"</x:f>
        <x:v>900 000 000 000 183</x:v>
      </x:c>
      <x:c r="D643" s="21" t="str">
        <x:v>SYN-0183-INV-05</x:v>
      </x:c>
      <x:c r="E643" s="39" t="n">
        <x:v>46026</x:v>
      </x:c>
      <x:c r="F643" s="42" t="n">
        <x:v>5615.84</x:v>
      </x:c>
      <x:c r="G643" s="42" t="n">
        <x:v>280.79</x:v>
      </x:c>
      <x:c r="H643" s="42" t="n">
        <x:v>23851.53</x:v>
      </x:c>
      <x:c r="I643" s="39" t="n">
        <x:v>46121</x:v>
      </x:c>
    </x:row>
    <x:row r="644">
      <x:c r="A644" s="21" t="str">
        <x:v>SYN-0184</x:v>
      </x:c>
      <x:c r="B644" s="21" t="str">
        <x:v>Synthetic Supplier 0184 LLC</x:v>
      </x:c>
      <x:c r="C644" s="38" t="str">
        <x:f>"900 000 000 000 184"</x:f>
        <x:v>900 000 000 000 184</x:v>
      </x:c>
      <x:c r="D644" s="21" t="str">
        <x:v>SYN-0184-INV-01</x:v>
      </x:c>
      <x:c r="E644" s="39" t="n">
        <x:v>46211</x:v>
      </x:c>
      <x:c r="F644" s="42" t="n">
        <x:v>6948</x:v>
      </x:c>
      <x:c r="G644" s="42" t="n">
        <x:v>347.4</x:v>
      </x:c>
      <x:c r="H644" s="42" t="n">
        <x:v>15436.3</x:v>
      </x:c>
      <x:c r="I644" s="39" t="n">
        <x:v>45787</x:v>
      </x:c>
    </x:row>
    <x:row r="645">
      <x:c r="A645" s="21" t="str">
        <x:v>SYN-0184</x:v>
      </x:c>
      <x:c r="B645" s="21" t="str">
        <x:v>Synthetic Supplier 0184 LLC</x:v>
      </x:c>
      <x:c r="C645" s="38" t="str">
        <x:f>"900 000 000 000 184"</x:f>
        <x:v>900 000 000 000 184</x:v>
      </x:c>
      <x:c r="D645" s="21" t="str">
        <x:v>SYN-0184-INV-02</x:v>
      </x:c>
      <x:c r="E645" s="39" t="n">
        <x:v>46258</x:v>
      </x:c>
      <x:c r="F645" s="42" t="n">
        <x:v>10203.45</x:v>
      </x:c>
      <x:c r="G645" s="42" t="n">
        <x:v>510.17</x:v>
      </x:c>
      <x:c r="H645" s="42" t="n">
        <x:v>15436.3</x:v>
      </x:c>
      <x:c r="I645" s="39" t="n">
        <x:v>45787</x:v>
      </x:c>
    </x:row>
    <x:row r="646">
      <x:c r="A646" s="21" t="str">
        <x:v>SYN-0185</x:v>
      </x:c>
      <x:c r="B646" s="21" t="str">
        <x:v>Synthetic Supplier 0185 LLC</x:v>
      </x:c>
      <x:c r="C646" s="38" t="str">
        <x:f>"900 000 000 000 185"</x:f>
        <x:v>900 000 000 000 185</x:v>
      </x:c>
      <x:c r="D646" s="21" t="str">
        <x:v>SYN-0185-INV-01</x:v>
      </x:c>
      <x:c r="E646" s="39" t="n">
        <x:v>46224</x:v>
      </x:c>
      <x:c r="F646" s="42" t="n">
        <x:v>6699.51</x:v>
      </x:c>
      <x:c r="G646" s="42" t="n">
        <x:v>334.98</x:v>
      </x:c>
      <x:c r="H646" s="42" t="n">
        <x:v>20367.59</x:v>
      </x:c>
      <x:c r="I646" s="39"/>
    </x:row>
    <x:row r="647">
      <x:c r="A647" s="21" t="str">
        <x:v>SYN-0185</x:v>
      </x:c>
      <x:c r="B647" s="21" t="str">
        <x:v>Synthetic Supplier 0185 LLC</x:v>
      </x:c>
      <x:c r="C647" s="38" t="str">
        <x:f>"900 000 000 000 185"</x:f>
        <x:v>900 000 000 000 185</x:v>
      </x:c>
      <x:c r="D647" s="21" t="str">
        <x:v>SYN-0185-INV-02</x:v>
      </x:c>
      <x:c r="E647" s="39" t="n">
        <x:v>46271</x:v>
      </x:c>
      <x:c r="F647" s="42" t="n">
        <x:v>8417.52</x:v>
      </x:c>
      <x:c r="G647" s="42" t="n">
        <x:v>420.88</x:v>
      </x:c>
      <x:c r="H647" s="42" t="n">
        <x:v>20367.59</x:v>
      </x:c>
      <x:c r="I647" s="39"/>
    </x:row>
    <x:row r="648">
      <x:c r="A648" s="21" t="str">
        <x:v>SYN-0185</x:v>
      </x:c>
      <x:c r="B648" s="21" t="str">
        <x:v>Synthetic Supplier 0185 LLC</x:v>
      </x:c>
      <x:c r="C648" s="38" t="str">
        <x:f>"900 000 000 000 185"</x:f>
        <x:v>900 000 000 000 185</x:v>
      </x:c>
      <x:c r="D648" s="21" t="str">
        <x:v>SYN-0185-INV-03</x:v>
      </x:c>
      <x:c r="E648" s="39" t="n">
        <x:v>45958</x:v>
      </x:c>
      <x:c r="F648" s="42" t="n">
        <x:v>7513.64</x:v>
      </x:c>
      <x:c r="G648" s="42" t="n">
        <x:v>375.68</x:v>
      </x:c>
      <x:c r="H648" s="42" t="n">
        <x:v>20367.59</x:v>
      </x:c>
      <x:c r="I648" s="39"/>
    </x:row>
    <x:row r="649">
      <x:c r="A649" s="21" t="str">
        <x:v>SYN-0186</x:v>
      </x:c>
      <x:c r="B649" s="21" t="str">
        <x:v>Synthetic Supplier 0186 LLC</x:v>
      </x:c>
      <x:c r="C649" s="38" t="str">
        <x:f>"900 000 000 000 186"</x:f>
        <x:v>900 000 000 000 186</x:v>
      </x:c>
      <x:c r="D649" s="21" t="str">
        <x:v>SYN-0186-INV-01</x:v>
      </x:c>
      <x:c r="E649" s="39" t="n">
        <x:v>46237</x:v>
      </x:c>
      <x:c r="F649" s="42" t="n">
        <x:v>5642.7</x:v>
      </x:c>
      <x:c r="G649" s="42" t="n">
        <x:v>282.14</x:v>
      </x:c>
      <x:c r="H649" s="42" t="n">
        <x:v>21135.4</x:v>
      </x:c>
      <x:c r="I649" s="39" t="n">
        <x:v>45850</x:v>
      </x:c>
    </x:row>
    <x:row r="650">
      <x:c r="A650" s="21" t="str">
        <x:v>SYN-0186</x:v>
      </x:c>
      <x:c r="B650" s="21" t="str">
        <x:v>Synthetic Supplier 0186 LLC</x:v>
      </x:c>
      <x:c r="C650" s="38" t="str">
        <x:f>"900 000 000 000 186"</x:f>
        <x:v>900 000 000 000 186</x:v>
      </x:c>
      <x:c r="D650" s="21" t="str">
        <x:v>SYN-0186-INV-02</x:v>
      </x:c>
      <x:c r="E650" s="39" t="n">
        <x:v>46284</x:v>
      </x:c>
      <x:c r="F650" s="42" t="n">
        <x:v>5221.17</x:v>
      </x:c>
      <x:c r="G650" s="42" t="n">
        <x:v>261.06</x:v>
      </x:c>
      <x:c r="H650" s="42" t="n">
        <x:v>21135.4</x:v>
      </x:c>
      <x:c r="I650" s="39" t="n">
        <x:v>45850</x:v>
      </x:c>
    </x:row>
    <x:row r="651">
      <x:c r="A651" s="21" t="str">
        <x:v>SYN-0186</x:v>
      </x:c>
      <x:c r="B651" s="21" t="str">
        <x:v>Synthetic Supplier 0186 LLC</x:v>
      </x:c>
      <x:c r="C651" s="38" t="str">
        <x:f>"900 000 000 000 186"</x:f>
        <x:v>900 000 000 000 186</x:v>
      </x:c>
      <x:c r="D651" s="21" t="str">
        <x:v>SYN-0186-INV-03</x:v>
      </x:c>
      <x:c r="E651" s="39" t="n">
        <x:v>45971</x:v>
      </x:c>
      <x:c r="F651" s="42" t="n">
        <x:v>6537.59</x:v>
      </x:c>
      <x:c r="G651" s="42" t="n">
        <x:v>326.88</x:v>
      </x:c>
      <x:c r="H651" s="42" t="n">
        <x:v>21135.4</x:v>
      </x:c>
      <x:c r="I651" s="39" t="n">
        <x:v>45850</x:v>
      </x:c>
    </x:row>
    <x:row r="652">
      <x:c r="A652" s="21" t="str">
        <x:v>SYN-0186</x:v>
      </x:c>
      <x:c r="B652" s="21" t="str">
        <x:v>Synthetic Supplier 0186 LLC</x:v>
      </x:c>
      <x:c r="C652" s="38" t="str">
        <x:f>"900 000 000 000 186"</x:f>
        <x:v>900 000 000 000 186</x:v>
      </x:c>
      <x:c r="D652" s="21" t="str">
        <x:v>SYN-0186-INV-04</x:v>
      </x:c>
      <x:c r="E652" s="39" t="n">
        <x:v>46018</x:v>
      </x:c>
      <x:c r="F652" s="42" t="n">
        <x:v>6082.32</x:v>
      </x:c>
      <x:c r="G652" s="42" t="n">
        <x:v>304.12</x:v>
      </x:c>
      <x:c r="H652" s="42" t="n">
        <x:v>21135.4</x:v>
      </x:c>
      <x:c r="I652" s="39" t="n">
        <x:v>45850</x:v>
      </x:c>
    </x:row>
    <x:row r="653">
      <x:c r="A653" s="21" t="str">
        <x:v>SYN-0187</x:v>
      </x:c>
      <x:c r="B653" s="21" t="str">
        <x:v>Synthetic Supplier 0187 LLC</x:v>
      </x:c>
      <x:c r="C653" s="38" t="str">
        <x:f>"900 000 000 000 187"</x:f>
        <x:v>900 000 000 000 187</x:v>
      </x:c>
      <x:c r="D653" s="21" t="str">
        <x:v>SYN-0187-INV-01</x:v>
      </x:c>
      <x:c r="E653" s="39" t="n">
        <x:v>46250</x:v>
      </x:c>
      <x:c r="F653" s="42" t="n">
        <x:v>3702.05</x:v>
      </x:c>
      <x:c r="G653" s="42" t="n">
        <x:v>185.1</x:v>
      </x:c>
      <x:c r="H653" s="42" t="n">
        <x:v>16429.33</x:v>
      </x:c>
      <x:c r="I653" s="39" t="n">
        <x:v>46247</x:v>
      </x:c>
    </x:row>
    <x:row r="654">
      <x:c r="A654" s="21" t="str">
        <x:v>SYN-0187</x:v>
      </x:c>
      <x:c r="B654" s="21" t="str">
        <x:v>Synthetic Supplier 0187 LLC</x:v>
      </x:c>
      <x:c r="C654" s="38" t="str">
        <x:f>"900 000 000 000 187"</x:f>
        <x:v>900 000 000 000 187</x:v>
      </x:c>
      <x:c r="D654" s="21" t="str">
        <x:v>SYN-0187-INV-02</x:v>
      </x:c>
      <x:c r="E654" s="39" t="n">
        <x:v>45937</x:v>
      </x:c>
      <x:c r="F654" s="42" t="n">
        <x:v>3298.56</x:v>
      </x:c>
      <x:c r="G654" s="42" t="n">
        <x:v>164.93</x:v>
      </x:c>
      <x:c r="H654" s="42" t="n">
        <x:v>16429.33</x:v>
      </x:c>
      <x:c r="I654" s="39" t="n">
        <x:v>46247</x:v>
      </x:c>
    </x:row>
    <x:row r="655">
      <x:c r="A655" s="21" t="str">
        <x:v>SYN-0187</x:v>
      </x:c>
      <x:c r="B655" s="21" t="str">
        <x:v>Synthetic Supplier 0187 LLC</x:v>
      </x:c>
      <x:c r="C655" s="38" t="str">
        <x:f>"900 000 000 000 187"</x:f>
        <x:v>900 000 000 000 187</x:v>
      </x:c>
      <x:c r="D655" s="21" t="str">
        <x:v>SYN-0187-INV-03</x:v>
      </x:c>
      <x:c r="E655" s="39" t="n">
        <x:v>45984</x:v>
      </x:c>
      <x:c r="F655" s="42" t="n">
        <x:v>3032.62</x:v>
      </x:c>
      <x:c r="G655" s="42" t="n">
        <x:v>151.63</x:v>
      </x:c>
      <x:c r="H655" s="42" t="n">
        <x:v>16429.33</x:v>
      </x:c>
      <x:c r="I655" s="39" t="n">
        <x:v>46247</x:v>
      </x:c>
    </x:row>
    <x:row r="656">
      <x:c r="A656" s="21" t="str">
        <x:v>SYN-0187</x:v>
      </x:c>
      <x:c r="B656" s="21" t="str">
        <x:v>Synthetic Supplier 0187 LLC</x:v>
      </x:c>
      <x:c r="C656" s="38" t="str">
        <x:f>"900 000 000 000 187"</x:f>
        <x:v>900 000 000 000 187</x:v>
      </x:c>
      <x:c r="D656" s="21" t="str">
        <x:v>SYN-0187-INV-04</x:v>
      </x:c>
      <x:c r="E656" s="39" t="n">
        <x:v>46031</x:v>
      </x:c>
      <x:c r="F656" s="42" t="n">
        <x:v>3536.64</x:v>
      </x:c>
      <x:c r="G656" s="42" t="n">
        <x:v>176.83</x:v>
      </x:c>
      <x:c r="H656" s="42" t="n">
        <x:v>16429.33</x:v>
      </x:c>
      <x:c r="I656" s="39" t="n">
        <x:v>46247</x:v>
      </x:c>
    </x:row>
    <x:row r="657">
      <x:c r="A657" s="21" t="str">
        <x:v>SYN-0187</x:v>
      </x:c>
      <x:c r="B657" s="21" t="str">
        <x:v>Synthetic Supplier 0187 LLC</x:v>
      </x:c>
      <x:c r="C657" s="38" t="str">
        <x:f>"900 000 000 000 187"</x:f>
        <x:v>900 000 000 000 187</x:v>
      </x:c>
      <x:c r="D657" s="21" t="str">
        <x:v>SYN-0187-INV-05</x:v>
      </x:c>
      <x:c r="E657" s="39" t="n">
        <x:v>46078</x:v>
      </x:c>
      <x:c r="F657" s="42" t="n">
        <x:v>4684.94</x:v>
      </x:c>
      <x:c r="G657" s="42" t="n">
        <x:v>234.25</x:v>
      </x:c>
      <x:c r="H657" s="42" t="n">
        <x:v>16429.33</x:v>
      </x:c>
      <x:c r="I657" s="39" t="n">
        <x:v>46247</x:v>
      </x:c>
    </x:row>
    <x:row r="658">
      <x:c r="A658" s="21" t="str">
        <x:v>SYN-0188</x:v>
      </x:c>
      <x:c r="B658" s="21" t="str">
        <x:v>Synthetic Supplier 0188 LLC</x:v>
      </x:c>
      <x:c r="C658" s="38" t="str">
        <x:f>"900 000 000 000 188"</x:f>
        <x:v>900 000 000 000 188</x:v>
      </x:c>
      <x:c r="D658" s="21" t="str">
        <x:v>SYN-0188-INV-01</x:v>
      </x:c>
      <x:c r="E658" s="39" t="n">
        <x:v>46263</x:v>
      </x:c>
      <x:c r="F658" s="42" t="n">
        <x:v>6077.99</x:v>
      </x:c>
      <x:c r="G658" s="42" t="n">
        <x:v>303.9</x:v>
      </x:c>
      <x:c r="H658" s="42" t="n">
        <x:v>8257.16</x:v>
      </x:c>
      <x:c r="I658" s="39" t="n">
        <x:v>45914</x:v>
      </x:c>
    </x:row>
    <x:row r="659">
      <x:c r="A659" s="21" t="str">
        <x:v>SYN-0188</x:v>
      </x:c>
      <x:c r="B659" s="21" t="str">
        <x:v>Synthetic Supplier 0188 LLC</x:v>
      </x:c>
      <x:c r="C659" s="38" t="str">
        <x:f>"900 000 000 000 188"</x:f>
        <x:v>900 000 000 000 188</x:v>
      </x:c>
      <x:c r="D659" s="21" t="str">
        <x:v>SYN-0188-INV-02</x:v>
      </x:c>
      <x:c r="E659" s="39" t="n">
        <x:v>45950</x:v>
      </x:c>
      <x:c r="F659" s="42" t="n">
        <x:v>3096.63</x:v>
      </x:c>
      <x:c r="G659" s="42" t="n">
        <x:v>154.83</x:v>
      </x:c>
      <x:c r="H659" s="42" t="n">
        <x:v>8257.16</x:v>
      </x:c>
      <x:c r="I659" s="39" t="n">
        <x:v>45914</x:v>
      </x:c>
    </x:row>
    <x:row r="660">
      <x:c r="A660" s="21" t="str">
        <x:v>SYN-0189</x:v>
      </x:c>
      <x:c r="B660" s="21" t="str">
        <x:v>Synthetic Supplier 0189 LLC</x:v>
      </x:c>
      <x:c r="C660" s="38" t="str">
        <x:f>"900 000 000 000 189"</x:f>
        <x:v>900 000 000 000 189</x:v>
      </x:c>
      <x:c r="D660" s="21" t="str">
        <x:v>SYN-0189-INV-01</x:v>
      </x:c>
      <x:c r="E660" s="39" t="n">
        <x:v>46276</x:v>
      </x:c>
      <x:c r="F660" s="42" t="n">
        <x:v>7762.23</x:v>
      </x:c>
      <x:c r="G660" s="42" t="n">
        <x:v>388.11</x:v>
      </x:c>
      <x:c r="H660" s="42" t="n">
        <x:v>99203.53</x:v>
      </x:c>
      <x:c r="I660" s="39" t="n">
        <x:v>46037</x:v>
      </x:c>
    </x:row>
    <x:row r="661">
      <x:c r="A661" s="21" t="str">
        <x:v>SYN-0189</x:v>
      </x:c>
      <x:c r="B661" s="21" t="str">
        <x:v>Synthetic Supplier 0189 LLC</x:v>
      </x:c>
      <x:c r="C661" s="38" t="str">
        <x:f>"900 000 000 000 189"</x:f>
        <x:v>900 000 000 000 189</x:v>
      </x:c>
      <x:c r="D661" s="21" t="str">
        <x:v>SYN-0189-INV-02</x:v>
      </x:c>
      <x:c r="E661" s="39" t="n">
        <x:v>45963</x:v>
      </x:c>
      <x:c r="F661" s="42" t="n">
        <x:v>4668.18</x:v>
      </x:c>
      <x:c r="G661" s="42" t="n">
        <x:v>233.41</x:v>
      </x:c>
      <x:c r="H661" s="42" t="n">
        <x:v>99203.53</x:v>
      </x:c>
      <x:c r="I661" s="39" t="n">
        <x:v>46037</x:v>
      </x:c>
    </x:row>
    <x:row r="662">
      <x:c r="A662" s="21" t="str">
        <x:v>SYN-0189</x:v>
      </x:c>
      <x:c r="B662" s="21" t="str">
        <x:v>Synthetic Supplier 0189 LLC</x:v>
      </x:c>
      <x:c r="C662" s="38" t="str">
        <x:f>"900 000 000 000 189"</x:f>
        <x:v>900 000 000 000 189</x:v>
      </x:c>
      <x:c r="D662" s="21" t="str">
        <x:v>SYN-0189-INV-03</x:v>
      </x:c>
      <x:c r="E662" s="39" t="n">
        <x:v>46010</x:v>
      </x:c>
      <x:c r="F662" s="42" t="n">
        <x:v>9614.81</x:v>
      </x:c>
      <x:c r="G662" s="42" t="n">
        <x:v>480.74</x:v>
      </x:c>
      <x:c r="H662" s="42" t="n">
        <x:v>99203.53</x:v>
      </x:c>
      <x:c r="I662" s="39" t="n">
        <x:v>46037</x:v>
      </x:c>
    </x:row>
    <x:row r="663">
      <x:c r="A663" s="21" t="str">
        <x:v>SYN-0190</x:v>
      </x:c>
      <x:c r="B663" s="21" t="str">
        <x:v>Synthetic Supplier 0190 LLC</x:v>
      </x:c>
      <x:c r="C663" s="38" t="str">
        <x:f>"900 000 000 000 190"</x:f>
        <x:v>900 000 000 000 190</x:v>
      </x:c>
      <x:c r="D663" s="21" t="str">
        <x:v>SYN-0190-INV-01</x:v>
      </x:c>
      <x:c r="E663" s="39" t="n">
        <x:v>46289</x:v>
      </x:c>
      <x:c r="F663" s="42" t="n">
        <x:v>6874.3</x:v>
      </x:c>
      <x:c r="G663" s="42" t="n">
        <x:v>343.71</x:v>
      </x:c>
      <x:c r="H663" s="42" t="n">
        <x:v>21574.23</x:v>
      </x:c>
      <x:c r="I663" s="39"/>
    </x:row>
    <x:row r="664">
      <x:c r="A664" s="21" t="str">
        <x:v>SYN-0190</x:v>
      </x:c>
      <x:c r="B664" s="21" t="str">
        <x:v>Synthetic Supplier 0190 LLC</x:v>
      </x:c>
      <x:c r="C664" s="38" t="str">
        <x:f>"900 000 000 000 190"</x:f>
        <x:v>900 000 000 000 190</x:v>
      </x:c>
      <x:c r="D664" s="21" t="str">
        <x:v>SYN-0190-INV-02</x:v>
      </x:c>
      <x:c r="E664" s="39" t="n">
        <x:v>45976</x:v>
      </x:c>
      <x:c r="F664" s="42" t="n">
        <x:v>6193.4</x:v>
      </x:c>
      <x:c r="G664" s="42" t="n">
        <x:v>309.67</x:v>
      </x:c>
      <x:c r="H664" s="42" t="n">
        <x:v>21574.23</x:v>
      </x:c>
      <x:c r="I664" s="39"/>
    </x:row>
    <x:row r="665">
      <x:c r="A665" s="21" t="str">
        <x:v>SYN-0190</x:v>
      </x:c>
      <x:c r="B665" s="21" t="str">
        <x:v>Synthetic Supplier 0190 LLC</x:v>
      </x:c>
      <x:c r="C665" s="38" t="str">
        <x:f>"900 000 000 000 190"</x:f>
        <x:v>900 000 000 000 190</x:v>
      </x:c>
      <x:c r="D665" s="21" t="str">
        <x:v>SYN-0190-INV-03</x:v>
      </x:c>
      <x:c r="E665" s="39" t="n">
        <x:v>46023</x:v>
      </x:c>
      <x:c r="F665" s="42" t="n">
        <x:v>5876.04</x:v>
      </x:c>
      <x:c r="G665" s="42" t="n">
        <x:v>293.8</x:v>
      </x:c>
      <x:c r="H665" s="42" t="n">
        <x:v>21574.23</x:v>
      </x:c>
      <x:c r="I665" s="39"/>
    </x:row>
    <x:row r="666">
      <x:c r="A666" s="21" t="str">
        <x:v>SYN-0190</x:v>
      </x:c>
      <x:c r="B666" s="21" t="str">
        <x:v>Synthetic Supplier 0190 LLC</x:v>
      </x:c>
      <x:c r="C666" s="38" t="str">
        <x:f>"900 000 000 000 190"</x:f>
        <x:v>900 000 000 000 190</x:v>
      </x:c>
      <x:c r="D666" s="21" t="str">
        <x:v>SYN-0190-INV-04</x:v>
      </x:c>
      <x:c r="E666" s="39" t="n">
        <x:v>46070</x:v>
      </x:c>
      <x:c r="F666" s="42" t="n">
        <x:v>5027.63</x:v>
      </x:c>
      <x:c r="G666" s="42" t="n">
        <x:v>251.38</x:v>
      </x:c>
      <x:c r="H666" s="42" t="n">
        <x:v>21574.23</x:v>
      </x:c>
      <x:c r="I666" s="39"/>
    </x:row>
    <x:row r="667">
      <x:c r="A667" s="21" t="str">
        <x:v>SYN-0191</x:v>
      </x:c>
      <x:c r="B667" s="21" t="str">
        <x:v>Synthetic Supplier 0191 LLC</x:v>
      </x:c>
      <x:c r="C667" s="38" t="str">
        <x:f>"900 000 000 000 191"</x:f>
        <x:v>900 000 000 000 191</x:v>
      </x:c>
      <x:c r="D667" s="21" t="str">
        <x:v>SYN-0191-INV-01</x:v>
      </x:c>
      <x:c r="E667" s="39" t="n">
        <x:v>45942</x:v>
      </x:c>
      <x:c r="F667" s="42" t="n">
        <x:v>1196.19</x:v>
      </x:c>
      <x:c r="G667" s="42" t="n">
        <x:v>59.81</x:v>
      </x:c>
      <x:c r="H667" s="42" t="n">
        <x:v>5014.54</x:v>
      </x:c>
      <x:c r="I667" s="39" t="n">
        <x:v>46098</x:v>
      </x:c>
    </x:row>
    <x:row r="668">
      <x:c r="A668" s="21" t="str">
        <x:v>SYN-0191</x:v>
      </x:c>
      <x:c r="B668" s="21" t="str">
        <x:v>Synthetic Supplier 0191 LLC</x:v>
      </x:c>
      <x:c r="C668" s="38" t="str">
        <x:f>"900 000 000 000 191"</x:f>
        <x:v>900 000 000 000 191</x:v>
      </x:c>
      <x:c r="D668" s="21" t="str">
        <x:v>SYN-0191-INV-02</x:v>
      </x:c>
      <x:c r="E668" s="39" t="n">
        <x:v>45989</x:v>
      </x:c>
      <x:c r="F668" s="42" t="n">
        <x:v>1232.96</x:v>
      </x:c>
      <x:c r="G668" s="42" t="n">
        <x:v>61.65</x:v>
      </x:c>
      <x:c r="H668" s="42" t="n">
        <x:v>5014.54</x:v>
      </x:c>
      <x:c r="I668" s="39" t="n">
        <x:v>46098</x:v>
      </x:c>
    </x:row>
    <x:row r="669">
      <x:c r="A669" s="21" t="str">
        <x:v>SYN-0191</x:v>
      </x:c>
      <x:c r="B669" s="21" t="str">
        <x:v>Synthetic Supplier 0191 LLC</x:v>
      </x:c>
      <x:c r="C669" s="38" t="str">
        <x:f>"900 000 000 000 191"</x:f>
        <x:v>900 000 000 000 191</x:v>
      </x:c>
      <x:c r="D669" s="21" t="str">
        <x:v>SYN-0191-INV-03</x:v>
      </x:c>
      <x:c r="E669" s="39" t="n">
        <x:v>46036</x:v>
      </x:c>
      <x:c r="F669" s="42" t="n">
        <x:v>1216.64</x:v>
      </x:c>
      <x:c r="G669" s="42" t="n">
        <x:v>60.83</x:v>
      </x:c>
      <x:c r="H669" s="42" t="n">
        <x:v>5014.54</x:v>
      </x:c>
      <x:c r="I669" s="39" t="n">
        <x:v>46098</x:v>
      </x:c>
    </x:row>
    <x:row r="670">
      <x:c r="A670" s="21" t="str">
        <x:v>SYN-0191</x:v>
      </x:c>
      <x:c r="B670" s="21" t="str">
        <x:v>Synthetic Supplier 0191 LLC</x:v>
      </x:c>
      <x:c r="C670" s="38" t="str">
        <x:f>"900 000 000 000 191"</x:f>
        <x:v>900 000 000 000 191</x:v>
      </x:c>
      <x:c r="D670" s="21" t="str">
        <x:v>SYN-0191-INV-04</x:v>
      </x:c>
      <x:c r="E670" s="39" t="n">
        <x:v>46083</x:v>
      </x:c>
      <x:c r="F670" s="42" t="n">
        <x:v>1265.66</x:v>
      </x:c>
      <x:c r="G670" s="42" t="n">
        <x:v>63.28</x:v>
      </x:c>
      <x:c r="H670" s="42" t="n">
        <x:v>5014.54</x:v>
      </x:c>
      <x:c r="I670" s="39" t="n">
        <x:v>46098</x:v>
      </x:c>
    </x:row>
    <x:row r="671">
      <x:c r="A671" s="21" t="str">
        <x:v>SYN-0191</x:v>
      </x:c>
      <x:c r="B671" s="21" t="str">
        <x:v>Synthetic Supplier 0191 LLC</x:v>
      </x:c>
      <x:c r="C671" s="38" t="str">
        <x:f>"900 000 000 000 191"</x:f>
        <x:v>900 000 000 000 191</x:v>
      </x:c>
      <x:c r="D671" s="21" t="str">
        <x:v>SYN-0191-INV-05</x:v>
      </x:c>
      <x:c r="E671" s="39" t="n">
        <x:v>46130</x:v>
      </x:c>
      <x:c r="F671" s="42" t="n">
        <x:v>660.27</x:v>
      </x:c>
      <x:c r="G671" s="42" t="n">
        <x:v>33.01</x:v>
      </x:c>
      <x:c r="H671" s="42" t="n">
        <x:v>5014.54</x:v>
      </x:c>
      <x:c r="I671" s="39" t="n">
        <x:v>46098</x:v>
      </x:c>
    </x:row>
    <x:row r="672">
      <x:c r="A672" s="21" t="str">
        <x:v>SYN-0192</x:v>
      </x:c>
      <x:c r="B672" s="21" t="str">
        <x:v>Synthetic Supplier 0192 LLC</x:v>
      </x:c>
      <x:c r="C672" s="38" t="str">
        <x:f>"900 000 000 000 192"</x:f>
        <x:v>900 000 000 000 192</x:v>
      </x:c>
      <x:c r="D672" s="21" t="str">
        <x:v>SYN-0192-INV-01</x:v>
      </x:c>
      <x:c r="E672" s="39" t="n">
        <x:v>45955</x:v>
      </x:c>
      <x:c r="F672" s="42" t="n">
        <x:v>4785.86</x:v>
      </x:c>
      <x:c r="G672" s="42" t="n">
        <x:v>239.29</x:v>
      </x:c>
      <x:c r="H672" s="42" t="n">
        <x:v>11520.95</x:v>
      </x:c>
      <x:c r="I672" s="39" t="n">
        <x:v>45765</x:v>
      </x:c>
    </x:row>
    <x:row r="673">
      <x:c r="A673" s="21" t="str">
        <x:v>SYN-0192</x:v>
      </x:c>
      <x:c r="B673" s="21" t="str">
        <x:v>Synthetic Supplier 0192 LLC</x:v>
      </x:c>
      <x:c r="C673" s="38" t="str">
        <x:f>"900 000 000 000 192"</x:f>
        <x:v>900 000 000 000 192</x:v>
      </x:c>
      <x:c r="D673" s="21" t="str">
        <x:v>SYN-0192-INV-02</x:v>
      </x:c>
      <x:c r="E673" s="39" t="n">
        <x:v>46002</x:v>
      </x:c>
      <x:c r="F673" s="42" t="n">
        <x:v>8015.2</x:v>
      </x:c>
      <x:c r="G673" s="42" t="n">
        <x:v>400.76</x:v>
      </x:c>
      <x:c r="H673" s="42" t="n">
        <x:v>11520.95</x:v>
      </x:c>
      <x:c r="I673" s="39" t="n">
        <x:v>45765</x:v>
      </x:c>
    </x:row>
    <x:row r="674">
      <x:c r="A674" s="21" t="str">
        <x:v>SYN-0193</x:v>
      </x:c>
      <x:c r="B674" s="21" t="str">
        <x:v>Synthetic Supplier 0193 LLC</x:v>
      </x:c>
      <x:c r="C674" s="38" t="str">
        <x:f>"900 000 000 000 193"</x:f>
        <x:v>900 000 000 000 193</x:v>
      </x:c>
      <x:c r="D674" s="21" t="str">
        <x:v>SYN-0193-INV-01</x:v>
      </x:c>
      <x:c r="E674" s="39" t="n">
        <x:v>45968</x:v>
      </x:c>
      <x:c r="F674" s="42" t="n">
        <x:v>3160.45</x:v>
      </x:c>
      <x:c r="G674" s="42" t="n">
        <x:v>158.02</x:v>
      </x:c>
      <x:c r="H674" s="42" t="n">
        <x:v>7947.32</x:v>
      </x:c>
      <x:c r="I674" s="39" t="n">
        <x:v>46161</x:v>
      </x:c>
    </x:row>
    <x:row r="675">
      <x:c r="A675" s="21" t="str">
        <x:v>SYN-0193</x:v>
      </x:c>
      <x:c r="B675" s="21" t="str">
        <x:v>Synthetic Supplier 0193 LLC</x:v>
      </x:c>
      <x:c r="C675" s="38" t="str">
        <x:f>"900 000 000 000 193"</x:f>
        <x:v>900 000 000 000 193</x:v>
      </x:c>
      <x:c r="D675" s="21" t="str">
        <x:v>SYN-0193-INV-02</x:v>
      </x:c>
      <x:c r="E675" s="39" t="n">
        <x:v>46015</x:v>
      </x:c>
      <x:c r="F675" s="42" t="n">
        <x:v>2713.3</x:v>
      </x:c>
      <x:c r="G675" s="42" t="n">
        <x:v>135.66</x:v>
      </x:c>
      <x:c r="H675" s="42" t="n">
        <x:v>7947.32</x:v>
      </x:c>
      <x:c r="I675" s="39" t="n">
        <x:v>46161</x:v>
      </x:c>
    </x:row>
    <x:row r="676">
      <x:c r="A676" s="21" t="str">
        <x:v>SYN-0193</x:v>
      </x:c>
      <x:c r="B676" s="21" t="str">
        <x:v>Synthetic Supplier 0193 LLC</x:v>
      </x:c>
      <x:c r="C676" s="38" t="str">
        <x:f>"900 000 000 000 193"</x:f>
        <x:v>900 000 000 000 193</x:v>
      </x:c>
      <x:c r="D676" s="21" t="str">
        <x:v>SYN-0193-INV-03</x:v>
      </x:c>
      <x:c r="E676" s="39" t="n">
        <x:v>46062</x:v>
      </x:c>
      <x:c r="F676" s="42" t="n">
        <x:v>2956.61</x:v>
      </x:c>
      <x:c r="G676" s="42" t="n">
        <x:v>147.83</x:v>
      </x:c>
      <x:c r="H676" s="42" t="n">
        <x:v>7947.32</x:v>
      </x:c>
      <x:c r="I676" s="39" t="n">
        <x:v>46161</x:v>
      </x:c>
    </x:row>
    <x:row r="677">
      <x:c r="A677" s="21" t="str">
        <x:v>SYN-0194</x:v>
      </x:c>
      <x:c r="B677" s="21" t="str">
        <x:v>Synthetic Supplier 0194 LLC</x:v>
      </x:c>
      <x:c r="C677" s="38" t="str">
        <x:f>"900 000 000 000 194"</x:f>
        <x:v>900 000 000 000 194</x:v>
      </x:c>
      <x:c r="D677" s="21" t="str">
        <x:v>SYN-0194-INV-01</x:v>
      </x:c>
      <x:c r="E677" s="39" t="n">
        <x:v>45981</x:v>
      </x:c>
      <x:c r="F677" s="42" t="n">
        <x:v>2299.53</x:v>
      </x:c>
      <x:c r="G677" s="42" t="n">
        <x:v>114.98</x:v>
      </x:c>
      <x:c r="H677" s="42" t="n">
        <x:v>7982.96</x:v>
      </x:c>
      <x:c r="I677" s="39" t="n">
        <x:v>45828</x:v>
      </x:c>
    </x:row>
    <x:row r="678">
      <x:c r="A678" s="21" t="str">
        <x:v>SYN-0194</x:v>
      </x:c>
      <x:c r="B678" s="21" t="str">
        <x:v>Synthetic Supplier 0194 LLC</x:v>
      </x:c>
      <x:c r="C678" s="38" t="str">
        <x:f>"900 000 000 000 194"</x:f>
        <x:v>900 000 000 000 194</x:v>
      </x:c>
      <x:c r="D678" s="21" t="str">
        <x:v>SYN-0194-INV-02</x:v>
      </x:c>
      <x:c r="E678" s="39" t="n">
        <x:v>46028</x:v>
      </x:c>
      <x:c r="F678" s="42" t="n">
        <x:v>2558.21</x:v>
      </x:c>
      <x:c r="G678" s="42" t="n">
        <x:v>127.91</x:v>
      </x:c>
      <x:c r="H678" s="42" t="n">
        <x:v>7982.96</x:v>
      </x:c>
      <x:c r="I678" s="39" t="n">
        <x:v>45828</x:v>
      </x:c>
    </x:row>
    <x:row r="679">
      <x:c r="A679" s="21" t="str">
        <x:v>SYN-0194</x:v>
      </x:c>
      <x:c r="B679" s="21" t="str">
        <x:v>Synthetic Supplier 0194 LLC</x:v>
      </x:c>
      <x:c r="C679" s="38" t="str">
        <x:f>"900 000 000 000 194"</x:f>
        <x:v>900 000 000 000 194</x:v>
      </x:c>
      <x:c r="D679" s="21" t="str">
        <x:v>SYN-0194-INV-03</x:v>
      </x:c>
      <x:c r="E679" s="39" t="n">
        <x:v>46075</x:v>
      </x:c>
      <x:c r="F679" s="42" t="n">
        <x:v>2346.64</x:v>
      </x:c>
      <x:c r="G679" s="42" t="n">
        <x:v>117.33</x:v>
      </x:c>
      <x:c r="H679" s="42" t="n">
        <x:v>7982.96</x:v>
      </x:c>
      <x:c r="I679" s="39" t="n">
        <x:v>45828</x:v>
      </x:c>
    </x:row>
    <x:row r="680">
      <x:c r="A680" s="21" t="str">
        <x:v>SYN-0194</x:v>
      </x:c>
      <x:c r="B680" s="21" t="str">
        <x:v>Synthetic Supplier 0194 LLC</x:v>
      </x:c>
      <x:c r="C680" s="38" t="str">
        <x:f>"900 000 000 000 194"</x:f>
        <x:v>900 000 000 000 194</x:v>
      </x:c>
      <x:c r="D680" s="21" t="str">
        <x:v>SYN-0194-INV-04</x:v>
      </x:c>
      <x:c r="E680" s="39" t="n">
        <x:v>46122</x:v>
      </x:c>
      <x:c r="F680" s="42" t="n">
        <x:v>1665.58</x:v>
      </x:c>
      <x:c r="G680" s="42" t="n">
        <x:v>83.28</x:v>
      </x:c>
      <x:c r="H680" s="42" t="n">
        <x:v>7982.96</x:v>
      </x:c>
      <x:c r="I680" s="39" t="n">
        <x:v>45828</x:v>
      </x:c>
    </x:row>
    <x:row r="681">
      <x:c r="A681" s="21" t="str">
        <x:v>SYN-0195</x:v>
      </x:c>
      <x:c r="B681" s="21" t="str">
        <x:v>Synthetic Supplier 0195 LLC</x:v>
      </x:c>
      <x:c r="C681" s="38" t="str">
        <x:f>"900 000 000 000 195"</x:f>
        <x:v>900 000 000 000 195</x:v>
      </x:c>
      <x:c r="D681" s="21" t="str">
        <x:v>SYN-0195-INV-01</x:v>
      </x:c>
      <x:c r="E681" s="39" t="n">
        <x:v>45994</x:v>
      </x:c>
      <x:c r="F681" s="42" t="n">
        <x:v>3734.54</x:v>
      </x:c>
      <x:c r="G681" s="42" t="n">
        <x:v>186.73</x:v>
      </x:c>
      <x:c r="H681" s="42" t="n">
        <x:v>13727.69</x:v>
      </x:c>
      <x:c r="I681" s="39"/>
    </x:row>
    <x:row r="682">
      <x:c r="A682" s="21" t="str">
        <x:v>SYN-0195</x:v>
      </x:c>
      <x:c r="B682" s="21" t="str">
        <x:v>Synthetic Supplier 0195 LLC</x:v>
      </x:c>
      <x:c r="C682" s="38" t="str">
        <x:f>"900 000 000 000 195"</x:f>
        <x:v>900 000 000 000 195</x:v>
      </x:c>
      <x:c r="D682" s="21" t="str">
        <x:v>SYN-0195-INV-02</x:v>
      </x:c>
      <x:c r="E682" s="39" t="n">
        <x:v>46041</x:v>
      </x:c>
      <x:c r="F682" s="42" t="n">
        <x:v>3217.18</x:v>
      </x:c>
      <x:c r="G682" s="42" t="n">
        <x:v>160.86</x:v>
      </x:c>
      <x:c r="H682" s="42" t="n">
        <x:v>13727.69</x:v>
      </x:c>
      <x:c r="I682" s="39"/>
    </x:row>
    <x:row r="683">
      <x:c r="A683" s="21" t="str">
        <x:v>SYN-0195</x:v>
      </x:c>
      <x:c r="B683" s="21" t="str">
        <x:v>Synthetic Supplier 0195 LLC</x:v>
      </x:c>
      <x:c r="C683" s="38" t="str">
        <x:f>"900 000 000 000 195"</x:f>
        <x:v>900 000 000 000 195</x:v>
      </x:c>
      <x:c r="D683" s="21" t="str">
        <x:v>SYN-0195-INV-03</x:v>
      </x:c>
      <x:c r="E683" s="39" t="n">
        <x:v>46088</x:v>
      </x:c>
      <x:c r="F683" s="42" t="n">
        <x:v>2016.14</x:v>
      </x:c>
      <x:c r="G683" s="42" t="n">
        <x:v>100.81</x:v>
      </x:c>
      <x:c r="H683" s="42" t="n">
        <x:v>13727.69</x:v>
      </x:c>
      <x:c r="I683" s="39"/>
    </x:row>
    <x:row r="684">
      <x:c r="A684" s="21" t="str">
        <x:v>SYN-0195</x:v>
      </x:c>
      <x:c r="B684" s="21" t="str">
        <x:v>Synthetic Supplier 0195 LLC</x:v>
      </x:c>
      <x:c r="C684" s="38" t="str">
        <x:f>"900 000 000 000 195"</x:f>
        <x:v>900 000 000 000 195</x:v>
      </x:c>
      <x:c r="D684" s="21" t="str">
        <x:v>SYN-0195-INV-04</x:v>
      </x:c>
      <x:c r="E684" s="39" t="n">
        <x:v>46135</x:v>
      </x:c>
      <x:c r="F684" s="42" t="n">
        <x:v>3946.2</x:v>
      </x:c>
      <x:c r="G684" s="42" t="n">
        <x:v>197.31</x:v>
      </x:c>
      <x:c r="H684" s="42" t="n">
        <x:v>13727.69</x:v>
      </x:c>
      <x:c r="I684" s="39"/>
    </x:row>
    <x:row r="685">
      <x:c r="A685" s="21" t="str">
        <x:v>SYN-0195</x:v>
      </x:c>
      <x:c r="B685" s="21" t="str">
        <x:v>Synthetic Supplier 0195 LLC</x:v>
      </x:c>
      <x:c r="C685" s="38" t="str">
        <x:f>"900 000 000 000 195"</x:f>
        <x:v>900 000 000 000 195</x:v>
      </x:c>
      <x:c r="D685" s="21" t="str">
        <x:v>SYN-0195-INV-05</x:v>
      </x:c>
      <x:c r="E685" s="39" t="n">
        <x:v>46182</x:v>
      </x:c>
      <x:c r="F685" s="42" t="n">
        <x:v>2338.92</x:v>
      </x:c>
      <x:c r="G685" s="42" t="n">
        <x:v>116.95</x:v>
      </x:c>
      <x:c r="H685" s="42" t="n">
        <x:v>13727.69</x:v>
      </x:c>
      <x:c r="I685" s="39"/>
    </x:row>
    <x:row r="686">
      <x:c r="A686" s="21" t="str">
        <x:v>SYN-0196</x:v>
      </x:c>
      <x:c r="B686" s="21" t="str">
        <x:v>Synthetic Supplier 0196 LLC</x:v>
      </x:c>
      <x:c r="C686" s="38" t="str">
        <x:f>"900 000 000 000 196"</x:f>
        <x:v>900 000 000 000 196</x:v>
      </x:c>
      <x:c r="D686" s="21" t="str">
        <x:v>SYN-0196-INV-01</x:v>
      </x:c>
      <x:c r="E686" s="39" t="n">
        <x:v>46007</x:v>
      </x:c>
      <x:c r="F686" s="42" t="n">
        <x:v>5939.11</x:v>
      </x:c>
      <x:c r="G686" s="42" t="n">
        <x:v>296.96</x:v>
      </x:c>
      <x:c r="H686" s="42" t="n">
        <x:v>64896.18</x:v>
      </x:c>
      <x:c r="I686" s="39" t="n">
        <x:v>45891</x:v>
      </x:c>
    </x:row>
    <x:row r="687">
      <x:c r="A687" s="21" t="str">
        <x:v>SYN-0196</x:v>
      </x:c>
      <x:c r="B687" s="21" t="str">
        <x:v>Synthetic Supplier 0196 LLC</x:v>
      </x:c>
      <x:c r="C687" s="38" t="str">
        <x:f>"900 000 000 000 196"</x:f>
        <x:v>900 000 000 000 196</x:v>
      </x:c>
      <x:c r="D687" s="21" t="str">
        <x:v>SYN-0196-INV-02</x:v>
      </x:c>
      <x:c r="E687" s="39" t="n">
        <x:v>46054</x:v>
      </x:c>
      <x:c r="F687" s="42" t="n">
        <x:v>8482.26</x:v>
      </x:c>
      <x:c r="G687" s="42" t="n">
        <x:v>424.11</x:v>
      </x:c>
      <x:c r="H687" s="42" t="n">
        <x:v>64896.18</x:v>
      </x:c>
      <x:c r="I687" s="39" t="n">
        <x:v>45891</x:v>
      </x:c>
    </x:row>
    <x:row r="688">
      <x:c r="A688" s="21" t="str">
        <x:v>SYN-0197</x:v>
      </x:c>
      <x:c r="B688" s="21" t="str">
        <x:v>Synthetic Supplier 0197 LLC</x:v>
      </x:c>
      <x:c r="C688" s="38" t="str">
        <x:f>"900 000 000 000 197"</x:f>
        <x:v>900 000 000 000 197</x:v>
      </x:c>
      <x:c r="D688" s="21" t="str">
        <x:v>SYN-0197-INV-01</x:v>
      </x:c>
      <x:c r="E688" s="39" t="n">
        <x:v>46020</x:v>
      </x:c>
      <x:c r="F688" s="42" t="n">
        <x:v>3422.22</x:v>
      </x:c>
      <x:c r="G688" s="42" t="n">
        <x:v>171.11</x:v>
      </x:c>
      <x:c r="H688" s="42" t="n">
        <x:v>9631.64</x:v>
      </x:c>
      <x:c r="I688" s="39" t="n">
        <x:v>46288</x:v>
      </x:c>
    </x:row>
    <x:row r="689">
      <x:c r="A689" s="21" t="str">
        <x:v>SYN-0197</x:v>
      </x:c>
      <x:c r="B689" s="21" t="str">
        <x:v>Synthetic Supplier 0197 LLC</x:v>
      </x:c>
      <x:c r="C689" s="38" t="str">
        <x:f>"900 000 000 000 197"</x:f>
        <x:v>900 000 000 000 197</x:v>
      </x:c>
      <x:c r="D689" s="21" t="str">
        <x:v>SYN-0197-INV-02</x:v>
      </x:c>
      <x:c r="E689" s="39" t="n">
        <x:v>46067</x:v>
      </x:c>
      <x:c r="F689" s="42" t="n">
        <x:v>3070.2</x:v>
      </x:c>
      <x:c r="G689" s="42" t="n">
        <x:v>153.51</x:v>
      </x:c>
      <x:c r="H689" s="42" t="n">
        <x:v>9631.64</x:v>
      </x:c>
      <x:c r="I689" s="39" t="n">
        <x:v>46288</x:v>
      </x:c>
    </x:row>
    <x:row r="690">
      <x:c r="A690" s="21" t="str">
        <x:v>SYN-0197</x:v>
      </x:c>
      <x:c r="B690" s="21" t="str">
        <x:v>Synthetic Supplier 0197 LLC</x:v>
      </x:c>
      <x:c r="C690" s="38" t="str">
        <x:f>"900 000 000 000 197"</x:f>
        <x:v>900 000 000 000 197</x:v>
      </x:c>
      <x:c r="D690" s="21" t="str">
        <x:v>SYN-0197-INV-03</x:v>
      </x:c>
      <x:c r="E690" s="39" t="n">
        <x:v>46114</x:v>
      </x:c>
      <x:c r="F690" s="42" t="n">
        <x:v>4209.4</x:v>
      </x:c>
      <x:c r="G690" s="42" t="n">
        <x:v>210.47</x:v>
      </x:c>
      <x:c r="H690" s="42" t="n">
        <x:v>9631.64</x:v>
      </x:c>
      <x:c r="I690" s="39" t="n">
        <x:v>46288</x:v>
      </x:c>
    </x:row>
    <x:row r="691">
      <x:c r="A691" s="21" t="str">
        <x:v>SYN-0198</x:v>
      </x:c>
      <x:c r="B691" s="21" t="str">
        <x:v>Synthetic Supplier 0198 LLC</x:v>
      </x:c>
      <x:c r="C691" s="38" t="str">
        <x:f>"900 000 000 000 198"</x:f>
        <x:v>900 000 000 000 198</x:v>
      </x:c>
      <x:c r="D691" s="21" t="str">
        <x:v>SYN-0198-INV-01</x:v>
      </x:c>
      <x:c r="E691" s="39" t="n">
        <x:v>46033</x:v>
      </x:c>
      <x:c r="F691" s="42" t="n">
        <x:v>1734.43</x:v>
      </x:c>
      <x:c r="G691" s="42" t="n">
        <x:v>86.72</x:v>
      </x:c>
      <x:c r="H691" s="42" t="n">
        <x:v>5751.76</x:v>
      </x:c>
      <x:c r="I691" s="39" t="n">
        <x:v>45681</x:v>
      </x:c>
    </x:row>
    <x:row r="692">
      <x:c r="A692" s="21" t="str">
        <x:v>SYN-0198</x:v>
      </x:c>
      <x:c r="B692" s="21" t="str">
        <x:v>Synthetic Supplier 0198 LLC</x:v>
      </x:c>
      <x:c r="C692" s="38" t="str">
        <x:f>"900 000 000 000 198"</x:f>
        <x:v>900 000 000 000 198</x:v>
      </x:c>
      <x:c r="D692" s="21" t="str">
        <x:v>SYN-0198-INV-02</x:v>
      </x:c>
      <x:c r="E692" s="39" t="n">
        <x:v>46080</x:v>
      </x:c>
      <x:c r="F692" s="42" t="n">
        <x:v>1187.89</x:v>
      </x:c>
      <x:c r="G692" s="42" t="n">
        <x:v>59.39</x:v>
      </x:c>
      <x:c r="H692" s="42" t="n">
        <x:v>5751.76</x:v>
      </x:c>
      <x:c r="I692" s="39" t="n">
        <x:v>45681</x:v>
      </x:c>
    </x:row>
    <x:row r="693">
      <x:c r="A693" s="21" t="str">
        <x:v>SYN-0198</x:v>
      </x:c>
      <x:c r="B693" s="21" t="str">
        <x:v>Synthetic Supplier 0198 LLC</x:v>
      </x:c>
      <x:c r="C693" s="38" t="str">
        <x:f>"900 000 000 000 198"</x:f>
        <x:v>900 000 000 000 198</x:v>
      </x:c>
      <x:c r="D693" s="21" t="str">
        <x:v>SYN-0198-INV-03</x:v>
      </x:c>
      <x:c r="E693" s="39" t="n">
        <x:v>46127</x:v>
      </x:c>
      <x:c r="F693" s="42" t="n">
        <x:v>2065.76</x:v>
      </x:c>
      <x:c r="G693" s="42" t="n">
        <x:v>103.29</x:v>
      </x:c>
      <x:c r="H693" s="42" t="n">
        <x:v>5751.76</x:v>
      </x:c>
      <x:c r="I693" s="39" t="n">
        <x:v>45681</x:v>
      </x:c>
    </x:row>
    <x:row r="694">
      <x:c r="A694" s="21" t="str">
        <x:v>SYN-0198</x:v>
      </x:c>
      <x:c r="B694" s="21" t="str">
        <x:v>Synthetic Supplier 0198 LLC</x:v>
      </x:c>
      <x:c r="C694" s="38" t="str">
        <x:f>"900 000 000 000 198"</x:f>
        <x:v>900 000 000 000 198</x:v>
      </x:c>
      <x:c r="D694" s="21" t="str">
        <x:v>SYN-0198-INV-04</x:v>
      </x:c>
      <x:c r="E694" s="39" t="n">
        <x:v>46174</x:v>
      </x:c>
      <x:c r="F694" s="42" t="n">
        <x:v>1402.76</x:v>
      </x:c>
      <x:c r="G694" s="42" t="n">
        <x:v>70.14</x:v>
      </x:c>
      <x:c r="H694" s="42" t="n">
        <x:v>5751.76</x:v>
      </x:c>
      <x:c r="I694" s="39" t="n">
        <x:v>45681</x:v>
      </x:c>
    </x:row>
    <x:row r="695">
      <x:c r="A695" s="21" t="str">
        <x:v>SYN-0199</x:v>
      </x:c>
      <x:c r="B695" s="21" t="str">
        <x:v>Synthetic Supplier 0199 LLC</x:v>
      </x:c>
      <x:c r="C695" s="38" t="str">
        <x:f>"900 000 000 000 199"</x:f>
        <x:v>900 000 000 000 199</x:v>
      </x:c>
      <x:c r="D695" s="21" t="str">
        <x:v>SYN-0199-INV-01</x:v>
      </x:c>
      <x:c r="E695" s="39" t="n">
        <x:v>46046</x:v>
      </x:c>
      <x:c r="F695" s="42" t="n">
        <x:v>1743.5</x:v>
      </x:c>
      <x:c r="G695" s="42" t="n">
        <x:v>87.17</x:v>
      </x:c>
      <x:c r="H695" s="42" t="n">
        <x:v>11081.87</x:v>
      </x:c>
      <x:c r="I695" s="39" t="n">
        <x:v>46078</x:v>
      </x:c>
    </x:row>
    <x:row r="696">
      <x:c r="A696" s="21" t="str">
        <x:v>SYN-0199</x:v>
      </x:c>
      <x:c r="B696" s="21" t="str">
        <x:v>Synthetic Supplier 0199 LLC</x:v>
      </x:c>
      <x:c r="C696" s="38" t="str">
        <x:f>"900 000 000 000 199"</x:f>
        <x:v>900 000 000 000 199</x:v>
      </x:c>
      <x:c r="D696" s="21" t="str">
        <x:v>SYN-0199-INV-02</x:v>
      </x:c>
      <x:c r="E696" s="39" t="n">
        <x:v>46093</x:v>
      </x:c>
      <x:c r="F696" s="42" t="n">
        <x:v>2145.94</x:v>
      </x:c>
      <x:c r="G696" s="42" t="n">
        <x:v>107.3</x:v>
      </x:c>
      <x:c r="H696" s="42" t="n">
        <x:v>11081.87</x:v>
      </x:c>
      <x:c r="I696" s="39" t="n">
        <x:v>46078</x:v>
      </x:c>
    </x:row>
    <x:row r="697">
      <x:c r="A697" s="21" t="str">
        <x:v>SYN-0199</x:v>
      </x:c>
      <x:c r="B697" s="21" t="str">
        <x:v>Synthetic Supplier 0199 LLC</x:v>
      </x:c>
      <x:c r="C697" s="38" t="str">
        <x:f>"900 000 000 000 199"</x:f>
        <x:v>900 000 000 000 199</x:v>
      </x:c>
      <x:c r="D697" s="21" t="str">
        <x:v>SYN-0199-INV-03</x:v>
      </x:c>
      <x:c r="E697" s="39" t="n">
        <x:v>46140</x:v>
      </x:c>
      <x:c r="F697" s="42" t="n">
        <x:v>2225.48</x:v>
      </x:c>
      <x:c r="G697" s="42" t="n">
        <x:v>111.27</x:v>
      </x:c>
      <x:c r="H697" s="42" t="n">
        <x:v>11081.87</x:v>
      </x:c>
      <x:c r="I697" s="39" t="n">
        <x:v>46078</x:v>
      </x:c>
    </x:row>
    <x:row r="698">
      <x:c r="A698" s="21" t="str">
        <x:v>SYN-0199</x:v>
      </x:c>
      <x:c r="B698" s="21" t="str">
        <x:v>Synthetic Supplier 0199 LLC</x:v>
      </x:c>
      <x:c r="C698" s="38" t="str">
        <x:f>"900 000 000 000 199"</x:f>
        <x:v>900 000 000 000 199</x:v>
      </x:c>
      <x:c r="D698" s="21" t="str">
        <x:v>SYN-0199-INV-04</x:v>
      </x:c>
      <x:c r="E698" s="39" t="n">
        <x:v>46187</x:v>
      </x:c>
      <x:c r="F698" s="42" t="n">
        <x:v>3158.98</x:v>
      </x:c>
      <x:c r="G698" s="42" t="n">
        <x:v>157.95</x:v>
      </x:c>
      <x:c r="H698" s="42" t="n">
        <x:v>11081.87</x:v>
      </x:c>
      <x:c r="I698" s="39" t="n">
        <x:v>46078</x:v>
      </x:c>
    </x:row>
    <x:row r="699">
      <x:c r="A699" s="21" t="str">
        <x:v>SYN-0199</x:v>
      </x:c>
      <x:c r="B699" s="21" t="str">
        <x:v>Synthetic Supplier 0199 LLC</x:v>
      </x:c>
      <x:c r="C699" s="38" t="str">
        <x:f>"900 000 000 000 199"</x:f>
        <x:v>900 000 000 000 199</x:v>
      </x:c>
      <x:c r="D699" s="21" t="str">
        <x:v>SYN-0199-INV-05</x:v>
      </x:c>
      <x:c r="E699" s="39" t="n">
        <x:v>46234</x:v>
      </x:c>
      <x:c r="F699" s="42" t="n">
        <x:v>3039.29</x:v>
      </x:c>
      <x:c r="G699" s="42" t="n">
        <x:v>151.96</x:v>
      </x:c>
      <x:c r="H699" s="42" t="n">
        <x:v>11081.87</x:v>
      </x:c>
      <x:c r="I699" s="39" t="n">
        <x:v>46078</x:v>
      </x:c>
    </x:row>
    <x:row r="700">
      <x:c r="A700" s="21" t="str">
        <x:v>SYN-0200</x:v>
      </x:c>
      <x:c r="B700" s="21" t="str">
        <x:v>Synthetic Supplier 0200 LLC</x:v>
      </x:c>
      <x:c r="C700" s="38" t="str">
        <x:f>"900 000 000 000 200"</x:f>
        <x:v>900 000 000 000 200</x:v>
      </x:c>
      <x:c r="D700" s="21" t="str">
        <x:v>SYN-0200-INV-01</x:v>
      </x:c>
      <x:c r="E700" s="39" t="n">
        <x:v>46059</x:v>
      </x:c>
      <x:c r="F700" s="42" t="n">
        <x:v>9533.77</x:v>
      </x:c>
      <x:c r="G700" s="42" t="n">
        <x:v>476.69</x:v>
      </x:c>
      <x:c r="H700" s="42" t="n">
        <x:v>23489.89</x:v>
      </x:c>
      <x:c r="I700" s="39"/>
    </x:row>
    <x:row r="701">
      <x:c r="A701" s="21" t="str">
        <x:v>SYN-0200</x:v>
      </x:c>
      <x:c r="B701" s="21" t="str">
        <x:v>Synthetic Supplier 0200 LLC</x:v>
      </x:c>
      <x:c r="C701" s="38" t="str">
        <x:f>"900 000 000 000 200"</x:f>
        <x:v>900 000 000 000 200</x:v>
      </x:c>
      <x:c r="D701" s="21" t="str">
        <x:v>SYN-0200-INV-02</x:v>
      </x:c>
      <x:c r="E701" s="39" t="n">
        <x:v>46106</x:v>
      </x:c>
      <x:c r="F701" s="42" t="n">
        <x:v>16566.12</x:v>
      </x:c>
      <x:c r="G701" s="42" t="n">
        <x:v>828.31</x:v>
      </x:c>
      <x:c r="H701" s="42" t="n">
        <x:v>23489.89</x:v>
      </x:c>
      <x:c r="I701" s="39"/>
    </x:row>
    <x:row r="702">
      <x:c r="A702" s="21" t="str">
        <x:v>SYN-0201</x:v>
      </x:c>
      <x:c r="B702" s="21" t="str">
        <x:v>Synthetic Supplier 0201 LLC</x:v>
      </x:c>
      <x:c r="C702" s="38" t="str">
        <x:f>"900 000 000 000 201"</x:f>
        <x:v>900 000 000 000 201</x:v>
      </x:c>
      <x:c r="D702" s="21" t="str">
        <x:v>SYN-0201-INV-01</x:v>
      </x:c>
      <x:c r="E702" s="39" t="n">
        <x:v>46072</x:v>
      </x:c>
      <x:c r="F702" s="42" t="n">
        <x:v>7298.32</x:v>
      </x:c>
      <x:c r="G702" s="42" t="n">
        <x:v>364.92</x:v>
      </x:c>
      <x:c r="H702" s="42" t="n">
        <x:v>25483.43</x:v>
      </x:c>
      <x:c r="I702" s="39" t="n">
        <x:v>46114</x:v>
      </x:c>
    </x:row>
    <x:row r="703">
      <x:c r="A703" s="21" t="str">
        <x:v>SYN-0201</x:v>
      </x:c>
      <x:c r="B703" s="21" t="str">
        <x:v>Synthetic Supplier 0201 LLC</x:v>
      </x:c>
      <x:c r="C703" s="38" t="str">
        <x:f>"900 000 000 000 201"</x:f>
        <x:v>900 000 000 000 201</x:v>
      </x:c>
      <x:c r="D703" s="21" t="str">
        <x:v>SYN-0201-INV-02</x:v>
      </x:c>
      <x:c r="E703" s="39" t="n">
        <x:v>46119</x:v>
      </x:c>
      <x:c r="F703" s="42" t="n">
        <x:v>10663.05</x:v>
      </x:c>
      <x:c r="G703" s="42" t="n">
        <x:v>533.15</x:v>
      </x:c>
      <x:c r="H703" s="42" t="n">
        <x:v>25483.43</x:v>
      </x:c>
      <x:c r="I703" s="39" t="n">
        <x:v>46114</x:v>
      </x:c>
    </x:row>
    <x:row r="704">
      <x:c r="A704" s="21" t="str">
        <x:v>SYN-0201</x:v>
      </x:c>
      <x:c r="B704" s="21" t="str">
        <x:v>Synthetic Supplier 0201 LLC</x:v>
      </x:c>
      <x:c r="C704" s="38" t="str">
        <x:f>"900 000 000 000 201"</x:f>
        <x:v>900 000 000 000 201</x:v>
      </x:c>
      <x:c r="D704" s="21" t="str">
        <x:v>SYN-0201-INV-03</x:v>
      </x:c>
      <x:c r="E704" s="39" t="n">
        <x:v>46166</x:v>
      </x:c>
      <x:c r="F704" s="42" t="n">
        <x:v>10353.56</x:v>
      </x:c>
      <x:c r="G704" s="42" t="n">
        <x:v>517.68</x:v>
      </x:c>
      <x:c r="H704" s="42" t="n">
        <x:v>25483.43</x:v>
      </x:c>
      <x:c r="I704" s="39" t="n">
        <x:v>46114</x:v>
      </x:c>
    </x:row>
    <x:row r="705">
      <x:c r="A705" s="21" t="str">
        <x:v>SYN-0202</x:v>
      </x:c>
      <x:c r="B705" s="21" t="str">
        <x:v>Synthetic Supplier 0202 LLC</x:v>
      </x:c>
      <x:c r="C705" s="38" t="str">
        <x:f>"900 000 000 000 202"</x:f>
        <x:v>900 000 000 000 202</x:v>
      </x:c>
      <x:c r="D705" s="21" t="str">
        <x:v>SYN-0202-INV-01</x:v>
      </x:c>
      <x:c r="E705" s="39" t="n">
        <x:v>46085</x:v>
      </x:c>
      <x:c r="F705" s="42" t="n">
        <x:v>6743.63</x:v>
      </x:c>
      <x:c r="G705" s="42" t="n">
        <x:v>337.18</x:v>
      </x:c>
      <x:c r="H705" s="42" t="n">
        <x:v>24932.74</x:v>
      </x:c>
      <x:c r="I705" s="39" t="n">
        <x:v>45780</x:v>
      </x:c>
    </x:row>
    <x:row r="706">
      <x:c r="A706" s="21" t="str">
        <x:v>SYN-0202</x:v>
      </x:c>
      <x:c r="B706" s="21" t="str">
        <x:v>Synthetic Supplier 0202 LLC</x:v>
      </x:c>
      <x:c r="C706" s="38" t="str">
        <x:f>"900 000 000 000 202"</x:f>
        <x:v>900 000 000 000 202</x:v>
      </x:c>
      <x:c r="D706" s="21" t="str">
        <x:v>SYN-0202-INV-02</x:v>
      </x:c>
      <x:c r="E706" s="39" t="n">
        <x:v>46132</x:v>
      </x:c>
      <x:c r="F706" s="42" t="n">
        <x:v>8668.03</x:v>
      </x:c>
      <x:c r="G706" s="42" t="n">
        <x:v>433.4</x:v>
      </x:c>
      <x:c r="H706" s="42" t="n">
        <x:v>24932.74</x:v>
      </x:c>
      <x:c r="I706" s="39" t="n">
        <x:v>45780</x:v>
      </x:c>
    </x:row>
    <x:row r="707">
      <x:c r="A707" s="21" t="str">
        <x:v>SYN-0202</x:v>
      </x:c>
      <x:c r="B707" s="21" t="str">
        <x:v>Synthetic Supplier 0202 LLC</x:v>
      </x:c>
      <x:c r="C707" s="38" t="str">
        <x:f>"900 000 000 000 202"</x:f>
        <x:v>900 000 000 000 202</x:v>
      </x:c>
      <x:c r="D707" s="21" t="str">
        <x:v>SYN-0202-INV-03</x:v>
      </x:c>
      <x:c r="E707" s="39" t="n">
        <x:v>46179</x:v>
      </x:c>
      <x:c r="F707" s="42" t="n">
        <x:v>8020.91</x:v>
      </x:c>
      <x:c r="G707" s="42" t="n">
        <x:v>401.05</x:v>
      </x:c>
      <x:c r="H707" s="42" t="n">
        <x:v>24932.74</x:v>
      </x:c>
      <x:c r="I707" s="39" t="n">
        <x:v>45780</x:v>
      </x:c>
    </x:row>
    <x:row r="708">
      <x:c r="A708" s="21" t="str">
        <x:v>SYN-0202</x:v>
      </x:c>
      <x:c r="B708" s="21" t="str">
        <x:v>Synthetic Supplier 0202 LLC</x:v>
      </x:c>
      <x:c r="C708" s="38" t="str">
        <x:f>"900 000 000 000 202"</x:f>
        <x:v>900 000 000 000 202</x:v>
      </x:c>
      <x:c r="D708" s="21" t="str">
        <x:v>SYN-0202-INV-04</x:v>
      </x:c>
      <x:c r="E708" s="39" t="n">
        <x:v>46226</x:v>
      </x:c>
      <x:c r="F708" s="42" t="n">
        <x:v>4270.48</x:v>
      </x:c>
      <x:c r="G708" s="42" t="n">
        <x:v>213.52</x:v>
      </x:c>
      <x:c r="H708" s="42" t="n">
        <x:v>24932.74</x:v>
      </x:c>
      <x:c r="I708" s="39" t="n">
        <x:v>45780</x:v>
      </x:c>
    </x:row>
    <x:row r="709">
      <x:c r="A709" s="21" t="str">
        <x:v>SYN-0203</x:v>
      </x:c>
      <x:c r="B709" s="21" t="str">
        <x:v>Synthetic Supplier 0203 LLC</x:v>
      </x:c>
      <x:c r="C709" s="38" t="str">
        <x:f>"900 000 000 000 203"</x:f>
        <x:v>900 000 000 000 203</x:v>
      </x:c>
      <x:c r="D709" s="21" t="str">
        <x:v>SYN-0203-INV-01</x:v>
      </x:c>
      <x:c r="E709" s="39" t="n">
        <x:v>46098</x:v>
      </x:c>
      <x:c r="F709" s="42" t="n">
        <x:v>2451.79</x:v>
      </x:c>
      <x:c r="G709" s="42" t="n">
        <x:v>122.59</x:v>
      </x:c>
      <x:c r="H709" s="42" t="n">
        <x:v>79876.29</x:v>
      </x:c>
      <x:c r="I709" s="39" t="n">
        <x:v>46177</x:v>
      </x:c>
    </x:row>
    <x:row r="710">
      <x:c r="A710" s="21" t="str">
        <x:v>SYN-0203</x:v>
      </x:c>
      <x:c r="B710" s="21" t="str">
        <x:v>Synthetic Supplier 0203 LLC</x:v>
      </x:c>
      <x:c r="C710" s="38" t="str">
        <x:f>"900 000 000 000 203"</x:f>
        <x:v>900 000 000 000 203</x:v>
      </x:c>
      <x:c r="D710" s="21" t="str">
        <x:v>SYN-0203-INV-02</x:v>
      </x:c>
      <x:c r="E710" s="39" t="n">
        <x:v>46145</x:v>
      </x:c>
      <x:c r="F710" s="42" t="n">
        <x:v>2644.64</x:v>
      </x:c>
      <x:c r="G710" s="42" t="n">
        <x:v>132.23</x:v>
      </x:c>
      <x:c r="H710" s="42" t="n">
        <x:v>79876.29</x:v>
      </x:c>
      <x:c r="I710" s="39" t="n">
        <x:v>46177</x:v>
      </x:c>
    </x:row>
    <x:row r="711">
      <x:c r="A711" s="21" t="str">
        <x:v>SYN-0203</x:v>
      </x:c>
      <x:c r="B711" s="21" t="str">
        <x:v>Synthetic Supplier 0203 LLC</x:v>
      </x:c>
      <x:c r="C711" s="38" t="str">
        <x:f>"900 000 000 000 203"</x:f>
        <x:v>900 000 000 000 203</x:v>
      </x:c>
      <x:c r="D711" s="21" t="str">
        <x:v>SYN-0203-INV-03</x:v>
      </x:c>
      <x:c r="E711" s="39" t="n">
        <x:v>46192</x:v>
      </x:c>
      <x:c r="F711" s="42" t="n">
        <x:v>5035.89</x:v>
      </x:c>
      <x:c r="G711" s="42" t="n">
        <x:v>251.79</x:v>
      </x:c>
      <x:c r="H711" s="42" t="n">
        <x:v>79876.29</x:v>
      </x:c>
      <x:c r="I711" s="39" t="n">
        <x:v>46177</x:v>
      </x:c>
    </x:row>
    <x:row r="712">
      <x:c r="A712" s="21" t="str">
        <x:v>SYN-0203</x:v>
      </x:c>
      <x:c r="B712" s="21" t="str">
        <x:v>Synthetic Supplier 0203 LLC</x:v>
      </x:c>
      <x:c r="C712" s="38" t="str">
        <x:f>"900 000 000 000 203"</x:f>
        <x:v>900 000 000 000 203</x:v>
      </x:c>
      <x:c r="D712" s="21" t="str">
        <x:v>SYN-0203-INV-04</x:v>
      </x:c>
      <x:c r="E712" s="39" t="n">
        <x:v>46239</x:v>
      </x:c>
      <x:c r="F712" s="42" t="n">
        <x:v>3875.35</x:v>
      </x:c>
      <x:c r="G712" s="42" t="n">
        <x:v>193.77</x:v>
      </x:c>
      <x:c r="H712" s="42" t="n">
        <x:v>79876.29</x:v>
      </x:c>
      <x:c r="I712" s="39" t="n">
        <x:v>46177</x:v>
      </x:c>
    </x:row>
    <x:row r="713">
      <x:c r="A713" s="21" t="str">
        <x:v>SYN-0203</x:v>
      </x:c>
      <x:c r="B713" s="21" t="str">
        <x:v>Synthetic Supplier 0203 LLC</x:v>
      </x:c>
      <x:c r="C713" s="38" t="str">
        <x:f>"900 000 000 000 203"</x:f>
        <x:v>900 000 000 000 203</x:v>
      </x:c>
      <x:c r="D713" s="21" t="str">
        <x:v>SYN-0203-INV-05</x:v>
      </x:c>
      <x:c r="E713" s="39" t="n">
        <x:v>46286</x:v>
      </x:c>
      <x:c r="F713" s="42" t="n">
        <x:v>3742.62</x:v>
      </x:c>
      <x:c r="G713" s="42" t="n">
        <x:v>187.13</x:v>
      </x:c>
      <x:c r="H713" s="42" t="n">
        <x:v>79876.29</x:v>
      </x:c>
      <x:c r="I713" s="39" t="n">
        <x:v>46177</x:v>
      </x:c>
    </x:row>
    <x:row r="714">
      <x:c r="A714" s="21" t="str">
        <x:v>SYN-0204</x:v>
      </x:c>
      <x:c r="B714" s="21" t="str">
        <x:v>Synthetic Supplier 0204 LLC</x:v>
      </x:c>
      <x:c r="C714" s="38" t="str">
        <x:f>"900 000 000 000 204"</x:f>
        <x:v>900 000 000 000 204</x:v>
      </x:c>
      <x:c r="D714" s="21" t="str">
        <x:v>SYN-0204-INV-01</x:v>
      </x:c>
      <x:c r="E714" s="39" t="n">
        <x:v>46111</x:v>
      </x:c>
      <x:c r="F714" s="42" t="n">
        <x:v>3205.21</x:v>
      </x:c>
      <x:c r="G714" s="42" t="n">
        <x:v>160.26</x:v>
      </x:c>
      <x:c r="H714" s="42" t="n">
        <x:v>8136.87</x:v>
      </x:c>
      <x:c r="I714" s="39" t="n">
        <x:v>45843</x:v>
      </x:c>
    </x:row>
    <x:row r="715">
      <x:c r="A715" s="21" t="str">
        <x:v>SYN-0204</x:v>
      </x:c>
      <x:c r="B715" s="21" t="str">
        <x:v>Synthetic Supplier 0204 LLC</x:v>
      </x:c>
      <x:c r="C715" s="38" t="str">
        <x:f>"900 000 000 000 204"</x:f>
        <x:v>900 000 000 000 204</x:v>
      </x:c>
      <x:c r="D715" s="21" t="str">
        <x:v>SYN-0204-INV-02</x:v>
      </x:c>
      <x:c r="E715" s="39" t="n">
        <x:v>46158</x:v>
      </x:c>
      <x:c r="F715" s="42" t="n">
        <x:v>5835.76</x:v>
      </x:c>
      <x:c r="G715" s="42" t="n">
        <x:v>291.79</x:v>
      </x:c>
      <x:c r="H715" s="42" t="n">
        <x:v>8136.87</x:v>
      </x:c>
      <x:c r="I715" s="39" t="n">
        <x:v>45843</x:v>
      </x:c>
    </x:row>
    <x:row r="716">
      <x:c r="A716" s="21" t="str">
        <x:v>SYN-0205</x:v>
      </x:c>
      <x:c r="B716" s="21" t="str">
        <x:v>Synthetic Supplier 0205 LLC</x:v>
      </x:c>
      <x:c r="C716" s="38" t="str">
        <x:f>"900 000 000 000 205"</x:f>
        <x:v>900 000 000 000 205</x:v>
      </x:c>
      <x:c r="D716" s="21" t="str">
        <x:v>SYN-0205-INV-01</x:v>
      </x:c>
      <x:c r="E716" s="39" t="n">
        <x:v>46124</x:v>
      </x:c>
      <x:c r="F716" s="42" t="n">
        <x:v>4930.72</x:v>
      </x:c>
      <x:c r="G716" s="42" t="n">
        <x:v>246.54</x:v>
      </x:c>
      <x:c r="H716" s="42" t="n">
        <x:v>18556.63</x:v>
      </x:c>
      <x:c r="I716" s="39"/>
    </x:row>
    <x:row r="717">
      <x:c r="A717" s="21" t="str">
        <x:v>SYN-0205</x:v>
      </x:c>
      <x:c r="B717" s="21" t="str">
        <x:v>Synthetic Supplier 0205 LLC</x:v>
      </x:c>
      <x:c r="C717" s="38" t="str">
        <x:f>"900 000 000 000 205"</x:f>
        <x:v>900 000 000 000 205</x:v>
      </x:c>
      <x:c r="D717" s="21" t="str">
        <x:v>SYN-0205-INV-02</x:v>
      </x:c>
      <x:c r="E717" s="39" t="n">
        <x:v>46171</x:v>
      </x:c>
      <x:c r="F717" s="42" t="n">
        <x:v>10924.7</x:v>
      </x:c>
      <x:c r="G717" s="42" t="n">
        <x:v>546.23</x:v>
      </x:c>
      <x:c r="H717" s="42" t="n">
        <x:v>18556.63</x:v>
      </x:c>
      <x:c r="I717" s="39"/>
    </x:row>
    <x:row r="718">
      <x:c r="A718" s="21" t="str">
        <x:v>SYN-0205</x:v>
      </x:c>
      <x:c r="B718" s="21" t="str">
        <x:v>Synthetic Supplier 0205 LLC</x:v>
      </x:c>
      <x:c r="C718" s="38" t="str">
        <x:f>"900 000 000 000 205"</x:f>
        <x:v>900 000 000 000 205</x:v>
      </x:c>
      <x:c r="D718" s="21" t="str">
        <x:v>SYN-0205-INV-03</x:v>
      </x:c>
      <x:c r="E718" s="39" t="n">
        <x:v>46218</x:v>
      </x:c>
      <x:c r="F718" s="42" t="n">
        <x:v>4763.06</x:v>
      </x:c>
      <x:c r="G718" s="42" t="n">
        <x:v>238.15</x:v>
      </x:c>
      <x:c r="H718" s="42" t="n">
        <x:v>18556.63</x:v>
      </x:c>
      <x:c r="I718" s="39"/>
    </x:row>
    <x:row r="719">
      <x:c r="A719" s="21" t="str">
        <x:v>SYN-0206</x:v>
      </x:c>
      <x:c r="B719" s="21" t="str">
        <x:v>Synthetic Supplier 0206 LLC</x:v>
      </x:c>
      <x:c r="C719" s="38" t="str">
        <x:f>"900 000 000 000 206"</x:f>
        <x:v>900 000 000 000 206</x:v>
      </x:c>
      <x:c r="D719" s="21" t="str">
        <x:v>SYN-0206-INV-01</x:v>
      </x:c>
      <x:c r="E719" s="39" t="n">
        <x:v>46137</x:v>
      </x:c>
      <x:c r="F719" s="42" t="n">
        <x:v>4420.02</x:v>
      </x:c>
      <x:c r="G719" s="42" t="n">
        <x:v>221</x:v>
      </x:c>
      <x:c r="H719" s="42" t="n">
        <x:v>24960.83</x:v>
      </x:c>
      <x:c r="I719" s="39" t="n">
        <x:v>45907</x:v>
      </x:c>
    </x:row>
    <x:row r="720">
      <x:c r="A720" s="21" t="str">
        <x:v>SYN-0206</x:v>
      </x:c>
      <x:c r="B720" s="21" t="str">
        <x:v>Synthetic Supplier 0206 LLC</x:v>
      </x:c>
      <x:c r="C720" s="38" t="str">
        <x:f>"900 000 000 000 206"</x:f>
        <x:v>900 000 000 000 206</x:v>
      </x:c>
      <x:c r="D720" s="21" t="str">
        <x:v>SYN-0206-INV-02</x:v>
      </x:c>
      <x:c r="E720" s="39" t="n">
        <x:v>46184</x:v>
      </x:c>
      <x:c r="F720" s="42" t="n">
        <x:v>9783.19</x:v>
      </x:c>
      <x:c r="G720" s="42" t="n">
        <x:v>489.16</x:v>
      </x:c>
      <x:c r="H720" s="42" t="n">
        <x:v>24960.83</x:v>
      </x:c>
      <x:c r="I720" s="39" t="n">
        <x:v>45907</x:v>
      </x:c>
    </x:row>
    <x:row r="721">
      <x:c r="A721" s="21" t="str">
        <x:v>SYN-0206</x:v>
      </x:c>
      <x:c r="B721" s="21" t="str">
        <x:v>Synthetic Supplier 0206 LLC</x:v>
      </x:c>
      <x:c r="C721" s="38" t="str">
        <x:f>"900 000 000 000 206"</x:f>
        <x:v>900 000 000 000 206</x:v>
      </x:c>
      <x:c r="D721" s="21" t="str">
        <x:v>SYN-0206-INV-03</x:v>
      </x:c>
      <x:c r="E721" s="39" t="n">
        <x:v>46231</x:v>
      </x:c>
      <x:c r="F721" s="42" t="n">
        <x:v>5629.04</x:v>
      </x:c>
      <x:c r="G721" s="42" t="n">
        <x:v>281.45</x:v>
      </x:c>
      <x:c r="H721" s="42" t="n">
        <x:v>24960.83</x:v>
      </x:c>
      <x:c r="I721" s="39" t="n">
        <x:v>45907</x:v>
      </x:c>
    </x:row>
    <x:row r="722">
      <x:c r="A722" s="21" t="str">
        <x:v>SYN-0206</x:v>
      </x:c>
      <x:c r="B722" s="21" t="str">
        <x:v>Synthetic Supplier 0206 LLC</x:v>
      </x:c>
      <x:c r="C722" s="38" t="str">
        <x:f>"900 000 000 000 206"</x:f>
        <x:v>900 000 000 000 206</x:v>
      </x:c>
      <x:c r="D722" s="21" t="str">
        <x:v>SYN-0206-INV-04</x:v>
      </x:c>
      <x:c r="E722" s="39" t="n">
        <x:v>46278</x:v>
      </x:c>
      <x:c r="F722" s="42" t="n">
        <x:v>7902</x:v>
      </x:c>
      <x:c r="G722" s="42" t="n">
        <x:v>395.1</x:v>
      </x:c>
      <x:c r="H722" s="42" t="n">
        <x:v>24960.83</x:v>
      </x:c>
      <x:c r="I722" s="39" t="n">
        <x:v>45907</x:v>
      </x:c>
    </x:row>
    <x:row r="723">
      <x:c r="A723" s="21" t="str">
        <x:v>SYN-0207</x:v>
      </x:c>
      <x:c r="B723" s="21" t="str">
        <x:v>Synthetic Supplier 0207 LLC</x:v>
      </x:c>
      <x:c r="C723" s="38" t="str">
        <x:f>"900 000 000 000 207"</x:f>
        <x:v>900 000 000 000 207</x:v>
      </x:c>
      <x:c r="D723" s="21" t="str">
        <x:v>SYN-0207-INV-01</x:v>
      </x:c>
      <x:c r="E723" s="39" t="n">
        <x:v>46150</x:v>
      </x:c>
      <x:c r="F723" s="42" t="n">
        <x:v>4419.8</x:v>
      </x:c>
      <x:c r="G723" s="42" t="n">
        <x:v>220.99</x:v>
      </x:c>
      <x:c r="H723" s="42" t="n">
        <x:v>23407.54</x:v>
      </x:c>
      <x:c r="I723" s="39" t="n">
        <x:v>46030</x:v>
      </x:c>
    </x:row>
    <x:row r="724">
      <x:c r="A724" s="21" t="str">
        <x:v>SYN-0207</x:v>
      </x:c>
      <x:c r="B724" s="21" t="str">
        <x:v>Synthetic Supplier 0207 LLC</x:v>
      </x:c>
      <x:c r="C724" s="38" t="str">
        <x:f>"900 000 000 000 207"</x:f>
        <x:v>900 000 000 000 207</x:v>
      </x:c>
      <x:c r="D724" s="21" t="str">
        <x:v>SYN-0207-INV-02</x:v>
      </x:c>
      <x:c r="E724" s="39" t="n">
        <x:v>46197</x:v>
      </x:c>
      <x:c r="F724" s="42" t="n">
        <x:v>5537.48</x:v>
      </x:c>
      <x:c r="G724" s="42" t="n">
        <x:v>276.87</x:v>
      </x:c>
      <x:c r="H724" s="42" t="n">
        <x:v>23407.54</x:v>
      </x:c>
      <x:c r="I724" s="39" t="n">
        <x:v>46030</x:v>
      </x:c>
    </x:row>
    <x:row r="725">
      <x:c r="A725" s="21" t="str">
        <x:v>SYN-0207</x:v>
      </x:c>
      <x:c r="B725" s="21" t="str">
        <x:v>Synthetic Supplier 0207 LLC</x:v>
      </x:c>
      <x:c r="C725" s="38" t="str">
        <x:f>"900 000 000 000 207"</x:f>
        <x:v>900 000 000 000 207</x:v>
      </x:c>
      <x:c r="D725" s="21" t="str">
        <x:v>SYN-0207-INV-03</x:v>
      </x:c>
      <x:c r="E725" s="39" t="n">
        <x:v>46244</x:v>
      </x:c>
      <x:c r="F725" s="42" t="n">
        <x:v>6982.24</x:v>
      </x:c>
      <x:c r="G725" s="42" t="n">
        <x:v>349.11</x:v>
      </x:c>
      <x:c r="H725" s="42" t="n">
        <x:v>23407.54</x:v>
      </x:c>
      <x:c r="I725" s="39" t="n">
        <x:v>46030</x:v>
      </x:c>
    </x:row>
    <x:row r="726">
      <x:c r="A726" s="21" t="str">
        <x:v>SYN-0207</x:v>
      </x:c>
      <x:c r="B726" s="21" t="str">
        <x:v>Synthetic Supplier 0207 LLC</x:v>
      </x:c>
      <x:c r="C726" s="38" t="str">
        <x:f>"900 000 000 000 207"</x:f>
        <x:v>900 000 000 000 207</x:v>
      </x:c>
      <x:c r="D726" s="21" t="str">
        <x:v>SYN-0207-INV-04</x:v>
      </x:c>
      <x:c r="E726" s="39" t="n">
        <x:v>46291</x:v>
      </x:c>
      <x:c r="F726" s="42" t="n">
        <x:v>4040.69</x:v>
      </x:c>
      <x:c r="G726" s="42" t="n">
        <x:v>202.03</x:v>
      </x:c>
      <x:c r="H726" s="42" t="n">
        <x:v>23407.54</x:v>
      </x:c>
      <x:c r="I726" s="39" t="n">
        <x:v>46030</x:v>
      </x:c>
    </x:row>
    <x:row r="727">
      <x:c r="A727" s="21" t="str">
        <x:v>SYN-0207</x:v>
      </x:c>
      <x:c r="B727" s="21" t="str">
        <x:v>Synthetic Supplier 0207 LLC</x:v>
      </x:c>
      <x:c r="C727" s="38" t="str">
        <x:f>"900 000 000 000 207"</x:f>
        <x:v>900 000 000 000 207</x:v>
      </x:c>
      <x:c r="D727" s="21" t="str">
        <x:v>SYN-0207-INV-05</x:v>
      </x:c>
      <x:c r="E727" s="39" t="n">
        <x:v>45978</x:v>
      </x:c>
      <x:c r="F727" s="42" t="n">
        <x:v>5028.16</x:v>
      </x:c>
      <x:c r="G727" s="42" t="n">
        <x:v>251.41</x:v>
      </x:c>
      <x:c r="H727" s="42" t="n">
        <x:v>23407.54</x:v>
      </x:c>
      <x:c r="I727" s="39" t="n">
        <x:v>46030</x:v>
      </x:c>
    </x:row>
    <x:row r="728">
      <x:c r="A728" s="21" t="str">
        <x:v>SYN-0208</x:v>
      </x:c>
      <x:c r="B728" s="21" t="str">
        <x:v>Synthetic Supplier 0208 LLC</x:v>
      </x:c>
      <x:c r="C728" s="38" t="str">
        <x:f>"900 000 000 000 208"</x:f>
        <x:v>900 000 000 000 208</x:v>
      </x:c>
      <x:c r="D728" s="21" t="str">
        <x:v>SYN-0208-INV-01</x:v>
      </x:c>
      <x:c r="E728" s="39" t="n">
        <x:v>46163</x:v>
      </x:c>
      <x:c r="F728" s="42" t="n">
        <x:v>17158.87</x:v>
      </x:c>
      <x:c r="G728" s="42" t="n">
        <x:v>857.94</x:v>
      </x:c>
      <x:c r="H728" s="42" t="n">
        <x:v>24742.62</x:v>
      </x:c>
      <x:c r="I728" s="39" t="n">
        <x:v>45697</x:v>
      </x:c>
    </x:row>
    <x:row r="729">
      <x:c r="A729" s="21" t="str">
        <x:v>SYN-0208</x:v>
      </x:c>
      <x:c r="B729" s="21" t="str">
        <x:v>Synthetic Supplier 0208 LLC</x:v>
      </x:c>
      <x:c r="C729" s="38" t="str">
        <x:f>"900 000 000 000 208"</x:f>
        <x:v>900 000 000 000 208</x:v>
      </x:c>
      <x:c r="D729" s="21" t="str">
        <x:v>SYN-0208-INV-02</x:v>
      </x:c>
      <x:c r="E729" s="39" t="n">
        <x:v>46210</x:v>
      </x:c>
      <x:c r="F729" s="42" t="n">
        <x:v>10332.93</x:v>
      </x:c>
      <x:c r="G729" s="42" t="n">
        <x:v>516.65</x:v>
      </x:c>
      <x:c r="H729" s="42" t="n">
        <x:v>24742.62</x:v>
      </x:c>
      <x:c r="I729" s="39" t="n">
        <x:v>45697</x:v>
      </x:c>
    </x:row>
    <x:row r="730">
      <x:c r="A730" s="21" t="str">
        <x:v>SYN-0209</x:v>
      </x:c>
      <x:c r="B730" s="21" t="str">
        <x:v>Synthetic Supplier 0209 LLC</x:v>
      </x:c>
      <x:c r="C730" s="38" t="str">
        <x:f>"900 000 000 000 209"</x:f>
        <x:v>900 000 000 000 209</x:v>
      </x:c>
      <x:c r="D730" s="21" t="str">
        <x:v>SYN-0209-INV-01</x:v>
      </x:c>
      <x:c r="E730" s="39" t="n">
        <x:v>46176</x:v>
      </x:c>
      <x:c r="F730" s="42" t="n">
        <x:v>10920.91</x:v>
      </x:c>
      <x:c r="G730" s="42" t="n">
        <x:v>546.05</x:v>
      </x:c>
      <x:c r="H730" s="42" t="n">
        <x:v>20178.13</x:v>
      </x:c>
      <x:c r="I730" s="39" t="n">
        <x:v>46091</x:v>
      </x:c>
    </x:row>
    <x:row r="731">
      <x:c r="A731" s="21" t="str">
        <x:v>SYN-0209</x:v>
      </x:c>
      <x:c r="B731" s="21" t="str">
        <x:v>Synthetic Supplier 0209 LLC</x:v>
      </x:c>
      <x:c r="C731" s="38" t="str">
        <x:f>"900 000 000 000 209"</x:f>
        <x:v>900 000 000 000 209</x:v>
      </x:c>
      <x:c r="D731" s="21" t="str">
        <x:v>SYN-0209-INV-02</x:v>
      </x:c>
      <x:c r="E731" s="39" t="n">
        <x:v>46223</x:v>
      </x:c>
      <x:c r="F731" s="42" t="n">
        <x:v>6468.58</x:v>
      </x:c>
      <x:c r="G731" s="42" t="n">
        <x:v>323.43</x:v>
      </x:c>
      <x:c r="H731" s="42" t="n">
        <x:v>20178.13</x:v>
      </x:c>
      <x:c r="I731" s="39" t="n">
        <x:v>46091</x:v>
      </x:c>
    </x:row>
    <x:row r="732">
      <x:c r="A732" s="21" t="str">
        <x:v>SYN-0209</x:v>
      </x:c>
      <x:c r="B732" s="21" t="str">
        <x:v>Synthetic Supplier 0209 LLC</x:v>
      </x:c>
      <x:c r="C732" s="38" t="str">
        <x:f>"900 000 000 000 209"</x:f>
        <x:v>900 000 000 000 209</x:v>
      </x:c>
      <x:c r="D732" s="21" t="str">
        <x:v>SYN-0209-INV-03</x:v>
      </x:c>
      <x:c r="E732" s="39" t="n">
        <x:v>46270</x:v>
      </x:c>
      <x:c r="F732" s="42" t="n">
        <x:v>5030.65</x:v>
      </x:c>
      <x:c r="G732" s="42" t="n">
        <x:v>251.53</x:v>
      </x:c>
      <x:c r="H732" s="42" t="n">
        <x:v>20178.13</x:v>
      </x:c>
      <x:c r="I732" s="39" t="n">
        <x:v>46091</x:v>
      </x:c>
    </x:row>
    <x:row r="733">
      <x:c r="A733" s="21" t="str">
        <x:v>SYN-0210</x:v>
      </x:c>
      <x:c r="B733" s="21" t="str">
        <x:v>Synthetic Supplier 0210 LLC</x:v>
      </x:c>
      <x:c r="C733" s="38" t="str">
        <x:f>"900 000 000 000 210"</x:f>
        <x:v>900 000 000 000 210</x:v>
      </x:c>
      <x:c r="D733" s="21" t="str">
        <x:v>SYN-0210-INV-01</x:v>
      </x:c>
      <x:c r="E733" s="39" t="n">
        <x:v>46189</x:v>
      </x:c>
      <x:c r="F733" s="42" t="n">
        <x:v>6113.43</x:v>
      </x:c>
      <x:c r="G733" s="42" t="n">
        <x:v>305.67</x:v>
      </x:c>
      <x:c r="H733" s="42" t="n">
        <x:v>91202.32</x:v>
      </x:c>
      <x:c r="I733" s="39"/>
    </x:row>
    <x:row r="734">
      <x:c r="A734" s="21" t="str">
        <x:v>SYN-0210</x:v>
      </x:c>
      <x:c r="B734" s="21" t="str">
        <x:v>Synthetic Supplier 0210 LLC</x:v>
      </x:c>
      <x:c r="C734" s="38" t="str">
        <x:f>"900 000 000 000 210"</x:f>
        <x:v>900 000 000 000 210</x:v>
      </x:c>
      <x:c r="D734" s="21" t="str">
        <x:v>SYN-0210-INV-02</x:v>
      </x:c>
      <x:c r="E734" s="39" t="n">
        <x:v>46236</x:v>
      </x:c>
      <x:c r="F734" s="42" t="n">
        <x:v>4314.56</x:v>
      </x:c>
      <x:c r="G734" s="42" t="n">
        <x:v>215.73</x:v>
      </x:c>
      <x:c r="H734" s="42" t="n">
        <x:v>91202.32</x:v>
      </x:c>
      <x:c r="I734" s="39"/>
    </x:row>
    <x:row r="735">
      <x:c r="A735" s="21" t="str">
        <x:v>SYN-0210</x:v>
      </x:c>
      <x:c r="B735" s="21" t="str">
        <x:v>Synthetic Supplier 0210 LLC</x:v>
      </x:c>
      <x:c r="C735" s="38" t="str">
        <x:f>"900 000 000 000 210"</x:f>
        <x:v>900 000 000 000 210</x:v>
      </x:c>
      <x:c r="D735" s="21" t="str">
        <x:v>SYN-0210-INV-03</x:v>
      </x:c>
      <x:c r="E735" s="39" t="n">
        <x:v>46283</x:v>
      </x:c>
      <x:c r="F735" s="42" t="n">
        <x:v>3392.86</x:v>
      </x:c>
      <x:c r="G735" s="42" t="n">
        <x:v>169.64</x:v>
      </x:c>
      <x:c r="H735" s="42" t="n">
        <x:v>91202.32</x:v>
      </x:c>
      <x:c r="I735" s="39"/>
    </x:row>
    <x:row r="736">
      <x:c r="A736" s="21" t="str">
        <x:v>SYN-0210</x:v>
      </x:c>
      <x:c r="B736" s="21" t="str">
        <x:v>Synthetic Supplier 0210 LLC</x:v>
      </x:c>
      <x:c r="C736" s="38" t="str">
        <x:f>"900 000 000 000 210"</x:f>
        <x:v>900 000 000 000 210</x:v>
      </x:c>
      <x:c r="D736" s="21" t="str">
        <x:v>SYN-0210-INV-04</x:v>
      </x:c>
      <x:c r="E736" s="39" t="n">
        <x:v>45970</x:v>
      </x:c>
      <x:c r="F736" s="42" t="n">
        <x:v>6446.33</x:v>
      </x:c>
      <x:c r="G736" s="42" t="n">
        <x:v>322.32</x:v>
      </x:c>
      <x:c r="H736" s="42" t="n">
        <x:v>91202.32</x:v>
      </x:c>
      <x:c r="I736" s="39"/>
    </x:row>
    <x:row r="737">
      <x:c r="A737" s="21" t="str">
        <x:v>SYN-0211</x:v>
      </x:c>
      <x:c r="B737" s="21" t="str">
        <x:v>Synthetic Supplier 0211 LLC</x:v>
      </x:c>
      <x:c r="C737" s="38" t="str">
        <x:f>"900 000 000 000 211"</x:f>
        <x:v>900 000 000 000 211</x:v>
      </x:c>
      <x:c r="D737" s="21" t="str">
        <x:v>SYN-0211-INV-01</x:v>
      </x:c>
      <x:c r="E737" s="39" t="n">
        <x:v>46202</x:v>
      </x:c>
      <x:c r="F737" s="42" t="n">
        <x:v>2892.46</x:v>
      </x:c>
      <x:c r="G737" s="42" t="n">
        <x:v>144.62</x:v>
      </x:c>
      <x:c r="H737" s="42" t="n">
        <x:v>14986.93</x:v>
      </x:c>
      <x:c r="I737" s="39" t="n">
        <x:v>46154</x:v>
      </x:c>
    </x:row>
    <x:row r="738">
      <x:c r="A738" s="21" t="str">
        <x:v>SYN-0211</x:v>
      </x:c>
      <x:c r="B738" s="21" t="str">
        <x:v>Synthetic Supplier 0211 LLC</x:v>
      </x:c>
      <x:c r="C738" s="38" t="str">
        <x:f>"900 000 000 000 211"</x:f>
        <x:v>900 000 000 000 211</x:v>
      </x:c>
      <x:c r="D738" s="21" t="str">
        <x:v>SYN-0211-INV-02</x:v>
      </x:c>
      <x:c r="E738" s="39" t="n">
        <x:v>46249</x:v>
      </x:c>
      <x:c r="F738" s="42" t="n">
        <x:v>3737.91</x:v>
      </x:c>
      <x:c r="G738" s="42" t="n">
        <x:v>186.9</x:v>
      </x:c>
      <x:c r="H738" s="42" t="n">
        <x:v>14986.93</x:v>
      </x:c>
      <x:c r="I738" s="39" t="n">
        <x:v>46154</x:v>
      </x:c>
    </x:row>
    <x:row r="739">
      <x:c r="A739" s="21" t="str">
        <x:v>SYN-0211</x:v>
      </x:c>
      <x:c r="B739" s="21" t="str">
        <x:v>Synthetic Supplier 0211 LLC</x:v>
      </x:c>
      <x:c r="C739" s="38" t="str">
        <x:f>"900 000 000 000 211"</x:f>
        <x:v>900 000 000 000 211</x:v>
      </x:c>
      <x:c r="D739" s="21" t="str">
        <x:v>SYN-0211-INV-03</x:v>
      </x:c>
      <x:c r="E739" s="39" t="n">
        <x:v>45936</x:v>
      </x:c>
      <x:c r="F739" s="42" t="n">
        <x:v>3507.78</x:v>
      </x:c>
      <x:c r="G739" s="42" t="n">
        <x:v>175.39</x:v>
      </x:c>
      <x:c r="H739" s="42" t="n">
        <x:v>14986.93</x:v>
      </x:c>
      <x:c r="I739" s="39" t="n">
        <x:v>46154</x:v>
      </x:c>
    </x:row>
    <x:row r="740">
      <x:c r="A740" s="21" t="str">
        <x:v>SYN-0211</x:v>
      </x:c>
      <x:c r="B740" s="21" t="str">
        <x:v>Synthetic Supplier 0211 LLC</x:v>
      </x:c>
      <x:c r="C740" s="38" t="str">
        <x:f>"900 000 000 000 211"</x:f>
        <x:v>900 000 000 000 211</x:v>
      </x:c>
      <x:c r="D740" s="21" t="str">
        <x:v>SYN-0211-INV-04</x:v>
      </x:c>
      <x:c r="E740" s="39" t="n">
        <x:v>45983</x:v>
      </x:c>
      <x:c r="F740" s="42" t="n">
        <x:v>4143.97</x:v>
      </x:c>
      <x:c r="G740" s="42" t="n">
        <x:v>207.2</x:v>
      </x:c>
      <x:c r="H740" s="42" t="n">
        <x:v>14986.93</x:v>
      </x:c>
      <x:c r="I740" s="39" t="n">
        <x:v>46154</x:v>
      </x:c>
    </x:row>
    <x:row r="741">
      <x:c r="A741" s="21" t="str">
        <x:v>SYN-0211</x:v>
      </x:c>
      <x:c r="B741" s="21" t="str">
        <x:v>Synthetic Supplier 0211 LLC</x:v>
      </x:c>
      <x:c r="C741" s="38" t="str">
        <x:f>"900 000 000 000 211"</x:f>
        <x:v>900 000 000 000 211</x:v>
      </x:c>
      <x:c r="D741" s="21" t="str">
        <x:v>SYN-0211-INV-05</x:v>
      </x:c>
      <x:c r="E741" s="39" t="n">
        <x:v>46030</x:v>
      </x:c>
      <x:c r="F741" s="42" t="n">
        <x:v>2370.03</x:v>
      </x:c>
      <x:c r="G741" s="42" t="n">
        <x:v>118.5</x:v>
      </x:c>
      <x:c r="H741" s="42" t="n">
        <x:v>14986.93</x:v>
      </x:c>
      <x:c r="I741" s="39" t="n">
        <x:v>46154</x:v>
      </x:c>
    </x:row>
    <x:row r="742">
      <x:c r="A742" s="21" t="str">
        <x:v>SYN-0212</x:v>
      </x:c>
      <x:c r="B742" s="21" t="str">
        <x:v>Synthetic Supplier 0212 LLC</x:v>
      </x:c>
      <x:c r="C742" s="38" t="str">
        <x:f>"900 000 000 000 212"</x:f>
        <x:v>900 000 000 000 212</x:v>
      </x:c>
      <x:c r="D742" s="21" t="str">
        <x:v>SYN-0212-INV-01</x:v>
      </x:c>
      <x:c r="E742" s="39" t="n">
        <x:v>46215</x:v>
      </x:c>
      <x:c r="F742" s="42" t="n">
        <x:v>5298.42</x:v>
      </x:c>
      <x:c r="G742" s="42" t="n">
        <x:v>264.92</x:v>
      </x:c>
      <x:c r="H742" s="42" t="n">
        <x:v>9462.76</x:v>
      </x:c>
      <x:c r="I742" s="39" t="n">
        <x:v>45821</x:v>
      </x:c>
    </x:row>
    <x:row r="743">
      <x:c r="A743" s="21" t="str">
        <x:v>SYN-0212</x:v>
      </x:c>
      <x:c r="B743" s="21" t="str">
        <x:v>Synthetic Supplier 0212 LLC</x:v>
      </x:c>
      <x:c r="C743" s="38" t="str">
        <x:f>"900 000 000 000 212"</x:f>
        <x:v>900 000 000 000 212</x:v>
      </x:c>
      <x:c r="D743" s="21" t="str">
        <x:v>SYN-0212-INV-02</x:v>
      </x:c>
      <x:c r="E743" s="39" t="n">
        <x:v>46262</x:v>
      </x:c>
      <x:c r="F743" s="42" t="n">
        <x:v>5215.76</x:v>
      </x:c>
      <x:c r="G743" s="42" t="n">
        <x:v>260.79</x:v>
      </x:c>
      <x:c r="H743" s="42" t="n">
        <x:v>9462.76</x:v>
      </x:c>
      <x:c r="I743" s="39" t="n">
        <x:v>45821</x:v>
      </x:c>
    </x:row>
    <x:row r="744">
      <x:c r="A744" s="21" t="str">
        <x:v>SYN-0213</x:v>
      </x:c>
      <x:c r="B744" s="21" t="str">
        <x:v>Synthetic Supplier 0213 LLC</x:v>
      </x:c>
      <x:c r="C744" s="38" t="str">
        <x:f>"900 000 000 000 213"</x:f>
        <x:v>900 000 000 000 213</x:v>
      </x:c>
      <x:c r="D744" s="21" t="str">
        <x:v>SYN-0213-INV-01</x:v>
      </x:c>
      <x:c r="E744" s="39" t="n">
        <x:v>46228</x:v>
      </x:c>
      <x:c r="F744" s="42" t="n">
        <x:v>8434.22</x:v>
      </x:c>
      <x:c r="G744" s="42" t="n">
        <x:v>421.71</x:v>
      </x:c>
      <x:c r="H744" s="42" t="n">
        <x:v>24410.64</x:v>
      </x:c>
      <x:c r="I744" s="39" t="n">
        <x:v>46217</x:v>
      </x:c>
    </x:row>
    <x:row r="745">
      <x:c r="A745" s="21" t="str">
        <x:v>SYN-0213</x:v>
      </x:c>
      <x:c r="B745" s="21" t="str">
        <x:v>Synthetic Supplier 0213 LLC</x:v>
      </x:c>
      <x:c r="C745" s="38" t="str">
        <x:f>"900 000 000 000 213"</x:f>
        <x:v>900 000 000 000 213</x:v>
      </x:c>
      <x:c r="D745" s="21" t="str">
        <x:v>SYN-0213-INV-02</x:v>
      </x:c>
      <x:c r="E745" s="39" t="n">
        <x:v>46275</x:v>
      </x:c>
      <x:c r="F745" s="42" t="n">
        <x:v>9114</x:v>
      </x:c>
      <x:c r="G745" s="42" t="n">
        <x:v>455.7</x:v>
      </x:c>
      <x:c r="H745" s="42" t="n">
        <x:v>24410.64</x:v>
      </x:c>
      <x:c r="I745" s="39" t="n">
        <x:v>46217</x:v>
      </x:c>
    </x:row>
    <x:row r="746">
      <x:c r="A746" s="21" t="str">
        <x:v>SYN-0213</x:v>
      </x:c>
      <x:c r="B746" s="21" t="str">
        <x:v>Synthetic Supplier 0213 LLC</x:v>
      </x:c>
      <x:c r="C746" s="38" t="str">
        <x:f>"900 000 000 000 213"</x:f>
        <x:v>900 000 000 000 213</x:v>
      </x:c>
      <x:c r="D746" s="21" t="str">
        <x:v>SYN-0213-INV-03</x:v>
      </x:c>
      <x:c r="E746" s="39" t="n">
        <x:v>45962</x:v>
      </x:c>
      <x:c r="F746" s="42" t="n">
        <x:v>9574.71</x:v>
      </x:c>
      <x:c r="G746" s="42" t="n">
        <x:v>478.74</x:v>
      </x:c>
      <x:c r="H746" s="42" t="n">
        <x:v>24410.64</x:v>
      </x:c>
      <x:c r="I746" s="39" t="n">
        <x:v>46217</x:v>
      </x:c>
    </x:row>
    <x:row r="747">
      <x:c r="A747" s="21" t="str">
        <x:v>SYN-0214</x:v>
      </x:c>
      <x:c r="B747" s="21" t="str">
        <x:v>Synthetic Supplier 0214 LLC</x:v>
      </x:c>
      <x:c r="C747" s="38" t="str">
        <x:f>"900 000 000 000 214"</x:f>
        <x:v>900 000 000 000 214</x:v>
      </x:c>
      <x:c r="D747" s="21" t="str">
        <x:v>SYN-0214-INV-01</x:v>
      </x:c>
      <x:c r="E747" s="39" t="n">
        <x:v>46241</x:v>
      </x:c>
      <x:c r="F747" s="42" t="n">
        <x:v>1745.21</x:v>
      </x:c>
      <x:c r="G747" s="42" t="n">
        <x:v>87.26</x:v>
      </x:c>
      <x:c r="H747" s="42" t="n">
        <x:v>6097.92</x:v>
      </x:c>
      <x:c r="I747" s="39" t="n">
        <x:v>45884</x:v>
      </x:c>
    </x:row>
    <x:row r="748">
      <x:c r="A748" s="21" t="str">
        <x:v>SYN-0214</x:v>
      </x:c>
      <x:c r="B748" s="21" t="str">
        <x:v>Synthetic Supplier 0214 LLC</x:v>
      </x:c>
      <x:c r="C748" s="38" t="str">
        <x:f>"900 000 000 000 214"</x:f>
        <x:v>900 000 000 000 214</x:v>
      </x:c>
      <x:c r="D748" s="21" t="str">
        <x:v>SYN-0214-INV-02</x:v>
      </x:c>
      <x:c r="E748" s="39" t="n">
        <x:v>46288</x:v>
      </x:c>
      <x:c r="F748" s="42" t="n">
        <x:v>1734.9</x:v>
      </x:c>
      <x:c r="G748" s="42" t="n">
        <x:v>86.74</x:v>
      </x:c>
      <x:c r="H748" s="42" t="n">
        <x:v>6097.92</x:v>
      </x:c>
      <x:c r="I748" s="39" t="n">
        <x:v>45884</x:v>
      </x:c>
    </x:row>
    <x:row r="749">
      <x:c r="A749" s="21" t="str">
        <x:v>SYN-0214</x:v>
      </x:c>
      <x:c r="B749" s="21" t="str">
        <x:v>Synthetic Supplier 0214 LLC</x:v>
      </x:c>
      <x:c r="C749" s="38" t="str">
        <x:f>"900 000 000 000 214"</x:f>
        <x:v>900 000 000 000 214</x:v>
      </x:c>
      <x:c r="D749" s="21" t="str">
        <x:v>SYN-0214-INV-03</x:v>
      </x:c>
      <x:c r="E749" s="39" t="n">
        <x:v>45975</x:v>
      </x:c>
      <x:c r="F749" s="42" t="n">
        <x:v>1805.55</x:v>
      </x:c>
      <x:c r="G749" s="42" t="n">
        <x:v>90.28</x:v>
      </x:c>
      <x:c r="H749" s="42" t="n">
        <x:v>6097.92</x:v>
      </x:c>
      <x:c r="I749" s="39" t="n">
        <x:v>45884</x:v>
      </x:c>
    </x:row>
    <x:row r="750">
      <x:c r="A750" s="21" t="str">
        <x:v>SYN-0214</x:v>
      </x:c>
      <x:c r="B750" s="21" t="str">
        <x:v>Synthetic Supplier 0214 LLC</x:v>
      </x:c>
      <x:c r="C750" s="38" t="str">
        <x:f>"900 000 000 000 214"</x:f>
        <x:v>900 000 000 000 214</x:v>
      </x:c>
      <x:c r="D750" s="21" t="str">
        <x:v>SYN-0214-INV-04</x:v>
      </x:c>
      <x:c r="E750" s="39" t="n">
        <x:v>46022</x:v>
      </x:c>
      <x:c r="F750" s="42" t="n">
        <x:v>1489.8</x:v>
      </x:c>
      <x:c r="G750" s="42" t="n">
        <x:v>74.49</x:v>
      </x:c>
      <x:c r="H750" s="42" t="n">
        <x:v>6097.92</x:v>
      </x:c>
      <x:c r="I750" s="39" t="n">
        <x:v>45884</x:v>
      </x:c>
    </x:row>
    <x:row r="751">
      <x:c r="A751" s="21" t="str">
        <x:v>SYN-0215</x:v>
      </x:c>
      <x:c r="B751" s="21" t="str">
        <x:v>Synthetic Supplier 0215 LLC</x:v>
      </x:c>
      <x:c r="C751" s="38" t="str">
        <x:f>"900 000 000 000 215"</x:f>
        <x:v>900 000 000 000 215</x:v>
      </x:c>
      <x:c r="D751" s="21" t="str">
        <x:v>SYN-0215-INV-01</x:v>
      </x:c>
      <x:c r="E751" s="39" t="n">
        <x:v>46254</x:v>
      </x:c>
      <x:c r="F751" s="42" t="n">
        <x:v>4568.13</x:v>
      </x:c>
      <x:c r="G751" s="42" t="n">
        <x:v>228.41</x:v>
      </x:c>
      <x:c r="H751" s="42" t="n">
        <x:v>23918.79</x:v>
      </x:c>
      <x:c r="I751" s="39"/>
    </x:row>
    <x:row r="752">
      <x:c r="A752" s="21" t="str">
        <x:v>SYN-0215</x:v>
      </x:c>
      <x:c r="B752" s="21" t="str">
        <x:v>Synthetic Supplier 0215 LLC</x:v>
      </x:c>
      <x:c r="C752" s="38" t="str">
        <x:f>"900 000 000 000 215"</x:f>
        <x:v>900 000 000 000 215</x:v>
      </x:c>
      <x:c r="D752" s="21" t="str">
        <x:v>SYN-0215-INV-02</x:v>
      </x:c>
      <x:c r="E752" s="39" t="n">
        <x:v>45941</x:v>
      </x:c>
      <x:c r="F752" s="42" t="n">
        <x:v>5607.26</x:v>
      </x:c>
      <x:c r="G752" s="42" t="n">
        <x:v>280.36</x:v>
      </x:c>
      <x:c r="H752" s="42" t="n">
        <x:v>23918.79</x:v>
      </x:c>
      <x:c r="I752" s="39"/>
    </x:row>
    <x:row r="753">
      <x:c r="A753" s="21" t="str">
        <x:v>SYN-0215</x:v>
      </x:c>
      <x:c r="B753" s="21" t="str">
        <x:v>Synthetic Supplier 0215 LLC</x:v>
      </x:c>
      <x:c r="C753" s="38" t="str">
        <x:f>"900 000 000 000 215"</x:f>
        <x:v>900 000 000 000 215</x:v>
      </x:c>
      <x:c r="D753" s="21" t="str">
        <x:v>SYN-0215-INV-03</x:v>
      </x:c>
      <x:c r="E753" s="39" t="n">
        <x:v>45988</x:v>
      </x:c>
      <x:c r="F753" s="42" t="n">
        <x:v>4512.05</x:v>
      </x:c>
      <x:c r="G753" s="42" t="n">
        <x:v>225.6</x:v>
      </x:c>
      <x:c r="H753" s="42" t="n">
        <x:v>23918.79</x:v>
      </x:c>
      <x:c r="I753" s="39"/>
    </x:row>
    <x:row r="754">
      <x:c r="A754" s="21" t="str">
        <x:v>SYN-0215</x:v>
      </x:c>
      <x:c r="B754" s="21" t="str">
        <x:v>Synthetic Supplier 0215 LLC</x:v>
      </x:c>
      <x:c r="C754" s="38" t="str">
        <x:f>"900 000 000 000 215"</x:f>
        <x:v>900 000 000 000 215</x:v>
      </x:c>
      <x:c r="D754" s="21" t="str">
        <x:v>SYN-0215-INV-04</x:v>
      </x:c>
      <x:c r="E754" s="39" t="n">
        <x:v>46035</x:v>
      </x:c>
      <x:c r="F754" s="42" t="n">
        <x:v>7307.86</x:v>
      </x:c>
      <x:c r="G754" s="42" t="n">
        <x:v>365.39</x:v>
      </x:c>
      <x:c r="H754" s="42" t="n">
        <x:v>23918.79</x:v>
      </x:c>
      <x:c r="I754" s="39"/>
    </x:row>
    <x:row r="755">
      <x:c r="A755" s="21" t="str">
        <x:v>SYN-0215</x:v>
      </x:c>
      <x:c r="B755" s="21" t="str">
        <x:v>Synthetic Supplier 0215 LLC</x:v>
      </x:c>
      <x:c r="C755" s="38" t="str">
        <x:f>"900 000 000 000 215"</x:f>
        <x:v>900 000 000 000 215</x:v>
      </x:c>
      <x:c r="D755" s="21" t="str">
        <x:v>SYN-0215-INV-05</x:v>
      </x:c>
      <x:c r="E755" s="39" t="n">
        <x:v>46082</x:v>
      </x:c>
      <x:c r="F755" s="42" t="n">
        <x:v>4581.13</x:v>
      </x:c>
      <x:c r="G755" s="42" t="n">
        <x:v>229.06</x:v>
      </x:c>
      <x:c r="H755" s="42" t="n">
        <x:v>23918.79</x:v>
      </x:c>
      <x:c r="I755" s="39"/>
    </x:row>
    <x:row r="756">
      <x:c r="A756" s="21" t="str">
        <x:v>SYN-0216</x:v>
      </x:c>
      <x:c r="B756" s="21" t="str">
        <x:v>Synthetic Supplier 0216 LLC</x:v>
      </x:c>
      <x:c r="C756" s="38" t="str">
        <x:f>"900 000 000 000 216"</x:f>
        <x:v>900 000 000 000 216</x:v>
      </x:c>
      <x:c r="D756" s="21" t="str">
        <x:v>SYN-0216-INV-01</x:v>
      </x:c>
      <x:c r="E756" s="39" t="n">
        <x:v>46267</x:v>
      </x:c>
      <x:c r="F756" s="42" t="n">
        <x:v>9295.56</x:v>
      </x:c>
      <x:c r="G756" s="42" t="n">
        <x:v>464.78</x:v>
      </x:c>
      <x:c r="H756" s="42" t="n">
        <x:v>24232.55</x:v>
      </x:c>
      <x:c r="I756" s="39" t="n">
        <x:v>45674</x:v>
      </x:c>
    </x:row>
    <x:row r="757">
      <x:c r="A757" s="21" t="str">
        <x:v>SYN-0216</x:v>
      </x:c>
      <x:c r="B757" s="21" t="str">
        <x:v>Synthetic Supplier 0216 LLC</x:v>
      </x:c>
      <x:c r="C757" s="38" t="str">
        <x:f>"900 000 000 000 216"</x:f>
        <x:v>900 000 000 000 216</x:v>
      </x:c>
      <x:c r="D757" s="21" t="str">
        <x:v>SYN-0216-INV-02</x:v>
      </x:c>
      <x:c r="E757" s="39" t="n">
        <x:v>45954</x:v>
      </x:c>
      <x:c r="F757" s="42" t="n">
        <x:v>17629.5</x:v>
      </x:c>
      <x:c r="G757" s="42" t="n">
        <x:v>881.47</x:v>
      </x:c>
      <x:c r="H757" s="42" t="n">
        <x:v>24232.55</x:v>
      </x:c>
      <x:c r="I757" s="39" t="n">
        <x:v>45674</x:v>
      </x:c>
    </x:row>
    <x:row r="758">
      <x:c r="A758" s="21" t="str">
        <x:v>SYN-0217</x:v>
      </x:c>
      <x:c r="B758" s="21" t="str">
        <x:v>Synthetic Supplier 0217 LLC</x:v>
      </x:c>
      <x:c r="C758" s="38" t="str">
        <x:f>"900 000 000 000 217"</x:f>
        <x:v>900 000 000 000 217</x:v>
      </x:c>
      <x:c r="D758" s="21" t="str">
        <x:v>SYN-0217-INV-01</x:v>
      </x:c>
      <x:c r="E758" s="39" t="n">
        <x:v>46280</x:v>
      </x:c>
      <x:c r="F758" s="42" t="n">
        <x:v>4705.61</x:v>
      </x:c>
      <x:c r="G758" s="42" t="n">
        <x:v>235.28</x:v>
      </x:c>
      <x:c r="H758" s="42" t="n">
        <x:v>53117.77</x:v>
      </x:c>
      <x:c r="I758" s="39" t="n">
        <x:v>46071</x:v>
      </x:c>
    </x:row>
    <x:row r="759">
      <x:c r="A759" s="21" t="str">
        <x:v>SYN-0217</x:v>
      </x:c>
      <x:c r="B759" s="21" t="str">
        <x:v>Synthetic Supplier 0217 LLC</x:v>
      </x:c>
      <x:c r="C759" s="38" t="str">
        <x:f>"900 000 000 000 217"</x:f>
        <x:v>900 000 000 000 217</x:v>
      </x:c>
      <x:c r="D759" s="21" t="str">
        <x:v>SYN-0217-INV-02</x:v>
      </x:c>
      <x:c r="E759" s="39" t="n">
        <x:v>45967</x:v>
      </x:c>
      <x:c r="F759" s="42" t="n">
        <x:v>4020.84</x:v>
      </x:c>
      <x:c r="G759" s="42" t="n">
        <x:v>201.04</x:v>
      </x:c>
      <x:c r="H759" s="42" t="n">
        <x:v>53117.77</x:v>
      </x:c>
      <x:c r="I759" s="39" t="n">
        <x:v>46071</x:v>
      </x:c>
    </x:row>
    <x:row r="760">
      <x:c r="A760" s="21" t="str">
        <x:v>SYN-0217</x:v>
      </x:c>
      <x:c r="B760" s="21" t="str">
        <x:v>Synthetic Supplier 0217 LLC</x:v>
      </x:c>
      <x:c r="C760" s="38" t="str">
        <x:f>"900 000 000 000 217"</x:f>
        <x:v>900 000 000 000 217</x:v>
      </x:c>
      <x:c r="D760" s="21" t="str">
        <x:v>SYN-0217-INV-03</x:v>
      </x:c>
      <x:c r="E760" s="39" t="n">
        <x:v>46014</x:v>
      </x:c>
      <x:c r="F760" s="42" t="n">
        <x:v>3077.5</x:v>
      </x:c>
      <x:c r="G760" s="42" t="n">
        <x:v>153.88</x:v>
      </x:c>
      <x:c r="H760" s="42" t="n">
        <x:v>53117.77</x:v>
      </x:c>
      <x:c r="I760" s="39" t="n">
        <x:v>46071</x:v>
      </x:c>
    </x:row>
    <x:row r="761">
      <x:c r="A761" s="21" t="str">
        <x:v>SYN-0218</x:v>
      </x:c>
      <x:c r="B761" s="21" t="str">
        <x:v>Synthetic Supplier 0218 LLC</x:v>
      </x:c>
      <x:c r="C761" s="38" t="str">
        <x:f>"900 000 000 000 218"</x:f>
        <x:v>900 000 000 000 218</x:v>
      </x:c>
      <x:c r="D761" s="21" t="str">
        <x:v>SYN-0218-INV-01</x:v>
      </x:c>
      <x:c r="E761" s="39" t="n">
        <x:v>45933</x:v>
      </x:c>
      <x:c r="F761" s="42" t="n">
        <x:v>7949.81</x:v>
      </x:c>
      <x:c r="G761" s="42" t="n">
        <x:v>397.49</x:v>
      </x:c>
      <x:c r="H761" s="42" t="n">
        <x:v>24326.52</x:v>
      </x:c>
      <x:c r="I761" s="39" t="n">
        <x:v>45735</x:v>
      </x:c>
    </x:row>
    <x:row r="762">
      <x:c r="A762" s="21" t="str">
        <x:v>SYN-0218</x:v>
      </x:c>
      <x:c r="B762" s="21" t="str">
        <x:v>Synthetic Supplier 0218 LLC</x:v>
      </x:c>
      <x:c r="C762" s="38" t="str">
        <x:f>"900 000 000 000 218"</x:f>
        <x:v>900 000 000 000 218</x:v>
      </x:c>
      <x:c r="D762" s="21" t="str">
        <x:v>SYN-0218-INV-02</x:v>
      </x:c>
      <x:c r="E762" s="39" t="n">
        <x:v>45980</x:v>
      </x:c>
      <x:c r="F762" s="42" t="n">
        <x:v>5906.79</x:v>
      </x:c>
      <x:c r="G762" s="42" t="n">
        <x:v>295.34</x:v>
      </x:c>
      <x:c r="H762" s="42" t="n">
        <x:v>24326.52</x:v>
      </x:c>
      <x:c r="I762" s="39" t="n">
        <x:v>45735</x:v>
      </x:c>
    </x:row>
    <x:row r="763">
      <x:c r="A763" s="21" t="str">
        <x:v>SYN-0218</x:v>
      </x:c>
      <x:c r="B763" s="21" t="str">
        <x:v>Synthetic Supplier 0218 LLC</x:v>
      </x:c>
      <x:c r="C763" s="38" t="str">
        <x:f>"900 000 000 000 218"</x:f>
        <x:v>900 000 000 000 218</x:v>
      </x:c>
      <x:c r="D763" s="21" t="str">
        <x:v>SYN-0218-INV-03</x:v>
      </x:c>
      <x:c r="E763" s="39" t="n">
        <x:v>46027</x:v>
      </x:c>
      <x:c r="F763" s="42" t="n">
        <x:v>5727.22</x:v>
      </x:c>
      <x:c r="G763" s="42" t="n">
        <x:v>286.36</x:v>
      </x:c>
      <x:c r="H763" s="42" t="n">
        <x:v>24326.52</x:v>
      </x:c>
      <x:c r="I763" s="39" t="n">
        <x:v>45735</x:v>
      </x:c>
    </x:row>
    <x:row r="764">
      <x:c r="A764" s="21" t="str">
        <x:v>SYN-0218</x:v>
      </x:c>
      <x:c r="B764" s="21" t="str">
        <x:v>Synthetic Supplier 0218 LLC</x:v>
      </x:c>
      <x:c r="C764" s="38" t="str">
        <x:f>"900 000 000 000 218"</x:f>
        <x:v>900 000 000 000 218</x:v>
      </x:c>
      <x:c r="D764" s="21" t="str">
        <x:v>SYN-0218-INV-04</x:v>
      </x:c>
      <x:c r="E764" s="39" t="n">
        <x:v>46074</x:v>
      </x:c>
      <x:c r="F764" s="42" t="n">
        <x:v>7445.65</x:v>
      </x:c>
      <x:c r="G764" s="42" t="n">
        <x:v>372.28</x:v>
      </x:c>
      <x:c r="H764" s="42" t="n">
        <x:v>24326.52</x:v>
      </x:c>
      <x:c r="I764" s="39" t="n">
        <x:v>45735</x:v>
      </x:c>
    </x:row>
    <x:row r="765">
      <x:c r="A765" s="21" t="str">
        <x:v>SYN-0219</x:v>
      </x:c>
      <x:c r="B765" s="21" t="str">
        <x:v>Synthetic Supplier 0219 LLC</x:v>
      </x:c>
      <x:c r="C765" s="38" t="str">
        <x:f>"900 000 000 000 219"</x:f>
        <x:v>900 000 000 000 219</x:v>
      </x:c>
      <x:c r="D765" s="21" t="str">
        <x:v>SYN-0219-INV-01</x:v>
      </x:c>
      <x:c r="E765" s="39" t="n">
        <x:v>45946</x:v>
      </x:c>
      <x:c r="F765" s="42" t="n">
        <x:v>2688.23</x:v>
      </x:c>
      <x:c r="G765" s="42" t="n">
        <x:v>134.41</x:v>
      </x:c>
      <x:c r="H765" s="42" t="n">
        <x:v>14009.53</x:v>
      </x:c>
      <x:c r="I765" s="39" t="n">
        <x:v>46132</x:v>
      </x:c>
    </x:row>
    <x:row r="766">
      <x:c r="A766" s="21" t="str">
        <x:v>SYN-0219</x:v>
      </x:c>
      <x:c r="B766" s="21" t="str">
        <x:v>Synthetic Supplier 0219 LLC</x:v>
      </x:c>
      <x:c r="C766" s="38" t="str">
        <x:f>"900 000 000 000 219"</x:f>
        <x:v>900 000 000 000 219</x:v>
      </x:c>
      <x:c r="D766" s="21" t="str">
        <x:v>SYN-0219-INV-02</x:v>
      </x:c>
      <x:c r="E766" s="39" t="n">
        <x:v>45993</x:v>
      </x:c>
      <x:c r="F766" s="42" t="n">
        <x:v>1706.31</x:v>
      </x:c>
      <x:c r="G766" s="42" t="n">
        <x:v>85.32</x:v>
      </x:c>
      <x:c r="H766" s="42" t="n">
        <x:v>14009.53</x:v>
      </x:c>
      <x:c r="I766" s="39" t="n">
        <x:v>46132</x:v>
      </x:c>
    </x:row>
    <x:row r="767">
      <x:c r="A767" s="21" t="str">
        <x:v>SYN-0219</x:v>
      </x:c>
      <x:c r="B767" s="21" t="str">
        <x:v>Synthetic Supplier 0219 LLC</x:v>
      </x:c>
      <x:c r="C767" s="38" t="str">
        <x:f>"900 000 000 000 219"</x:f>
        <x:v>900 000 000 000 219</x:v>
      </x:c>
      <x:c r="D767" s="21" t="str">
        <x:v>SYN-0219-INV-03</x:v>
      </x:c>
      <x:c r="E767" s="39" t="n">
        <x:v>46040</x:v>
      </x:c>
      <x:c r="F767" s="42" t="n">
        <x:v>3903.21</x:v>
      </x:c>
      <x:c r="G767" s="42" t="n">
        <x:v>195.16</x:v>
      </x:c>
      <x:c r="H767" s="42" t="n">
        <x:v>14009.53</x:v>
      </x:c>
      <x:c r="I767" s="39" t="n">
        <x:v>46132</x:v>
      </x:c>
    </x:row>
    <x:row r="768">
      <x:c r="A768" s="21" t="str">
        <x:v>SYN-0219</x:v>
      </x:c>
      <x:c r="B768" s="21" t="str">
        <x:v>Synthetic Supplier 0219 LLC</x:v>
      </x:c>
      <x:c r="C768" s="38" t="str">
        <x:f>"900 000 000 000 219"</x:f>
        <x:v>900 000 000 000 219</x:v>
      </x:c>
      <x:c r="D768" s="21" t="str">
        <x:v>SYN-0219-INV-04</x:v>
      </x:c>
      <x:c r="E768" s="39" t="n">
        <x:v>46087</x:v>
      </x:c>
      <x:c r="F768" s="42" t="n">
        <x:v>3703.73</x:v>
      </x:c>
      <x:c r="G768" s="42" t="n">
        <x:v>185.19</x:v>
      </x:c>
      <x:c r="H768" s="42" t="n">
        <x:v>14009.53</x:v>
      </x:c>
      <x:c r="I768" s="39" t="n">
        <x:v>46132</x:v>
      </x:c>
    </x:row>
    <x:row r="769">
      <x:c r="A769" s="21" t="str">
        <x:v>SYN-0219</x:v>
      </x:c>
      <x:c r="B769" s="21" t="str">
        <x:v>Synthetic Supplier 0219 LLC</x:v>
      </x:c>
      <x:c r="C769" s="38" t="str">
        <x:f>"900 000 000 000 219"</x:f>
        <x:v>900 000 000 000 219</x:v>
      </x:c>
      <x:c r="D769" s="21" t="str">
        <x:v>SYN-0219-INV-05</x:v>
      </x:c>
      <x:c r="E769" s="39" t="n">
        <x:v>46134</x:v>
      </x:c>
      <x:c r="F769" s="42" t="n">
        <x:v>3564.66</x:v>
      </x:c>
      <x:c r="G769" s="42" t="n">
        <x:v>178.23</x:v>
      </x:c>
      <x:c r="H769" s="42" t="n">
        <x:v>14009.53</x:v>
      </x:c>
      <x:c r="I769" s="39" t="n">
        <x:v>46132</x:v>
      </x:c>
    </x:row>
    <x:row r="770">
      <x:c r="A770" s="21" t="str">
        <x:v>SYN-0220</x:v>
      </x:c>
      <x:c r="B770" s="21" t="str">
        <x:v>Synthetic Supplier 0220 LLC</x:v>
      </x:c>
      <x:c r="C770" s="38" t="str">
        <x:f>"900 000 000 000 220"</x:f>
        <x:v>900 000 000 000 220</x:v>
      </x:c>
      <x:c r="D770" s="21" t="str">
        <x:v>SYN-0220-INV-01</x:v>
      </x:c>
      <x:c r="E770" s="39" t="n">
        <x:v>45959</x:v>
      </x:c>
      <x:c r="F770" s="42" t="n">
        <x:v>13077.62</x:v>
      </x:c>
      <x:c r="G770" s="42" t="n">
        <x:v>653.88</x:v>
      </x:c>
      <x:c r="H770" s="42" t="n">
        <x:v>21384.45</x:v>
      </x:c>
      <x:c r="I770" s="39"/>
    </x:row>
    <x:row r="771">
      <x:c r="A771" s="21" t="str">
        <x:v>SYN-0220</x:v>
      </x:c>
      <x:c r="B771" s="21" t="str">
        <x:v>Synthetic Supplier 0220 LLC</x:v>
      </x:c>
      <x:c r="C771" s="38" t="str">
        <x:f>"900 000 000 000 220"</x:f>
        <x:v>900 000 000 000 220</x:v>
      </x:c>
      <x:c r="D771" s="21" t="str">
        <x:v>SYN-0220-INV-02</x:v>
      </x:c>
      <x:c r="E771" s="39" t="n">
        <x:v>46006</x:v>
      </x:c>
      <x:c r="F771" s="42" t="n">
        <x:v>10682.88</x:v>
      </x:c>
      <x:c r="G771" s="42" t="n">
        <x:v>534.14</x:v>
      </x:c>
      <x:c r="H771" s="42" t="n">
        <x:v>21384.45</x:v>
      </x:c>
      <x:c r="I771" s="39"/>
    </x:row>
    <x:row r="772">
      <x:c r="A772" s="21" t="str">
        <x:v>SYN-0221</x:v>
      </x:c>
      <x:c r="B772" s="21" t="str">
        <x:v>Synthetic Supplier 0221 LLC</x:v>
      </x:c>
      <x:c r="C772" s="38" t="str">
        <x:f>"900 000 000 000 221"</x:f>
        <x:v>900 000 000 000 221</x:v>
      </x:c>
      <x:c r="D772" s="21" t="str">
        <x:v>SYN-0221-INV-01</x:v>
      </x:c>
      <x:c r="E772" s="39" t="n">
        <x:v>45972</x:v>
      </x:c>
      <x:c r="F772" s="42" t="n">
        <x:v>14444.8</x:v>
      </x:c>
      <x:c r="G772" s="42" t="n">
        <x:v>722.24</x:v>
      </x:c>
      <x:c r="H772" s="42" t="n">
        <x:v>52031.41</x:v>
      </x:c>
      <x:c r="I772" s="39" t="n">
        <x:v>46195</x:v>
      </x:c>
    </x:row>
    <x:row r="773">
      <x:c r="A773" s="21" t="str">
        <x:v>SYN-0221</x:v>
      </x:c>
      <x:c r="B773" s="21" t="str">
        <x:v>Synthetic Supplier 0221 LLC</x:v>
      </x:c>
      <x:c r="C773" s="38" t="str">
        <x:f>"900 000 000 000 221"</x:f>
        <x:v>900 000 000 000 221</x:v>
      </x:c>
      <x:c r="D773" s="21" t="str">
        <x:v>SYN-0221-INV-02</x:v>
      </x:c>
      <x:c r="E773" s="39" t="n">
        <x:v>46019</x:v>
      </x:c>
      <x:c r="F773" s="42" t="n">
        <x:v>15123.18</x:v>
      </x:c>
      <x:c r="G773" s="42" t="n">
        <x:v>756.16</x:v>
      </x:c>
      <x:c r="H773" s="42" t="n">
        <x:v>52031.41</x:v>
      </x:c>
      <x:c r="I773" s="39" t="n">
        <x:v>46195</x:v>
      </x:c>
    </x:row>
    <x:row r="774">
      <x:c r="A774" s="21" t="str">
        <x:v>SYN-0221</x:v>
      </x:c>
      <x:c r="B774" s="21" t="str">
        <x:v>Synthetic Supplier 0221 LLC</x:v>
      </x:c>
      <x:c r="C774" s="38" t="str">
        <x:f>"900 000 000 000 221"</x:f>
        <x:v>900 000 000 000 221</x:v>
      </x:c>
      <x:c r="D774" s="21" t="str">
        <x:v>SYN-0221-INV-03</x:v>
      </x:c>
      <x:c r="E774" s="39" t="n">
        <x:v>46066</x:v>
      </x:c>
      <x:c r="F774" s="42" t="n">
        <x:v>28244.7</x:v>
      </x:c>
      <x:c r="G774" s="42" t="n">
        <x:v>1412.23</x:v>
      </x:c>
      <x:c r="H774" s="42" t="n">
        <x:v>52031.41</x:v>
      </x:c>
      <x:c r="I774" s="39" t="n">
        <x:v>46195</x:v>
      </x:c>
    </x:row>
    <x:row r="775">
      <x:c r="A775" s="21" t="str">
        <x:v>SYN-0222</x:v>
      </x:c>
      <x:c r="B775" s="21" t="str">
        <x:v>Synthetic Supplier 0222 LLC</x:v>
      </x:c>
      <x:c r="C775" s="38" t="str">
        <x:f>"900 000 000 000 222"</x:f>
        <x:v>900 000 000 000 222</x:v>
      </x:c>
      <x:c r="D775" s="21" t="str">
        <x:v>SYN-0222-INV-01</x:v>
      </x:c>
      <x:c r="E775" s="39" t="n">
        <x:v>45985</x:v>
      </x:c>
      <x:c r="F775" s="42" t="n">
        <x:v>17777.14</x:v>
      </x:c>
      <x:c r="G775" s="42" t="n">
        <x:v>888.86</x:v>
      </x:c>
      <x:c r="H775" s="42" t="n">
        <x:v>62490.59</x:v>
      </x:c>
      <x:c r="I775" s="39" t="n">
        <x:v>45861</x:v>
      </x:c>
    </x:row>
    <x:row r="776">
      <x:c r="A776" s="21" t="str">
        <x:v>SYN-0222</x:v>
      </x:c>
      <x:c r="B776" s="21" t="str">
        <x:v>Synthetic Supplier 0222 LLC</x:v>
      </x:c>
      <x:c r="C776" s="38" t="str">
        <x:f>"900 000 000 000 222"</x:f>
        <x:v>900 000 000 000 222</x:v>
      </x:c>
      <x:c r="D776" s="21" t="str">
        <x:v>SYN-0222-INV-02</x:v>
      </x:c>
      <x:c r="E776" s="39" t="n">
        <x:v>46032</x:v>
      </x:c>
      <x:c r="F776" s="42" t="n">
        <x:v>12944.32</x:v>
      </x:c>
      <x:c r="G776" s="42" t="n">
        <x:v>647.22</x:v>
      </x:c>
      <x:c r="H776" s="42" t="n">
        <x:v>62490.59</x:v>
      </x:c>
      <x:c r="I776" s="39" t="n">
        <x:v>45861</x:v>
      </x:c>
    </x:row>
    <x:row r="777">
      <x:c r="A777" s="21" t="str">
        <x:v>SYN-0222</x:v>
      </x:c>
      <x:c r="B777" s="21" t="str">
        <x:v>Synthetic Supplier 0222 LLC</x:v>
      </x:c>
      <x:c r="C777" s="38" t="str">
        <x:f>"900 000 000 000 222"</x:f>
        <x:v>900 000 000 000 222</x:v>
      </x:c>
      <x:c r="D777" s="21" t="str">
        <x:v>SYN-0222-INV-03</x:v>
      </x:c>
      <x:c r="E777" s="39" t="n">
        <x:v>46079</x:v>
      </x:c>
      <x:c r="F777" s="42" t="n">
        <x:v>18411.28</x:v>
      </x:c>
      <x:c r="G777" s="42" t="n">
        <x:v>920.56</x:v>
      </x:c>
      <x:c r="H777" s="42" t="n">
        <x:v>62490.59</x:v>
      </x:c>
      <x:c r="I777" s="39" t="n">
        <x:v>45861</x:v>
      </x:c>
    </x:row>
    <x:row r="778">
      <x:c r="A778" s="21" t="str">
        <x:v>SYN-0222</x:v>
      </x:c>
      <x:c r="B778" s="21" t="str">
        <x:v>Synthetic Supplier 0222 LLC</x:v>
      </x:c>
      <x:c r="C778" s="38" t="str">
        <x:f>"900 000 000 000 222"</x:f>
        <x:v>900 000 000 000 222</x:v>
      </x:c>
      <x:c r="D778" s="21" t="str">
        <x:v>SYN-0222-INV-04</x:v>
      </x:c>
      <x:c r="E778" s="39" t="n">
        <x:v>46126</x:v>
      </x:c>
      <x:c r="F778" s="42" t="n">
        <x:v>20301.25</x:v>
      </x:c>
      <x:c r="G778" s="42" t="n">
        <x:v>1015.06</x:v>
      </x:c>
      <x:c r="H778" s="42" t="n">
        <x:v>62490.59</x:v>
      </x:c>
      <x:c r="I778" s="39" t="n">
        <x:v>45861</x:v>
      </x:c>
    </x:row>
    <x:row r="779">
      <x:c r="A779" s="21" t="str">
        <x:v>SYN-0223</x:v>
      </x:c>
      <x:c r="B779" s="21" t="str">
        <x:v>Synthetic Supplier 0223 LLC</x:v>
      </x:c>
      <x:c r="C779" s="38" t="str">
        <x:f>"900 000 000 000 223"</x:f>
        <x:v>900 000 000 000 223</x:v>
      </x:c>
      <x:c r="D779" s="21" t="str">
        <x:v>SYN-0223-INV-01</x:v>
      </x:c>
      <x:c r="E779" s="39" t="n">
        <x:v>45998</x:v>
      </x:c>
      <x:c r="F779" s="42" t="n">
        <x:v>11337.71</x:v>
      </x:c>
      <x:c r="G779" s="42" t="n">
        <x:v>566.89</x:v>
      </x:c>
      <x:c r="H779" s="42" t="n">
        <x:v>51510.14</x:v>
      </x:c>
      <x:c r="I779" s="39" t="n">
        <x:v>46258</x:v>
      </x:c>
    </x:row>
    <x:row r="780">
      <x:c r="A780" s="21" t="str">
        <x:v>SYN-0223</x:v>
      </x:c>
      <x:c r="B780" s="21" t="str">
        <x:v>Synthetic Supplier 0223 LLC</x:v>
      </x:c>
      <x:c r="C780" s="38" t="str">
        <x:f>"900 000 000 000 223"</x:f>
        <x:v>900 000 000 000 223</x:v>
      </x:c>
      <x:c r="D780" s="21" t="str">
        <x:v>SYN-0223-INV-02</x:v>
      </x:c>
      <x:c r="E780" s="39" t="n">
        <x:v>46045</x:v>
      </x:c>
      <x:c r="F780" s="42" t="n">
        <x:v>8090.55</x:v>
      </x:c>
      <x:c r="G780" s="42" t="n">
        <x:v>404.53</x:v>
      </x:c>
      <x:c r="H780" s="42" t="n">
        <x:v>51510.14</x:v>
      </x:c>
      <x:c r="I780" s="39" t="n">
        <x:v>46258</x:v>
      </x:c>
    </x:row>
    <x:row r="781">
      <x:c r="A781" s="21" t="str">
        <x:v>SYN-0223</x:v>
      </x:c>
      <x:c r="B781" s="21" t="str">
        <x:v>Synthetic Supplier 0223 LLC</x:v>
      </x:c>
      <x:c r="C781" s="38" t="str">
        <x:f>"900 000 000 000 223"</x:f>
        <x:v>900 000 000 000 223</x:v>
      </x:c>
      <x:c r="D781" s="21" t="str">
        <x:v>SYN-0223-INV-03</x:v>
      </x:c>
      <x:c r="E781" s="39" t="n">
        <x:v>46092</x:v>
      </x:c>
      <x:c r="F781" s="42" t="n">
        <x:v>14438.22</x:v>
      </x:c>
      <x:c r="G781" s="42" t="n">
        <x:v>721.91</x:v>
      </x:c>
      <x:c r="H781" s="42" t="n">
        <x:v>51510.14</x:v>
      </x:c>
      <x:c r="I781" s="39" t="n">
        <x:v>46258</x:v>
      </x:c>
    </x:row>
    <x:row r="782">
      <x:c r="A782" s="21" t="str">
        <x:v>SYN-0223</x:v>
      </x:c>
      <x:c r="B782" s="21" t="str">
        <x:v>Synthetic Supplier 0223 LLC</x:v>
      </x:c>
      <x:c r="C782" s="38" t="str">
        <x:f>"900 000 000 000 223"</x:f>
        <x:v>900 000 000 000 223</x:v>
      </x:c>
      <x:c r="D782" s="21" t="str">
        <x:v>SYN-0223-INV-04</x:v>
      </x:c>
      <x:c r="E782" s="39" t="n">
        <x:v>46139</x:v>
      </x:c>
      <x:c r="F782" s="42" t="n">
        <x:v>15702.31</x:v>
      </x:c>
      <x:c r="G782" s="42" t="n">
        <x:v>785.12</x:v>
      </x:c>
      <x:c r="H782" s="42" t="n">
        <x:v>51510.14</x:v>
      </x:c>
      <x:c r="I782" s="39" t="n">
        <x:v>46258</x:v>
      </x:c>
    </x:row>
    <x:row r="783">
      <x:c r="A783" s="21" t="str">
        <x:v>SYN-0223</x:v>
      </x:c>
      <x:c r="B783" s="21" t="str">
        <x:v>Synthetic Supplier 0223 LLC</x:v>
      </x:c>
      <x:c r="C783" s="38" t="str">
        <x:f>"900 000 000 000 223"</x:f>
        <x:v>900 000 000 000 223</x:v>
      </x:c>
      <x:c r="D783" s="21" t="str">
        <x:v>SYN-0223-INV-05</x:v>
      </x:c>
      <x:c r="E783" s="39" t="n">
        <x:v>46186</x:v>
      </x:c>
      <x:c r="F783" s="42" t="n">
        <x:v>7664.69</x:v>
      </x:c>
      <x:c r="G783" s="42" t="n">
        <x:v>383.23</x:v>
      </x:c>
      <x:c r="H783" s="42" t="n">
        <x:v>51510.14</x:v>
      </x:c>
      <x:c r="I783" s="39" t="n">
        <x:v>46258</x:v>
      </x:c>
    </x:row>
    <x:row r="784">
      <x:c r="A784" s="21" t="str">
        <x:v>SYN-0224</x:v>
      </x:c>
      <x:c r="B784" s="21" t="str">
        <x:v>Synthetic Supplier 0224 LLC</x:v>
      </x:c>
      <x:c r="C784" s="38" t="str">
        <x:f>"900 000 000 000 224"</x:f>
        <x:v>900 000 000 000 224</x:v>
      </x:c>
      <x:c r="D784" s="21" t="str">
        <x:v>SYN-0224-INV-01</x:v>
      </x:c>
      <x:c r="E784" s="39" t="n">
        <x:v>46011</x:v>
      </x:c>
      <x:c r="F784" s="42" t="n">
        <x:v>46911.53</x:v>
      </x:c>
      <x:c r="G784" s="42" t="n">
        <x:v>2345.58</x:v>
      </x:c>
      <x:c r="H784" s="42" t="n">
        <x:v>91270.54</x:v>
      </x:c>
      <x:c r="I784" s="39" t="n">
        <x:v>45925</x:v>
      </x:c>
    </x:row>
    <x:row r="785">
      <x:c r="A785" s="21" t="str">
        <x:v>SYN-0224</x:v>
      </x:c>
      <x:c r="B785" s="21" t="str">
        <x:v>Synthetic Supplier 0224 LLC</x:v>
      </x:c>
      <x:c r="C785" s="38" t="str">
        <x:f>"900 000 000 000 224"</x:f>
        <x:v>900 000 000 000 224</x:v>
      </x:c>
      <x:c r="D785" s="21" t="str">
        <x:v>SYN-0224-INV-02</x:v>
      </x:c>
      <x:c r="E785" s="39" t="n">
        <x:v>46058</x:v>
      </x:c>
      <x:c r="F785" s="42" t="n">
        <x:v>32454.16</x:v>
      </x:c>
      <x:c r="G785" s="42" t="n">
        <x:v>1622.71</x:v>
      </x:c>
      <x:c r="H785" s="42" t="n">
        <x:v>91270.54</x:v>
      </x:c>
      <x:c r="I785" s="39" t="n">
        <x:v>45925</x:v>
      </x:c>
    </x:row>
    <x:row r="786">
      <x:c r="A786" s="21" t="str">
        <x:v>SYN-0225</x:v>
      </x:c>
      <x:c r="B786" s="21" t="str">
        <x:v>Synthetic Supplier 0225 LLC</x:v>
      </x:c>
      <x:c r="C786" s="38" t="str">
        <x:f>"900 000 000 000 225"</x:f>
        <x:v>900 000 000 000 225</x:v>
      </x:c>
      <x:c r="D786" s="21" t="str">
        <x:v>SYN-0225-INV-01</x:v>
      </x:c>
      <x:c r="E786" s="39" t="n">
        <x:v>46024</x:v>
      </x:c>
      <x:c r="F786" s="42" t="n">
        <x:v>14378.34</x:v>
      </x:c>
      <x:c r="G786" s="42" t="n">
        <x:v>718.92</x:v>
      </x:c>
      <x:c r="H786" s="42" t="n">
        <x:v>47562.09</x:v>
      </x:c>
      <x:c r="I786" s="39"/>
    </x:row>
    <x:row r="787">
      <x:c r="A787" s="21" t="str">
        <x:v>SYN-0225</x:v>
      </x:c>
      <x:c r="B787" s="21" t="str">
        <x:v>Synthetic Supplier 0225 LLC</x:v>
      </x:c>
      <x:c r="C787" s="38" t="str">
        <x:f>"900 000 000 000 225"</x:f>
        <x:v>900 000 000 000 225</x:v>
      </x:c>
      <x:c r="D787" s="21" t="str">
        <x:v>SYN-0225-INV-02</x:v>
      </x:c>
      <x:c r="E787" s="39" t="n">
        <x:v>46071</x:v>
      </x:c>
      <x:c r="F787" s="42" t="n">
        <x:v>19938.21</x:v>
      </x:c>
      <x:c r="G787" s="42" t="n">
        <x:v>996.91</x:v>
      </x:c>
      <x:c r="H787" s="42" t="n">
        <x:v>47562.09</x:v>
      </x:c>
      <x:c r="I787" s="39"/>
    </x:row>
    <x:row r="788">
      <x:c r="A788" s="21" t="str">
        <x:v>SYN-0225</x:v>
      </x:c>
      <x:c r="B788" s="21" t="str">
        <x:v>Synthetic Supplier 0225 LLC</x:v>
      </x:c>
      <x:c r="C788" s="38" t="str">
        <x:f>"900 000 000 000 225"</x:f>
        <x:v>900 000 000 000 225</x:v>
      </x:c>
      <x:c r="D788" s="21" t="str">
        <x:v>SYN-0225-INV-03</x:v>
      </x:c>
      <x:c r="E788" s="39" t="n">
        <x:v>46118</x:v>
      </x:c>
      <x:c r="F788" s="42" t="n">
        <x:v>18530.22</x:v>
      </x:c>
      <x:c r="G788" s="42" t="n">
        <x:v>926.51</x:v>
      </x:c>
      <x:c r="H788" s="42" t="n">
        <x:v>47562.09</x:v>
      </x:c>
      <x:c r="I788" s="39"/>
    </x:row>
    <x:row r="789">
      <x:c r="A789" s="21" t="str">
        <x:v>SYN-0226</x:v>
      </x:c>
      <x:c r="B789" s="21" t="str">
        <x:v>Synthetic Supplier 0226 LLC</x:v>
      </x:c>
      <x:c r="C789" s="38" t="str">
        <x:f>"900 000 000 000 226"</x:f>
        <x:v>900 000 000 000 226</x:v>
      </x:c>
      <x:c r="D789" s="21" t="str">
        <x:v>SYN-0226-INV-01</x:v>
      </x:c>
      <x:c r="E789" s="39" t="n">
        <x:v>46037</x:v>
      </x:c>
      <x:c r="F789" s="42" t="n">
        <x:v>13317.7</x:v>
      </x:c>
      <x:c r="G789" s="42" t="n">
        <x:v>665.89</x:v>
      </x:c>
      <x:c r="H789" s="42" t="n">
        <x:v>41306.54</x:v>
      </x:c>
      <x:c r="I789" s="39" t="n">
        <x:v>45690</x:v>
      </x:c>
    </x:row>
    <x:row r="790">
      <x:c r="A790" s="21" t="str">
        <x:v>SYN-0226</x:v>
      </x:c>
      <x:c r="B790" s="21" t="str">
        <x:v>Synthetic Supplier 0226 LLC</x:v>
      </x:c>
      <x:c r="C790" s="38" t="str">
        <x:f>"900 000 000 000 226"</x:f>
        <x:v>900 000 000 000 226</x:v>
      </x:c>
      <x:c r="D790" s="21" t="str">
        <x:v>SYN-0226-INV-02</x:v>
      </x:c>
      <x:c r="E790" s="39" t="n">
        <x:v>46084</x:v>
      </x:c>
      <x:c r="F790" s="42" t="n">
        <x:v>11352.06</x:v>
      </x:c>
      <x:c r="G790" s="42" t="n">
        <x:v>567.6</x:v>
      </x:c>
      <x:c r="H790" s="42" t="n">
        <x:v>41306.54</x:v>
      </x:c>
      <x:c r="I790" s="39" t="n">
        <x:v>45690</x:v>
      </x:c>
    </x:row>
    <x:row r="791">
      <x:c r="A791" s="21" t="str">
        <x:v>SYN-0226</x:v>
      </x:c>
      <x:c r="B791" s="21" t="str">
        <x:v>Synthetic Supplier 0226 LLC</x:v>
      </x:c>
      <x:c r="C791" s="38" t="str">
        <x:f>"900 000 000 000 226"</x:f>
        <x:v>900 000 000 000 226</x:v>
      </x:c>
      <x:c r="D791" s="21" t="str">
        <x:v>SYN-0226-INV-03</x:v>
      </x:c>
      <x:c r="E791" s="39" t="n">
        <x:v>46131</x:v>
      </x:c>
      <x:c r="F791" s="42" t="n">
        <x:v>12103.56</x:v>
      </x:c>
      <x:c r="G791" s="42" t="n">
        <x:v>605.18</x:v>
      </x:c>
      <x:c r="H791" s="42" t="n">
        <x:v>41306.54</x:v>
      </x:c>
      <x:c r="I791" s="39" t="n">
        <x:v>45690</x:v>
      </x:c>
    </x:row>
    <x:row r="792">
      <x:c r="A792" s="21" t="str">
        <x:v>SYN-0226</x:v>
      </x:c>
      <x:c r="B792" s="21" t="str">
        <x:v>Synthetic Supplier 0226 LLC</x:v>
      </x:c>
      <x:c r="C792" s="38" t="str">
        <x:f>"900 000 000 000 226"</x:f>
        <x:v>900 000 000 000 226</x:v>
      </x:c>
      <x:c r="D792" s="21" t="str">
        <x:v>SYN-0226-INV-04</x:v>
      </x:c>
      <x:c r="E792" s="39" t="n">
        <x:v>46178</x:v>
      </x:c>
      <x:c r="F792" s="42" t="n">
        <x:v>9122.82</x:v>
      </x:c>
      <x:c r="G792" s="42" t="n">
        <x:v>456.14</x:v>
      </x:c>
      <x:c r="H792" s="42" t="n">
        <x:v>41306.54</x:v>
      </x:c>
      <x:c r="I792" s="39" t="n">
        <x:v>45690</x:v>
      </x:c>
    </x:row>
    <x:row r="793">
      <x:c r="A793" s="21" t="str">
        <x:v>SYN-0227</x:v>
      </x:c>
      <x:c r="B793" s="21" t="str">
        <x:v>Synthetic Supplier 0227 LLC</x:v>
      </x:c>
      <x:c r="C793" s="38" t="str">
        <x:f>"900 000 000 000 227"</x:f>
        <x:v>900 000 000 000 227</x:v>
      </x:c>
      <x:c r="D793" s="21" t="str">
        <x:v>SYN-0227-INV-01</x:v>
      </x:c>
      <x:c r="E793" s="39" t="n">
        <x:v>46050</x:v>
      </x:c>
      <x:c r="F793" s="42" t="n">
        <x:v>5676.67</x:v>
      </x:c>
      <x:c r="G793" s="42" t="n">
        <x:v>283.83</x:v>
      </x:c>
      <x:c r="H793" s="42" t="n">
        <x:v>32476.3</x:v>
      </x:c>
      <x:c r="I793" s="39" t="n">
        <x:v>46084</x:v>
      </x:c>
    </x:row>
    <x:row r="794">
      <x:c r="A794" s="21" t="str">
        <x:v>SYN-0227</x:v>
      </x:c>
      <x:c r="B794" s="21" t="str">
        <x:v>Synthetic Supplier 0227 LLC</x:v>
      </x:c>
      <x:c r="C794" s="38" t="str">
        <x:f>"900 000 000 000 227"</x:f>
        <x:v>900 000 000 000 227</x:v>
      </x:c>
      <x:c r="D794" s="21" t="str">
        <x:v>SYN-0227-INV-02</x:v>
      </x:c>
      <x:c r="E794" s="39" t="n">
        <x:v>46097</x:v>
      </x:c>
      <x:c r="F794" s="42" t="n">
        <x:v>9018.2</x:v>
      </x:c>
      <x:c r="G794" s="42" t="n">
        <x:v>450.91</x:v>
      </x:c>
      <x:c r="H794" s="42" t="n">
        <x:v>32476.3</x:v>
      </x:c>
      <x:c r="I794" s="39" t="n">
        <x:v>46084</x:v>
      </x:c>
    </x:row>
    <x:row r="795">
      <x:c r="A795" s="21" t="str">
        <x:v>SYN-0227</x:v>
      </x:c>
      <x:c r="B795" s="21" t="str">
        <x:v>Synthetic Supplier 0227 LLC</x:v>
      </x:c>
      <x:c r="C795" s="38" t="str">
        <x:f>"900 000 000 000 227"</x:f>
        <x:v>900 000 000 000 227</x:v>
      </x:c>
      <x:c r="D795" s="21" t="str">
        <x:v>SYN-0227-INV-03</x:v>
      </x:c>
      <x:c r="E795" s="39" t="n">
        <x:v>46144</x:v>
      </x:c>
      <x:c r="F795" s="42" t="n">
        <x:v>5055.37</x:v>
      </x:c>
      <x:c r="G795" s="42" t="n">
        <x:v>252.77</x:v>
      </x:c>
      <x:c r="H795" s="42" t="n">
        <x:v>32476.3</x:v>
      </x:c>
      <x:c r="I795" s="39" t="n">
        <x:v>46084</x:v>
      </x:c>
    </x:row>
    <x:row r="796">
      <x:c r="A796" s="21" t="str">
        <x:v>SYN-0227</x:v>
      </x:c>
      <x:c r="B796" s="21" t="str">
        <x:v>Synthetic Supplier 0227 LLC</x:v>
      </x:c>
      <x:c r="C796" s="38" t="str">
        <x:f>"900 000 000 000 227"</x:f>
        <x:v>900 000 000 000 227</x:v>
      </x:c>
      <x:c r="D796" s="21" t="str">
        <x:v>SYN-0227-INV-04</x:v>
      </x:c>
      <x:c r="E796" s="39" t="n">
        <x:v>46191</x:v>
      </x:c>
      <x:c r="F796" s="42" t="n">
        <x:v>7459.75</x:v>
      </x:c>
      <x:c r="G796" s="42" t="n">
        <x:v>372.99</x:v>
      </x:c>
      <x:c r="H796" s="42" t="n">
        <x:v>32476.3</x:v>
      </x:c>
      <x:c r="I796" s="39" t="n">
        <x:v>46084</x:v>
      </x:c>
    </x:row>
    <x:row r="797">
      <x:c r="A797" s="21" t="str">
        <x:v>SYN-0227</x:v>
      </x:c>
      <x:c r="B797" s="21" t="str">
        <x:v>Synthetic Supplier 0227 LLC</x:v>
      </x:c>
      <x:c r="C797" s="38" t="str">
        <x:f>"900 000 000 000 227"</x:f>
        <x:v>900 000 000 000 227</x:v>
      </x:c>
      <x:c r="D797" s="21" t="str">
        <x:v>SYN-0227-INV-05</x:v>
      </x:c>
      <x:c r="E797" s="39" t="n">
        <x:v>46238</x:v>
      </x:c>
      <x:c r="F797" s="42" t="n">
        <x:v>8874.8</x:v>
      </x:c>
      <x:c r="G797" s="42" t="n">
        <x:v>443.74</x:v>
      </x:c>
      <x:c r="H797" s="42" t="n">
        <x:v>32476.3</x:v>
      </x:c>
      <x:c r="I797" s="39" t="n">
        <x:v>46084</x:v>
      </x:c>
    </x:row>
    <x:row r="798">
      <x:c r="A798" s="21" t="str">
        <x:v>SYN-0228</x:v>
      </x:c>
      <x:c r="B798" s="21" t="str">
        <x:v>Synthetic Supplier 0228 LLC</x:v>
      </x:c>
      <x:c r="C798" s="38" t="str">
        <x:f>"900 000 000 000 228"</x:f>
        <x:v>900 000 000 000 228</x:v>
      </x:c>
      <x:c r="D798" s="21" t="str">
        <x:v>SYN-0228-INV-01</x:v>
      </x:c>
      <x:c r="E798" s="39" t="n">
        <x:v>46063</x:v>
      </x:c>
      <x:c r="F798" s="42" t="n">
        <x:v>31011.58</x:v>
      </x:c>
      <x:c r="G798" s="42" t="n">
        <x:v>1550.58</x:v>
      </x:c>
      <x:c r="H798" s="42" t="n">
        <x:v>46132.67</x:v>
      </x:c>
      <x:c r="I798" s="39" t="n">
        <x:v>45751</x:v>
      </x:c>
    </x:row>
    <x:row r="799">
      <x:c r="A799" s="21" t="str">
        <x:v>SYN-0228</x:v>
      </x:c>
      <x:c r="B799" s="21" t="str">
        <x:v>Synthetic Supplier 0228 LLC</x:v>
      </x:c>
      <x:c r="C799" s="38" t="str">
        <x:f>"900 000 000 000 228"</x:f>
        <x:v>900 000 000 000 228</x:v>
      </x:c>
      <x:c r="D799" s="21" t="str">
        <x:v>SYN-0228-INV-02</x:v>
      </x:c>
      <x:c r="E799" s="39" t="n">
        <x:v>46110</x:v>
      </x:c>
      <x:c r="F799" s="42" t="n">
        <x:v>20246.94</x:v>
      </x:c>
      <x:c r="G799" s="42" t="n">
        <x:v>1012.35</x:v>
      </x:c>
      <x:c r="H799" s="42" t="n">
        <x:v>46132.67</x:v>
      </x:c>
      <x:c r="I799" s="39" t="n">
        <x:v>45751</x:v>
      </x:c>
    </x:row>
    <x:row r="800">
      <x:c r="A800" s="21" t="str">
        <x:v>SYN-0229</x:v>
      </x:c>
      <x:c r="B800" s="21" t="str">
        <x:v>Synthetic Supplier 0229 LLC</x:v>
      </x:c>
      <x:c r="C800" s="38" t="str">
        <x:f>"900 000 000 000 229"</x:f>
        <x:v>900 000 000 000 229</x:v>
      </x:c>
      <x:c r="D800" s="21" t="str">
        <x:v>SYN-0229-INV-01</x:v>
      </x:c>
      <x:c r="E800" s="39" t="n">
        <x:v>46076</x:v>
      </x:c>
      <x:c r="F800" s="42" t="n">
        <x:v>25799.15</x:v>
      </x:c>
      <x:c r="G800" s="42" t="n">
        <x:v>1289.96</x:v>
      </x:c>
      <x:c r="H800" s="42" t="n">
        <x:v>61487.97</x:v>
      </x:c>
      <x:c r="I800" s="39" t="n">
        <x:v>46147</x:v>
      </x:c>
    </x:row>
    <x:row r="801">
      <x:c r="A801" s="21" t="str">
        <x:v>SYN-0229</x:v>
      </x:c>
      <x:c r="B801" s="21" t="str">
        <x:v>Synthetic Supplier 0229 LLC</x:v>
      </x:c>
      <x:c r="C801" s="38" t="str">
        <x:f>"900 000 000 000 229"</x:f>
        <x:v>900 000 000 000 229</x:v>
      </x:c>
      <x:c r="D801" s="21" t="str">
        <x:v>SYN-0229-INV-02</x:v>
      </x:c>
      <x:c r="E801" s="39" t="n">
        <x:v>46123</x:v>
      </x:c>
      <x:c r="F801" s="42" t="n">
        <x:v>24687.96</x:v>
      </x:c>
      <x:c r="G801" s="42" t="n">
        <x:v>1234.4</x:v>
      </x:c>
      <x:c r="H801" s="42" t="n">
        <x:v>61487.97</x:v>
      </x:c>
      <x:c r="I801" s="39" t="n">
        <x:v>46147</x:v>
      </x:c>
    </x:row>
    <x:row r="802">
      <x:c r="A802" s="21" t="str">
        <x:v>SYN-0229</x:v>
      </x:c>
      <x:c r="B802" s="21" t="str">
        <x:v>Synthetic Supplier 0229 LLC</x:v>
      </x:c>
      <x:c r="C802" s="38" t="str">
        <x:f>"900 000 000 000 229"</x:f>
        <x:v>900 000 000 000 229</x:v>
      </x:c>
      <x:c r="D802" s="21" t="str">
        <x:v>SYN-0229-INV-03</x:v>
      </x:c>
      <x:c r="E802" s="39" t="n">
        <x:v>46170</x:v>
      </x:c>
      <x:c r="F802" s="42" t="n">
        <x:v>17832.85</x:v>
      </x:c>
      <x:c r="G802" s="42" t="n">
        <x:v>891.64</x:v>
      </x:c>
      <x:c r="H802" s="42" t="n">
        <x:v>61487.97</x:v>
      </x:c>
      <x:c r="I802" s="39" t="n">
        <x:v>46147</x:v>
      </x:c>
    </x:row>
    <x:row r="803">
      <x:c r="A803" s="21" t="str">
        <x:v>SYN-0230</x:v>
      </x:c>
      <x:c r="B803" s="21" t="str">
        <x:v>Synthetic Supplier 0230 LLC</x:v>
      </x:c>
      <x:c r="C803" s="38" t="str">
        <x:f>"900 000 000 000 230"</x:f>
        <x:v>900 000 000 000 230</x:v>
      </x:c>
      <x:c r="D803" s="21" t="str">
        <x:v>SYN-0230-INV-01</x:v>
      </x:c>
      <x:c r="E803" s="39" t="n">
        <x:v>46089</x:v>
      </x:c>
      <x:c r="F803" s="42" t="n">
        <x:v>8879.31</x:v>
      </x:c>
      <x:c r="G803" s="42" t="n">
        <x:v>443.97</x:v>
      </x:c>
      <x:c r="H803" s="42" t="n">
        <x:v>36077.9</x:v>
      </x:c>
      <x:c r="I803" s="39"/>
    </x:row>
    <x:row r="804">
      <x:c r="A804" s="21" t="str">
        <x:v>SYN-0230</x:v>
      </x:c>
      <x:c r="B804" s="21" t="str">
        <x:v>Synthetic Supplier 0230 LLC</x:v>
      </x:c>
      <x:c r="C804" s="38" t="str">
        <x:f>"900 000 000 000 230"</x:f>
        <x:v>900 000 000 000 230</x:v>
      </x:c>
      <x:c r="D804" s="21" t="str">
        <x:v>SYN-0230-INV-02</x:v>
      </x:c>
      <x:c r="E804" s="39" t="n">
        <x:v>46136</x:v>
      </x:c>
      <x:c r="F804" s="42" t="n">
        <x:v>9483.37</x:v>
      </x:c>
      <x:c r="G804" s="42" t="n">
        <x:v>474.17</x:v>
      </x:c>
      <x:c r="H804" s="42" t="n">
        <x:v>36077.9</x:v>
      </x:c>
      <x:c r="I804" s="39"/>
    </x:row>
    <x:row r="805">
      <x:c r="A805" s="21" t="str">
        <x:v>SYN-0230</x:v>
      </x:c>
      <x:c r="B805" s="21" t="str">
        <x:v>Synthetic Supplier 0230 LLC</x:v>
      </x:c>
      <x:c r="C805" s="38" t="str">
        <x:f>"900 000 000 000 230"</x:f>
        <x:v>900 000 000 000 230</x:v>
      </x:c>
      <x:c r="D805" s="21" t="str">
        <x:v>SYN-0230-INV-03</x:v>
      </x:c>
      <x:c r="E805" s="39" t="n">
        <x:v>46183</x:v>
      </x:c>
      <x:c r="F805" s="42" t="n">
        <x:v>8580.24</x:v>
      </x:c>
      <x:c r="G805" s="42" t="n">
        <x:v>429.01</x:v>
      </x:c>
      <x:c r="H805" s="42" t="n">
        <x:v>36077.9</x:v>
      </x:c>
      <x:c r="I805" s="39"/>
    </x:row>
    <x:row r="806">
      <x:c r="A806" s="21" t="str">
        <x:v>SYN-0230</x:v>
      </x:c>
      <x:c r="B806" s="21" t="str">
        <x:v>Synthetic Supplier 0230 LLC</x:v>
      </x:c>
      <x:c r="C806" s="38" t="str">
        <x:f>"900 000 000 000 230"</x:f>
        <x:v>900 000 000 000 230</x:v>
      </x:c>
      <x:c r="D806" s="21" t="str">
        <x:v>SYN-0230-INV-04</x:v>
      </x:c>
      <x:c r="E806" s="39" t="n">
        <x:v>46230</x:v>
      </x:c>
      <x:c r="F806" s="42" t="n">
        <x:v>13143.63</x:v>
      </x:c>
      <x:c r="G806" s="42" t="n">
        <x:v>657.18</x:v>
      </x:c>
      <x:c r="H806" s="42" t="n">
        <x:v>36077.9</x:v>
      </x:c>
      <x:c r="I806" s="39"/>
    </x:row>
    <x:row r="807">
      <x:c r="A807" s="21" t="str">
        <x:v>SYN-0231</x:v>
      </x:c>
      <x:c r="B807" s="21" t="str">
        <x:v>Synthetic Supplier 0231 LLC</x:v>
      </x:c>
      <x:c r="C807" s="38" t="str">
        <x:f>"900 000 000 000 231"</x:f>
        <x:v>900 000 000 000 231</x:v>
      </x:c>
      <x:c r="D807" s="21" t="str">
        <x:v>SYN-0231-INV-01</x:v>
      </x:c>
      <x:c r="E807" s="39" t="n">
        <x:v>46102</x:v>
      </x:c>
      <x:c r="F807" s="42" t="n">
        <x:v>10771.71</x:v>
      </x:c>
      <x:c r="G807" s="42" t="n">
        <x:v>538.59</x:v>
      </x:c>
      <x:c r="H807" s="42" t="n">
        <x:v>50838.36</x:v>
      </x:c>
      <x:c r="I807" s="39" t="n">
        <x:v>46210</x:v>
      </x:c>
    </x:row>
    <x:row r="808">
      <x:c r="A808" s="21" t="str">
        <x:v>SYN-0231</x:v>
      </x:c>
      <x:c r="B808" s="21" t="str">
        <x:v>Synthetic Supplier 0231 LLC</x:v>
      </x:c>
      <x:c r="C808" s="38" t="str">
        <x:f>"900 000 000 000 231"</x:f>
        <x:v>900 000 000 000 231</x:v>
      </x:c>
      <x:c r="D808" s="21" t="str">
        <x:v>SYN-0231-INV-02</x:v>
      </x:c>
      <x:c r="E808" s="39" t="n">
        <x:v>46149</x:v>
      </x:c>
      <x:c r="F808" s="42" t="n">
        <x:v>6541.26</x:v>
      </x:c>
      <x:c r="G808" s="42" t="n">
        <x:v>327.06</x:v>
      </x:c>
      <x:c r="H808" s="42" t="n">
        <x:v>50838.36</x:v>
      </x:c>
      <x:c r="I808" s="39" t="n">
        <x:v>46210</x:v>
      </x:c>
    </x:row>
    <x:row r="809">
      <x:c r="A809" s="21" t="str">
        <x:v>SYN-0231</x:v>
      </x:c>
      <x:c r="B809" s="21" t="str">
        <x:v>Synthetic Supplier 0231 LLC</x:v>
      </x:c>
      <x:c r="C809" s="38" t="str">
        <x:f>"900 000 000 000 231"</x:f>
        <x:v>900 000 000 000 231</x:v>
      </x:c>
      <x:c r="D809" s="21" t="str">
        <x:v>SYN-0231-INV-03</x:v>
      </x:c>
      <x:c r="E809" s="39" t="n">
        <x:v>46196</x:v>
      </x:c>
      <x:c r="F809" s="42" t="n">
        <x:v>9299.66</x:v>
      </x:c>
      <x:c r="G809" s="42" t="n">
        <x:v>464.98</x:v>
      </x:c>
      <x:c r="H809" s="42" t="n">
        <x:v>50838.36</x:v>
      </x:c>
      <x:c r="I809" s="39" t="n">
        <x:v>46210</x:v>
      </x:c>
    </x:row>
    <x:row r="810">
      <x:c r="A810" s="21" t="str">
        <x:v>SYN-0231</x:v>
      </x:c>
      <x:c r="B810" s="21" t="str">
        <x:v>Synthetic Supplier 0231 LLC</x:v>
      </x:c>
      <x:c r="C810" s="38" t="str">
        <x:f>"900 000 000 000 231"</x:f>
        <x:v>900 000 000 000 231</x:v>
      </x:c>
      <x:c r="D810" s="21" t="str">
        <x:v>SYN-0231-INV-04</x:v>
      </x:c>
      <x:c r="E810" s="39" t="n">
        <x:v>46243</x:v>
      </x:c>
      <x:c r="F810" s="42" t="n">
        <x:v>10584.13</x:v>
      </x:c>
      <x:c r="G810" s="42" t="n">
        <x:v>529.21</x:v>
      </x:c>
      <x:c r="H810" s="42" t="n">
        <x:v>50838.36</x:v>
      </x:c>
      <x:c r="I810" s="39" t="n">
        <x:v>46210</x:v>
      </x:c>
    </x:row>
    <x:row r="811">
      <x:c r="A811" s="21" t="str">
        <x:v>SYN-0231</x:v>
      </x:c>
      <x:c r="B811" s="21" t="str">
        <x:v>Synthetic Supplier 0231 LLC</x:v>
      </x:c>
      <x:c r="C811" s="38" t="str">
        <x:f>"900 000 000 000 231"</x:f>
        <x:v>900 000 000 000 231</x:v>
      </x:c>
      <x:c r="D811" s="21" t="str">
        <x:v>SYN-0231-INV-05</x:v>
      </x:c>
      <x:c r="E811" s="39" t="n">
        <x:v>46290</x:v>
      </x:c>
      <x:c r="F811" s="42" t="n">
        <x:v>7010.51</x:v>
      </x:c>
      <x:c r="G811" s="42" t="n">
        <x:v>350.53</x:v>
      </x:c>
      <x:c r="H811" s="42" t="n">
        <x:v>50838.36</x:v>
      </x:c>
      <x:c r="I811" s="39" t="n">
        <x:v>46210</x:v>
      </x:c>
    </x:row>
    <x:row r="812">
      <x:c r="A812" s="21" t="str">
        <x:v>SYN-0232</x:v>
      </x:c>
      <x:c r="B812" s="21" t="str">
        <x:v>Synthetic Supplier 0232 LLC</x:v>
      </x:c>
      <x:c r="C812" s="38" t="str">
        <x:f>"900 000 000 000 232"</x:f>
        <x:v>900 000 000 000 232</x:v>
      </x:c>
      <x:c r="D812" s="21" t="str">
        <x:v>SYN-0232-INV-01</x:v>
      </x:c>
      <x:c r="E812" s="39" t="n">
        <x:v>46115</x:v>
      </x:c>
      <x:c r="F812" s="42" t="n">
        <x:v>30725.56</x:v>
      </x:c>
      <x:c r="G812" s="42" t="n">
        <x:v>1536.28</x:v>
      </x:c>
      <x:c r="H812" s="42" t="n">
        <x:v>69432.43</x:v>
      </x:c>
      <x:c r="I812" s="39" t="n">
        <x:v>45877</x:v>
      </x:c>
    </x:row>
    <x:row r="813">
      <x:c r="A813" s="21" t="str">
        <x:v>SYN-0232</x:v>
      </x:c>
      <x:c r="B813" s="21" t="str">
        <x:v>Synthetic Supplier 0232 LLC</x:v>
      </x:c>
      <x:c r="C813" s="38" t="str">
        <x:f>"900 000 000 000 232"</x:f>
        <x:v>900 000 000 000 232</x:v>
      </x:c>
      <x:c r="D813" s="21" t="str">
        <x:v>SYN-0232-INV-02</x:v>
      </x:c>
      <x:c r="E813" s="39" t="n">
        <x:v>46162</x:v>
      </x:c>
      <x:c r="F813" s="42" t="n">
        <x:v>46421.58</x:v>
      </x:c>
      <x:c r="G813" s="42" t="n">
        <x:v>2321.08</x:v>
      </x:c>
      <x:c r="H813" s="42" t="n">
        <x:v>69432.43</x:v>
      </x:c>
      <x:c r="I813" s="39" t="n">
        <x:v>45877</x:v>
      </x:c>
    </x:row>
    <x:row r="814">
      <x:c r="A814" s="21" t="str">
        <x:v>SYN-0233</x:v>
      </x:c>
      <x:c r="B814" s="21" t="str">
        <x:v>Synthetic Supplier 0233 LLC</x:v>
      </x:c>
      <x:c r="C814" s="38" t="str">
        <x:f>"900 000 000 000 233"</x:f>
        <x:v>900 000 000 000 233</x:v>
      </x:c>
      <x:c r="D814" s="21" t="str">
        <x:v>SYN-0233-INV-01</x:v>
      </x:c>
      <x:c r="E814" s="39" t="n">
        <x:v>46128</x:v>
      </x:c>
      <x:c r="F814" s="42" t="n">
        <x:v>16587.63</x:v>
      </x:c>
      <x:c r="G814" s="42" t="n">
        <x:v>829.38</x:v>
      </x:c>
      <x:c r="H814" s="42" t="n">
        <x:v>42139.07</x:v>
      </x:c>
      <x:c r="I814" s="39" t="n">
        <x:v>46274</x:v>
      </x:c>
    </x:row>
    <x:row r="815">
      <x:c r="A815" s="21" t="str">
        <x:v>SYN-0233</x:v>
      </x:c>
      <x:c r="B815" s="21" t="str">
        <x:v>Synthetic Supplier 0233 LLC</x:v>
      </x:c>
      <x:c r="C815" s="38" t="str">
        <x:f>"900 000 000 000 233"</x:f>
        <x:v>900 000 000 000 233</x:v>
      </x:c>
      <x:c r="D815" s="21" t="str">
        <x:v>SYN-0233-INV-02</x:v>
      </x:c>
      <x:c r="E815" s="39" t="n">
        <x:v>46175</x:v>
      </x:c>
      <x:c r="F815" s="42" t="n">
        <x:v>15888.92</x:v>
      </x:c>
      <x:c r="G815" s="42" t="n">
        <x:v>794.45</x:v>
      </x:c>
      <x:c r="H815" s="42" t="n">
        <x:v>42139.07</x:v>
      </x:c>
      <x:c r="I815" s="39" t="n">
        <x:v>46274</x:v>
      </x:c>
    </x:row>
    <x:row r="816">
      <x:c r="A816" s="21" t="str">
        <x:v>SYN-0233</x:v>
      </x:c>
      <x:c r="B816" s="21" t="str">
        <x:v>Synthetic Supplier 0233 LLC</x:v>
      </x:c>
      <x:c r="C816" s="38" t="str">
        <x:f>"900 000 000 000 233"</x:f>
        <x:v>900 000 000 000 233</x:v>
      </x:c>
      <x:c r="D816" s="21" t="str">
        <x:v>SYN-0233-INV-03</x:v>
      </x:c>
      <x:c r="E816" s="39" t="n">
        <x:v>46222</x:v>
      </x:c>
      <x:c r="F816" s="42" t="n">
        <x:v>14344.64</x:v>
      </x:c>
      <x:c r="G816" s="42" t="n">
        <x:v>717.23</x:v>
      </x:c>
      <x:c r="H816" s="42" t="n">
        <x:v>42139.07</x:v>
      </x:c>
      <x:c r="I816" s="39" t="n">
        <x:v>46274</x:v>
      </x:c>
    </x:row>
    <x:row r="817">
      <x:c r="A817" s="21" t="str">
        <x:v>SYN-0234</x:v>
      </x:c>
      <x:c r="B817" s="21" t="str">
        <x:v>Synthetic Supplier 0234 LLC</x:v>
      </x:c>
      <x:c r="C817" s="38" t="str">
        <x:f>"900 000 000 000 234"</x:f>
        <x:v>900 000 000 000 234</x:v>
      </x:c>
      <x:c r="D817" s="21" t="str">
        <x:v>SYN-0234-INV-01</x:v>
      </x:c>
      <x:c r="E817" s="39" t="n">
        <x:v>46141</x:v>
      </x:c>
      <x:c r="F817" s="42" t="n">
        <x:v>6947.89</x:v>
      </x:c>
      <x:c r="G817" s="42" t="n">
        <x:v>347.39</x:v>
      </x:c>
      <x:c r="H817" s="42" t="n">
        <x:v>32440.53</x:v>
      </x:c>
      <x:c r="I817" s="39" t="n">
        <x:v>45667</x:v>
      </x:c>
    </x:row>
    <x:row r="818">
      <x:c r="A818" s="21" t="str">
        <x:v>SYN-0234</x:v>
      </x:c>
      <x:c r="B818" s="21" t="str">
        <x:v>Synthetic Supplier 0234 LLC</x:v>
      </x:c>
      <x:c r="C818" s="38" t="str">
        <x:f>"900 000 000 000 234"</x:f>
        <x:v>900 000 000 000 234</x:v>
      </x:c>
      <x:c r="D818" s="21" t="str">
        <x:v>SYN-0234-INV-02</x:v>
      </x:c>
      <x:c r="E818" s="39" t="n">
        <x:v>46188</x:v>
      </x:c>
      <x:c r="F818" s="42" t="n">
        <x:v>9456.15</x:v>
      </x:c>
      <x:c r="G818" s="42" t="n">
        <x:v>472.81</x:v>
      </x:c>
      <x:c r="H818" s="42" t="n">
        <x:v>32440.53</x:v>
      </x:c>
      <x:c r="I818" s="39" t="n">
        <x:v>45667</x:v>
      </x:c>
    </x:row>
    <x:row r="819">
      <x:c r="A819" s="21" t="str">
        <x:v>SYN-0234</x:v>
      </x:c>
      <x:c r="B819" s="21" t="str">
        <x:v>Synthetic Supplier 0234 LLC</x:v>
      </x:c>
      <x:c r="C819" s="38" t="str">
        <x:f>"900 000 000 000 234"</x:f>
        <x:v>900 000 000 000 234</x:v>
      </x:c>
      <x:c r="D819" s="21" t="str">
        <x:v>SYN-0234-INV-03</x:v>
      </x:c>
      <x:c r="E819" s="39" t="n">
        <x:v>46235</x:v>
      </x:c>
      <x:c r="F819" s="42" t="n">
        <x:v>8424.16</x:v>
      </x:c>
      <x:c r="G819" s="42" t="n">
        <x:v>421.21</x:v>
      </x:c>
      <x:c r="H819" s="42" t="n">
        <x:v>32440.53</x:v>
      </x:c>
      <x:c r="I819" s="39" t="n">
        <x:v>45667</x:v>
      </x:c>
    </x:row>
    <x:row r="820">
      <x:c r="A820" s="21" t="str">
        <x:v>SYN-0234</x:v>
      </x:c>
      <x:c r="B820" s="21" t="str">
        <x:v>Synthetic Supplier 0234 LLC</x:v>
      </x:c>
      <x:c r="C820" s="38" t="str">
        <x:f>"900 000 000 000 234"</x:f>
        <x:v>900 000 000 000 234</x:v>
      </x:c>
      <x:c r="D820" s="21" t="str">
        <x:v>SYN-0234-INV-04</x:v>
      </x:c>
      <x:c r="E820" s="39" t="n">
        <x:v>46282</x:v>
      </x:c>
      <x:c r="F820" s="42" t="n">
        <x:v>11216.83</x:v>
      </x:c>
      <x:c r="G820" s="42" t="n">
        <x:v>560.84</x:v>
      </x:c>
      <x:c r="H820" s="42" t="n">
        <x:v>32440.53</x:v>
      </x:c>
      <x:c r="I820" s="39" t="n">
        <x:v>45667</x:v>
      </x:c>
    </x:row>
    <x:row r="821">
      <x:c r="A821" s="21" t="str">
        <x:v>SYN-0235</x:v>
      </x:c>
      <x:c r="B821" s="21" t="str">
        <x:v>Synthetic Supplier 0235 LLC</x:v>
      </x:c>
      <x:c r="C821" s="38" t="str">
        <x:f>"900 000 000 000 235"</x:f>
        <x:v>900 000 000 000 235</x:v>
      </x:c>
      <x:c r="D821" s="21" t="str">
        <x:v>SYN-0235-INV-01</x:v>
      </x:c>
      <x:c r="E821" s="39" t="n">
        <x:v>46154</x:v>
      </x:c>
      <x:c r="F821" s="42" t="n">
        <x:v>8379.39</x:v>
      </x:c>
      <x:c r="G821" s="42" t="n">
        <x:v>418.97</x:v>
      </x:c>
      <x:c r="H821" s="42" t="n">
        <x:v>31792.76</x:v>
      </x:c>
      <x:c r="I821" s="39"/>
    </x:row>
    <x:row r="822">
      <x:c r="A822" s="21" t="str">
        <x:v>SYN-0235</x:v>
      </x:c>
      <x:c r="B822" s="21" t="str">
        <x:v>Synthetic Supplier 0235 LLC</x:v>
      </x:c>
      <x:c r="C822" s="38" t="str">
        <x:f>"900 000 000 000 235"</x:f>
        <x:v>900 000 000 000 235</x:v>
      </x:c>
      <x:c r="D822" s="21" t="str">
        <x:v>SYN-0235-INV-02</x:v>
      </x:c>
      <x:c r="E822" s="39" t="n">
        <x:v>46201</x:v>
      </x:c>
      <x:c r="F822" s="42" t="n">
        <x:v>8207.79</x:v>
      </x:c>
      <x:c r="G822" s="42" t="n">
        <x:v>410.39</x:v>
      </x:c>
      <x:c r="H822" s="42" t="n">
        <x:v>31792.76</x:v>
      </x:c>
      <x:c r="I822" s="39"/>
    </x:row>
    <x:row r="823">
      <x:c r="A823" s="21" t="str">
        <x:v>SYN-0235</x:v>
      </x:c>
      <x:c r="B823" s="21" t="str">
        <x:v>Synthetic Supplier 0235 LLC</x:v>
      </x:c>
      <x:c r="C823" s="38" t="str">
        <x:f>"900 000 000 000 235"</x:f>
        <x:v>900 000 000 000 235</x:v>
      </x:c>
      <x:c r="D823" s="21" t="str">
        <x:v>SYN-0235-INV-03</x:v>
      </x:c>
      <x:c r="E823" s="39" t="n">
        <x:v>46248</x:v>
      </x:c>
      <x:c r="F823" s="42" t="n">
        <x:v>6641.69</x:v>
      </x:c>
      <x:c r="G823" s="42" t="n">
        <x:v>332.08</x:v>
      </x:c>
      <x:c r="H823" s="42" t="n">
        <x:v>31792.76</x:v>
      </x:c>
      <x:c r="I823" s="39"/>
    </x:row>
    <x:row r="824">
      <x:c r="A824" s="21" t="str">
        <x:v>SYN-0235</x:v>
      </x:c>
      <x:c r="B824" s="21" t="str">
        <x:v>Synthetic Supplier 0235 LLC</x:v>
      </x:c>
      <x:c r="C824" s="38" t="str">
        <x:f>"900 000 000 000 235"</x:f>
        <x:v>900 000 000 000 235</x:v>
      </x:c>
      <x:c r="D824" s="21" t="str">
        <x:v>SYN-0235-INV-04</x:v>
      </x:c>
      <x:c r="E824" s="39" t="n">
        <x:v>45935</x:v>
      </x:c>
      <x:c r="F824" s="42" t="n">
        <x:v>6312.36</x:v>
      </x:c>
      <x:c r="G824" s="42" t="n">
        <x:v>315.62</x:v>
      </x:c>
      <x:c r="H824" s="42" t="n">
        <x:v>31792.76</x:v>
      </x:c>
      <x:c r="I824" s="39"/>
    </x:row>
    <x:row r="825">
      <x:c r="A825" s="21" t="str">
        <x:v>SYN-0235</x:v>
      </x:c>
      <x:c r="B825" s="21" t="str">
        <x:v>Synthetic Supplier 0235 LLC</x:v>
      </x:c>
      <x:c r="C825" s="38" t="str">
        <x:f>"900 000 000 000 235"</x:f>
        <x:v>900 000 000 000 235</x:v>
      </x:c>
      <x:c r="D825" s="21" t="str">
        <x:v>SYN-0235-INV-05</x:v>
      </x:c>
      <x:c r="E825" s="39" t="n">
        <x:v>45982</x:v>
      </x:c>
      <x:c r="F825" s="42" t="n">
        <x:v>5784.06</x:v>
      </x:c>
      <x:c r="G825" s="42" t="n">
        <x:v>289.2</x:v>
      </x:c>
      <x:c r="H825" s="42" t="n">
        <x:v>31792.76</x:v>
      </x:c>
      <x:c r="I825" s="39"/>
    </x:row>
    <x:row r="826">
      <x:c r="A826" s="21" t="str">
        <x:v>SYN-0236</x:v>
      </x:c>
      <x:c r="B826" s="21" t="str">
        <x:v>Synthetic Supplier 0236 LLC</x:v>
      </x:c>
      <x:c r="C826" s="38" t="str">
        <x:f>"900 000 000 000 236"</x:f>
        <x:v>900 000 000 000 236</x:v>
      </x:c>
      <x:c r="D826" s="21" t="str">
        <x:v>SYN-0236-INV-01</x:v>
      </x:c>
      <x:c r="E826" s="39" t="n">
        <x:v>46167</x:v>
      </x:c>
      <x:c r="F826" s="42" t="n">
        <x:v>41098.07</x:v>
      </x:c>
      <x:c r="G826" s="42" t="n">
        <x:v>2054.9</x:v>
      </x:c>
      <x:c r="H826" s="42" t="n">
        <x:v>59318.48</x:v>
      </x:c>
      <x:c r="I826" s="39" t="n">
        <x:v>45728</x:v>
      </x:c>
    </x:row>
    <x:row r="827">
      <x:c r="A827" s="21" t="str">
        <x:v>SYN-0236</x:v>
      </x:c>
      <x:c r="B827" s="21" t="str">
        <x:v>Synthetic Supplier 0236 LLC</x:v>
      </x:c>
      <x:c r="C827" s="38" t="str">
        <x:f>"900 000 000 000 236"</x:f>
        <x:v>900 000 000 000 236</x:v>
      </x:c>
      <x:c r="D827" s="21" t="str">
        <x:v>SYN-0236-INV-02</x:v>
      </x:c>
      <x:c r="E827" s="39" t="n">
        <x:v>46214</x:v>
      </x:c>
      <x:c r="F827" s="42" t="n">
        <x:v>24811.35</x:v>
      </x:c>
      <x:c r="G827" s="42" t="n">
        <x:v>1240.57</x:v>
      </x:c>
      <x:c r="H827" s="42" t="n">
        <x:v>59318.48</x:v>
      </x:c>
      <x:c r="I827" s="39" t="n">
        <x:v>45728</x:v>
      </x:c>
    </x:row>
    <x:row r="828">
      <x:c r="A828" s="21" t="str">
        <x:v>SYN-0237</x:v>
      </x:c>
      <x:c r="B828" s="21" t="str">
        <x:v>Synthetic Supplier 0237 LLC</x:v>
      </x:c>
      <x:c r="C828" s="38" t="str">
        <x:f>"900 000 000 000 237"</x:f>
        <x:v>900 000 000 000 237</x:v>
      </x:c>
      <x:c r="D828" s="21" t="str">
        <x:v>SYN-0237-INV-01</x:v>
      </x:c>
      <x:c r="E828" s="39" t="n">
        <x:v>46180</x:v>
      </x:c>
      <x:c r="F828" s="42" t="n">
        <x:v>21459.05</x:v>
      </x:c>
      <x:c r="G828" s="42" t="n">
        <x:v>1072.95</x:v>
      </x:c>
      <x:c r="H828" s="42" t="n">
        <x:v>53494.37</x:v>
      </x:c>
      <x:c r="I828" s="39" t="n">
        <x:v>46125</x:v>
      </x:c>
    </x:row>
    <x:row r="829">
      <x:c r="A829" s="21" t="str">
        <x:v>SYN-0237</x:v>
      </x:c>
      <x:c r="B829" s="21" t="str">
        <x:v>Synthetic Supplier 0237 LLC</x:v>
      </x:c>
      <x:c r="C829" s="38" t="str">
        <x:f>"900 000 000 000 237"</x:f>
        <x:v>900 000 000 000 237</x:v>
      </x:c>
      <x:c r="D829" s="21" t="str">
        <x:v>SYN-0237-INV-02</x:v>
      </x:c>
      <x:c r="E829" s="39" t="n">
        <x:v>46227</x:v>
      </x:c>
      <x:c r="F829" s="42" t="n">
        <x:v>20108.11</x:v>
      </x:c>
      <x:c r="G829" s="42" t="n">
        <x:v>1005.41</x:v>
      </x:c>
      <x:c r="H829" s="42" t="n">
        <x:v>53494.37</x:v>
      </x:c>
      <x:c r="I829" s="39" t="n">
        <x:v>46125</x:v>
      </x:c>
    </x:row>
    <x:row r="830">
      <x:c r="A830" s="21" t="str">
        <x:v>SYN-0237</x:v>
      </x:c>
      <x:c r="B830" s="21" t="str">
        <x:v>Synthetic Supplier 0237 LLC</x:v>
      </x:c>
      <x:c r="C830" s="38" t="str">
        <x:f>"900 000 000 000 237"</x:f>
        <x:v>900 000 000 000 237</x:v>
      </x:c>
      <x:c r="D830" s="21" t="str">
        <x:v>SYN-0237-INV-03</x:v>
      </x:c>
      <x:c r="E830" s="39" t="n">
        <x:v>46274</x:v>
      </x:c>
      <x:c r="F830" s="42" t="n">
        <x:v>17871.03</x:v>
      </x:c>
      <x:c r="G830" s="42" t="n">
        <x:v>893.55</x:v>
      </x:c>
      <x:c r="H830" s="42" t="n">
        <x:v>53494.37</x:v>
      </x:c>
      <x:c r="I830" s="39" t="n">
        <x:v>46125</x:v>
      </x:c>
    </x:row>
    <x:row r="831">
      <x:c r="A831" s="21" t="str">
        <x:v>SYN-0238</x:v>
      </x:c>
      <x:c r="B831" s="21" t="str">
        <x:v>Synthetic Supplier 0238 LLC</x:v>
      </x:c>
      <x:c r="C831" s="38" t="str">
        <x:f>"900 000 000 000 238"</x:f>
        <x:v>900 000 000 000 238</x:v>
      </x:c>
      <x:c r="D831" s="21" t="str">
        <x:v>SYN-0238-INV-01</x:v>
      </x:c>
      <x:c r="E831" s="39" t="n">
        <x:v>46193</x:v>
      </x:c>
      <x:c r="F831" s="42" t="n">
        <x:v>16083.71</x:v>
      </x:c>
      <x:c r="G831" s="42" t="n">
        <x:v>804.19</x:v>
      </x:c>
      <x:c r="H831" s="42" t="n">
        <x:v>89200.29</x:v>
      </x:c>
      <x:c r="I831" s="39" t="n">
        <x:v>45791</x:v>
      </x:c>
    </x:row>
    <x:row r="832">
      <x:c r="A832" s="21" t="str">
        <x:v>SYN-0238</x:v>
      </x:c>
      <x:c r="B832" s="21" t="str">
        <x:v>Synthetic Supplier 0238 LLC</x:v>
      </x:c>
      <x:c r="C832" s="38" t="str">
        <x:f>"900 000 000 000 238"</x:f>
        <x:v>900 000 000 000 238</x:v>
      </x:c>
      <x:c r="D832" s="21" t="str">
        <x:v>SYN-0238-INV-02</x:v>
      </x:c>
      <x:c r="E832" s="39" t="n">
        <x:v>46240</x:v>
      </x:c>
      <x:c r="F832" s="42" t="n">
        <x:v>21991.18</x:v>
      </x:c>
      <x:c r="G832" s="42" t="n">
        <x:v>1099.56</x:v>
      </x:c>
      <x:c r="H832" s="42" t="n">
        <x:v>89200.29</x:v>
      </x:c>
      <x:c r="I832" s="39" t="n">
        <x:v>45791</x:v>
      </x:c>
    </x:row>
    <x:row r="833">
      <x:c r="A833" s="21" t="str">
        <x:v>SYN-0238</x:v>
      </x:c>
      <x:c r="B833" s="21" t="str">
        <x:v>Synthetic Supplier 0238 LLC</x:v>
      </x:c>
      <x:c r="C833" s="38" t="str">
        <x:f>"900 000 000 000 238"</x:f>
        <x:v>900 000 000 000 238</x:v>
      </x:c>
      <x:c r="D833" s="21" t="str">
        <x:v>SYN-0238-INV-03</x:v>
      </x:c>
      <x:c r="E833" s="39" t="n">
        <x:v>46287</x:v>
      </x:c>
      <x:c r="F833" s="42" t="n">
        <x:v>18437.53</x:v>
      </x:c>
      <x:c r="G833" s="42" t="n">
        <x:v>921.88</x:v>
      </x:c>
      <x:c r="H833" s="42" t="n">
        <x:v>89200.29</x:v>
      </x:c>
      <x:c r="I833" s="39" t="n">
        <x:v>45791</x:v>
      </x:c>
    </x:row>
    <x:row r="834">
      <x:c r="A834" s="21" t="str">
        <x:v>SYN-0238</x:v>
      </x:c>
      <x:c r="B834" s="21" t="str">
        <x:v>Synthetic Supplier 0238 LLC</x:v>
      </x:c>
      <x:c r="C834" s="38" t="str">
        <x:f>"900 000 000 000 238"</x:f>
        <x:v>900 000 000 000 238</x:v>
      </x:c>
      <x:c r="D834" s="21" t="str">
        <x:v>SYN-0238-INV-04</x:v>
      </x:c>
      <x:c r="E834" s="39" t="n">
        <x:v>45974</x:v>
      </x:c>
      <x:c r="F834" s="42" t="n">
        <x:v>21053.05</x:v>
      </x:c>
      <x:c r="G834" s="42" t="n">
        <x:v>1052.65</x:v>
      </x:c>
      <x:c r="H834" s="42" t="n">
        <x:v>89200.29</x:v>
      </x:c>
      <x:c r="I834" s="39" t="n">
        <x:v>45791</x:v>
      </x:c>
    </x:row>
    <x:row r="835">
      <x:c r="A835" s="21" t="str">
        <x:v>SYN-0239</x:v>
      </x:c>
      <x:c r="B835" s="21" t="str">
        <x:v>Synthetic Supplier 0239 LLC</x:v>
      </x:c>
      <x:c r="C835" s="38" t="str">
        <x:f>"900 000 000 000 239"</x:f>
        <x:v>900 000 000 000 239</x:v>
      </x:c>
      <x:c r="D835" s="21" t="str">
        <x:v>SYN-0239-INV-01</x:v>
      </x:c>
      <x:c r="E835" s="39" t="n">
        <x:v>46206</x:v>
      </x:c>
      <x:c r="F835" s="42" t="n">
        <x:v>8039.37</x:v>
      </x:c>
      <x:c r="G835" s="42" t="n">
        <x:v>401.97</x:v>
      </x:c>
      <x:c r="H835" s="42" t="n">
        <x:v>48449.94</x:v>
      </x:c>
      <x:c r="I835" s="39" t="n">
        <x:v>46188</x:v>
      </x:c>
    </x:row>
    <x:row r="836">
      <x:c r="A836" s="21" t="str">
        <x:v>SYN-0239</x:v>
      </x:c>
      <x:c r="B836" s="21" t="str">
        <x:v>Synthetic Supplier 0239 LLC</x:v>
      </x:c>
      <x:c r="C836" s="38" t="str">
        <x:f>"900 000 000 000 239"</x:f>
        <x:v>900 000 000 000 239</x:v>
      </x:c>
      <x:c r="D836" s="21" t="str">
        <x:v>SYN-0239-INV-02</x:v>
      </x:c>
      <x:c r="E836" s="39" t="n">
        <x:v>46253</x:v>
      </x:c>
      <x:c r="F836" s="42" t="n">
        <x:v>8955.38</x:v>
      </x:c>
      <x:c r="G836" s="42" t="n">
        <x:v>447.77</x:v>
      </x:c>
      <x:c r="H836" s="42" t="n">
        <x:v>48449.94</x:v>
      </x:c>
      <x:c r="I836" s="39" t="n">
        <x:v>46188</x:v>
      </x:c>
    </x:row>
    <x:row r="837">
      <x:c r="A837" s="21" t="str">
        <x:v>SYN-0239</x:v>
      </x:c>
      <x:c r="B837" s="21" t="str">
        <x:v>Synthetic Supplier 0239 LLC</x:v>
      </x:c>
      <x:c r="C837" s="38" t="str">
        <x:f>"900 000 000 000 239"</x:f>
        <x:v>900 000 000 000 239</x:v>
      </x:c>
      <x:c r="D837" s="21" t="str">
        <x:v>SYN-0239-INV-03</x:v>
      </x:c>
      <x:c r="E837" s="39" t="n">
        <x:v>45940</x:v>
      </x:c>
      <x:c r="F837" s="42" t="n">
        <x:v>16118.85</x:v>
      </x:c>
      <x:c r="G837" s="42" t="n">
        <x:v>805.94</x:v>
      </x:c>
      <x:c r="H837" s="42" t="n">
        <x:v>48449.94</x:v>
      </x:c>
      <x:c r="I837" s="39" t="n">
        <x:v>46188</x:v>
      </x:c>
    </x:row>
    <x:row r="838">
      <x:c r="A838" s="21" t="str">
        <x:v>SYN-0239</x:v>
      </x:c>
      <x:c r="B838" s="21" t="str">
        <x:v>Synthetic Supplier 0239 LLC</x:v>
      </x:c>
      <x:c r="C838" s="38" t="str">
        <x:f>"900 000 000 000 239"</x:f>
        <x:v>900 000 000 000 239</x:v>
      </x:c>
      <x:c r="D838" s="21" t="str">
        <x:v>SYN-0239-INV-04</x:v>
      </x:c>
      <x:c r="E838" s="39" t="n">
        <x:v>45987</x:v>
      </x:c>
      <x:c r="F838" s="42" t="n">
        <x:v>8357.62</x:v>
      </x:c>
      <x:c r="G838" s="42" t="n">
        <x:v>417.88</x:v>
      </x:c>
      <x:c r="H838" s="42" t="n">
        <x:v>48449.94</x:v>
      </x:c>
      <x:c r="I838" s="39" t="n">
        <x:v>46188</x:v>
      </x:c>
    </x:row>
    <x:row r="839">
      <x:c r="A839" s="21" t="str">
        <x:v>SYN-0239</x:v>
      </x:c>
      <x:c r="B839" s="21" t="str">
        <x:v>Synthetic Supplier 0239 LLC</x:v>
      </x:c>
      <x:c r="C839" s="38" t="str">
        <x:f>"900 000 000 000 239"</x:f>
        <x:v>900 000 000 000 239</x:v>
      </x:c>
      <x:c r="D839" s="21" t="str">
        <x:v>SYN-0239-INV-05</x:v>
      </x:c>
      <x:c r="E839" s="39" t="n">
        <x:v>46034</x:v>
      </x:c>
      <x:c r="F839" s="42" t="n">
        <x:v>12362.04</x:v>
      </x:c>
      <x:c r="G839" s="42" t="n">
        <x:v>618.1</x:v>
      </x:c>
      <x:c r="H839" s="42" t="n">
        <x:v>48449.94</x:v>
      </x:c>
      <x:c r="I839" s="39" t="n">
        <x:v>46188</x:v>
      </x:c>
    </x:row>
    <x:row r="840">
      <x:c r="A840" s="21" t="str">
        <x:v>SYN-0240</x:v>
      </x:c>
      <x:c r="B840" s="21" t="str">
        <x:v>Synthetic Supplier 0240 LLC</x:v>
      </x:c>
      <x:c r="C840" s="38" t="str">
        <x:f>"900 000 000 000 240"</x:f>
        <x:v>900 000 000 000 240</x:v>
      </x:c>
      <x:c r="D840" s="21" t="str">
        <x:v>SYN-0240-INV-01</x:v>
      </x:c>
      <x:c r="E840" s="39" t="n">
        <x:v>46219</x:v>
      </x:c>
      <x:c r="F840" s="42" t="n">
        <x:v>34548.54</x:v>
      </x:c>
      <x:c r="G840" s="42" t="n">
        <x:v>1727.43</x:v>
      </x:c>
      <x:c r="H840" s="42" t="n">
        <x:v>49793.98</x:v>
      </x:c>
      <x:c r="I840" s="39"/>
    </x:row>
    <x:row r="841">
      <x:c r="A841" s="21" t="str">
        <x:v>SYN-0240</x:v>
      </x:c>
      <x:c r="B841" s="21" t="str">
        <x:v>Synthetic Supplier 0240 LLC</x:v>
      </x:c>
      <x:c r="C841" s="38" t="str">
        <x:f>"900 000 000 000 240"</x:f>
        <x:v>900 000 000 000 240</x:v>
      </x:c>
      <x:c r="D841" s="21" t="str">
        <x:v>SYN-0240-INV-02</x:v>
      </x:c>
      <x:c r="E841" s="39" t="n">
        <x:v>46266</x:v>
      </x:c>
      <x:c r="F841" s="42" t="n">
        <x:v>20778.1</x:v>
      </x:c>
      <x:c r="G841" s="42" t="n">
        <x:v>1038.91</x:v>
      </x:c>
      <x:c r="H841" s="42" t="n">
        <x:v>49793.98</x:v>
      </x:c>
      <x:c r="I841" s="39"/>
    </x:row>
    <x:row r="842">
      <x:c r="A842" s="21" t="str">
        <x:v>SYN-0241</x:v>
      </x:c>
      <x:c r="B842" s="21" t="str">
        <x:v>Synthetic Supplier 0241 LLC</x:v>
      </x:c>
      <x:c r="C842" s="38" t="str">
        <x:f>"900 000 000 000 241"</x:f>
        <x:v>900 000 000 000 241</x:v>
      </x:c>
      <x:c r="D842" s="21" t="str">
        <x:v>SYN-0241-INV-01</x:v>
      </x:c>
      <x:c r="E842" s="39" t="n">
        <x:v>46232</x:v>
      </x:c>
      <x:c r="F842" s="42" t="n">
        <x:v>33348.58</x:v>
      </x:c>
      <x:c r="G842" s="42" t="n">
        <x:v>1667.43</x:v>
      </x:c>
      <x:c r="H842" s="42" t="n">
        <x:v>74414.01</x:v>
      </x:c>
      <x:c r="I842" s="39" t="n">
        <x:v>46251</x:v>
      </x:c>
    </x:row>
    <x:row r="843">
      <x:c r="A843" s="21" t="str">
        <x:v>SYN-0241</x:v>
      </x:c>
      <x:c r="B843" s="21" t="str">
        <x:v>Synthetic Supplier 0241 LLC</x:v>
      </x:c>
      <x:c r="C843" s="38" t="str">
        <x:f>"900 000 000 000 241"</x:f>
        <x:v>900 000 000 000 241</x:v>
      </x:c>
      <x:c r="D843" s="21" t="str">
        <x:v>SYN-0241-INV-02</x:v>
      </x:c>
      <x:c r="E843" s="39" t="n">
        <x:v>46279</x:v>
      </x:c>
      <x:c r="F843" s="42" t="n">
        <x:v>24216.53</x:v>
      </x:c>
      <x:c r="G843" s="42" t="n">
        <x:v>1210.83</x:v>
      </x:c>
      <x:c r="H843" s="42" t="n">
        <x:v>74414.01</x:v>
      </x:c>
      <x:c r="I843" s="39" t="n">
        <x:v>46251</x:v>
      </x:c>
    </x:row>
    <x:row r="844">
      <x:c r="A844" s="21" t="str">
        <x:v>SYN-0241</x:v>
      </x:c>
      <x:c r="B844" s="21" t="str">
        <x:v>Synthetic Supplier 0241 LLC</x:v>
      </x:c>
      <x:c r="C844" s="38" t="str">
        <x:f>"900 000 000 000 241"</x:f>
        <x:v>900 000 000 000 241</x:v>
      </x:c>
      <x:c r="D844" s="21" t="str">
        <x:v>SYN-0241-INV-03</x:v>
      </x:c>
      <x:c r="E844" s="39" t="n">
        <x:v>45966</x:v>
      </x:c>
      <x:c r="F844" s="42" t="n">
        <x:v>25117.11</x:v>
      </x:c>
      <x:c r="G844" s="42" t="n">
        <x:v>1255.86</x:v>
      </x:c>
      <x:c r="H844" s="42" t="n">
        <x:v>74414.01</x:v>
      </x:c>
      <x:c r="I844" s="39" t="n">
        <x:v>46251</x:v>
      </x:c>
    </x:row>
    <x:row r="845">
      <x:c r="A845" s="21" t="str">
        <x:v>SYN-0242</x:v>
      </x:c>
      <x:c r="B845" s="21" t="str">
        <x:v>Synthetic Supplier 0242 LLC</x:v>
      </x:c>
      <x:c r="C845" s="38" t="str">
        <x:f>"900 000 000 000 242"</x:f>
        <x:v>900 000 000 000 242</x:v>
      </x:c>
      <x:c r="D845" s="21" t="str">
        <x:v>SYN-0242-INV-01</x:v>
      </x:c>
      <x:c r="E845" s="39" t="n">
        <x:v>46245</x:v>
      </x:c>
      <x:c r="F845" s="42" t="n">
        <x:v>10669.57</x:v>
      </x:c>
      <x:c r="G845" s="42" t="n">
        <x:v>533.48</x:v>
      </x:c>
      <x:c r="H845" s="42" t="n">
        <x:v>42960.55</x:v>
      </x:c>
      <x:c r="I845" s="39" t="n">
        <x:v>45918</x:v>
      </x:c>
    </x:row>
    <x:row r="846">
      <x:c r="A846" s="21" t="str">
        <x:v>SYN-0242</x:v>
      </x:c>
      <x:c r="B846" s="21" t="str">
        <x:v>Synthetic Supplier 0242 LLC</x:v>
      </x:c>
      <x:c r="C846" s="38" t="str">
        <x:f>"900 000 000 000 242"</x:f>
        <x:v>900 000 000 000 242</x:v>
      </x:c>
      <x:c r="D846" s="21" t="str">
        <x:v>SYN-0242-INV-02</x:v>
      </x:c>
      <x:c r="E846" s="39" t="n">
        <x:v>45932</x:v>
      </x:c>
      <x:c r="F846" s="42" t="n">
        <x:v>10270.16</x:v>
      </x:c>
      <x:c r="G846" s="42" t="n">
        <x:v>513.51</x:v>
      </x:c>
      <x:c r="H846" s="42" t="n">
        <x:v>42960.55</x:v>
      </x:c>
      <x:c r="I846" s="39" t="n">
        <x:v>45918</x:v>
      </x:c>
    </x:row>
    <x:row r="847">
      <x:c r="A847" s="21" t="str">
        <x:v>SYN-0242</x:v>
      </x:c>
      <x:c r="B847" s="21" t="str">
        <x:v>Synthetic Supplier 0242 LLC</x:v>
      </x:c>
      <x:c r="C847" s="38" t="str">
        <x:f>"900 000 000 000 242"</x:f>
        <x:v>900 000 000 000 242</x:v>
      </x:c>
      <x:c r="D847" s="21" t="str">
        <x:v>SYN-0242-INV-03</x:v>
      </x:c>
      <x:c r="E847" s="39" t="n">
        <x:v>45979</x:v>
      </x:c>
      <x:c r="F847" s="42" t="n">
        <x:v>11062.43</x:v>
      </x:c>
      <x:c r="G847" s="42" t="n">
        <x:v>553.12</x:v>
      </x:c>
      <x:c r="H847" s="42" t="n">
        <x:v>42960.55</x:v>
      </x:c>
      <x:c r="I847" s="39" t="n">
        <x:v>45918</x:v>
      </x:c>
    </x:row>
    <x:row r="848">
      <x:c r="A848" s="21" t="str">
        <x:v>SYN-0242</x:v>
      </x:c>
      <x:c r="B848" s="21" t="str">
        <x:v>Synthetic Supplier 0242 LLC</x:v>
      </x:c>
      <x:c r="C848" s="38" t="str">
        <x:f>"900 000 000 000 242"</x:f>
        <x:v>900 000 000 000 242</x:v>
      </x:c>
      <x:c r="D848" s="21" t="str">
        <x:v>SYN-0242-INV-04</x:v>
      </x:c>
      <x:c r="E848" s="39" t="n">
        <x:v>46026</x:v>
      </x:c>
      <x:c r="F848" s="42" t="n">
        <x:v>15731.78</x:v>
      </x:c>
      <x:c r="G848" s="42" t="n">
        <x:v>786.59</x:v>
      </x:c>
      <x:c r="H848" s="42" t="n">
        <x:v>42960.55</x:v>
      </x:c>
      <x:c r="I848" s="39" t="n">
        <x:v>45918</x:v>
      </x:c>
    </x:row>
    <x:row r="849">
      <x:c r="A849" s="21" t="str">
        <x:v>SYN-0243</x:v>
      </x:c>
      <x:c r="B849" s="21" t="str">
        <x:v>Synthetic Supplier 0243 LLC</x:v>
      </x:c>
      <x:c r="C849" s="38" t="str">
        <x:f>"900 000 000 000 243"</x:f>
        <x:v>900 000 000 000 243</x:v>
      </x:c>
      <x:c r="D849" s="21" t="str">
        <x:v>SYN-0243-INV-01</x:v>
      </x:c>
      <x:c r="E849" s="39" t="n">
        <x:v>46258</x:v>
      </x:c>
      <x:c r="F849" s="42" t="n">
        <x:v>9609.09</x:v>
      </x:c>
      <x:c r="G849" s="42" t="n">
        <x:v>480.45</x:v>
      </x:c>
      <x:c r="H849" s="42" t="n">
        <x:v>60700.66</x:v>
      </x:c>
      <x:c r="I849" s="39" t="n">
        <x:v>46041</x:v>
      </x:c>
    </x:row>
    <x:row r="850">
      <x:c r="A850" s="21" t="str">
        <x:v>SYN-0243</x:v>
      </x:c>
      <x:c r="B850" s="21" t="str">
        <x:v>Synthetic Supplier 0243 LLC</x:v>
      </x:c>
      <x:c r="C850" s="38" t="str">
        <x:f>"900 000 000 000 243"</x:f>
        <x:v>900 000 000 000 243</x:v>
      </x:c>
      <x:c r="D850" s="21" t="str">
        <x:v>SYN-0243-INV-02</x:v>
      </x:c>
      <x:c r="E850" s="39" t="n">
        <x:v>45945</x:v>
      </x:c>
      <x:c r="F850" s="42" t="n">
        <x:v>13866.16</x:v>
      </x:c>
      <x:c r="G850" s="42" t="n">
        <x:v>693.31</x:v>
      </x:c>
      <x:c r="H850" s="42" t="n">
        <x:v>60700.66</x:v>
      </x:c>
      <x:c r="I850" s="39" t="n">
        <x:v>46041</x:v>
      </x:c>
    </x:row>
    <x:row r="851">
      <x:c r="A851" s="21" t="str">
        <x:v>SYN-0243</x:v>
      </x:c>
      <x:c r="B851" s="21" t="str">
        <x:v>Synthetic Supplier 0243 LLC</x:v>
      </x:c>
      <x:c r="C851" s="38" t="str">
        <x:f>"900 000 000 000 243"</x:f>
        <x:v>900 000 000 000 243</x:v>
      </x:c>
      <x:c r="D851" s="21" t="str">
        <x:v>SYN-0243-INV-03</x:v>
      </x:c>
      <x:c r="E851" s="39" t="n">
        <x:v>45992</x:v>
      </x:c>
      <x:c r="F851" s="42" t="n">
        <x:v>12241.94</x:v>
      </x:c>
      <x:c r="G851" s="42" t="n">
        <x:v>612.1</x:v>
      </x:c>
      <x:c r="H851" s="42" t="n">
        <x:v>60700.66</x:v>
      </x:c>
      <x:c r="I851" s="39" t="n">
        <x:v>46041</x:v>
      </x:c>
    </x:row>
    <x:row r="852">
      <x:c r="A852" s="21" t="str">
        <x:v>SYN-0243</x:v>
      </x:c>
      <x:c r="B852" s="21" t="str">
        <x:v>Synthetic Supplier 0243 LLC</x:v>
      </x:c>
      <x:c r="C852" s="38" t="str">
        <x:f>"900 000 000 000 243"</x:f>
        <x:v>900 000 000 000 243</x:v>
      </x:c>
      <x:c r="D852" s="21" t="str">
        <x:v>SYN-0243-INV-04</x:v>
      </x:c>
      <x:c r="E852" s="39" t="n">
        <x:v>46039</x:v>
      </x:c>
      <x:c r="F852" s="42" t="n">
        <x:v>17149.44</x:v>
      </x:c>
      <x:c r="G852" s="42" t="n">
        <x:v>857.47</x:v>
      </x:c>
      <x:c r="H852" s="42" t="n">
        <x:v>60700.66</x:v>
      </x:c>
      <x:c r="I852" s="39" t="n">
        <x:v>46041</x:v>
      </x:c>
    </x:row>
    <x:row r="853">
      <x:c r="A853" s="21" t="str">
        <x:v>SYN-0243</x:v>
      </x:c>
      <x:c r="B853" s="21" t="str">
        <x:v>Synthetic Supplier 0243 LLC</x:v>
      </x:c>
      <x:c r="C853" s="38" t="str">
        <x:f>"900 000 000 000 243"</x:f>
        <x:v>900 000 000 000 243</x:v>
      </x:c>
      <x:c r="D853" s="21" t="str">
        <x:v>SYN-0243-INV-05</x:v>
      </x:c>
      <x:c r="E853" s="39" t="n">
        <x:v>46086</x:v>
      </x:c>
      <x:c r="F853" s="42" t="n">
        <x:v>14578.55</x:v>
      </x:c>
      <x:c r="G853" s="42" t="n">
        <x:v>728.93</x:v>
      </x:c>
      <x:c r="H853" s="42" t="n">
        <x:v>60700.66</x:v>
      </x:c>
      <x:c r="I853" s="39" t="n">
        <x:v>46041</x:v>
      </x:c>
    </x:row>
    <x:row r="854">
      <x:c r="A854" s="21" t="str">
        <x:v>SYN-0244</x:v>
      </x:c>
      <x:c r="B854" s="21" t="str">
        <x:v>Synthetic Supplier 0244 LLC</x:v>
      </x:c>
      <x:c r="C854" s="38" t="str">
        <x:f>"900 000 000 000 244"</x:f>
        <x:v>900 000 000 000 244</x:v>
      </x:c>
      <x:c r="D854" s="21" t="str">
        <x:v>SYN-0244-INV-01</x:v>
      </x:c>
      <x:c r="E854" s="39" t="n">
        <x:v>46271</x:v>
      </x:c>
      <x:c r="F854" s="42" t="n">
        <x:v>30328.02</x:v>
      </x:c>
      <x:c r="G854" s="42" t="n">
        <x:v>1516.4</x:v>
      </x:c>
      <x:c r="H854" s="42" t="n">
        <x:v>41829.85</x:v>
      </x:c>
      <x:c r="I854" s="39" t="n">
        <x:v>45708</x:v>
      </x:c>
    </x:row>
    <x:row r="855">
      <x:c r="A855" s="21" t="str">
        <x:v>SYN-0244</x:v>
      </x:c>
      <x:c r="B855" s="21" t="str">
        <x:v>Synthetic Supplier 0244 LLC</x:v>
      </x:c>
      <x:c r="C855" s="38" t="str">
        <x:f>"900 000 000 000 244"</x:f>
        <x:v>900 000 000 000 244</x:v>
      </x:c>
      <x:c r="D855" s="21" t="str">
        <x:v>SYN-0244-INV-02</x:v>
      </x:c>
      <x:c r="E855" s="39" t="n">
        <x:v>45958</x:v>
      </x:c>
      <x:c r="F855" s="42" t="n">
        <x:v>16149.59</x:v>
      </x:c>
      <x:c r="G855" s="42" t="n">
        <x:v>807.48</x:v>
      </x:c>
      <x:c r="H855" s="42" t="n">
        <x:v>41829.85</x:v>
      </x:c>
      <x:c r="I855" s="39" t="n">
        <x:v>45708</x:v>
      </x:c>
    </x:row>
    <x:row r="856">
      <x:c r="A856" s="21" t="str">
        <x:v>SYN-0245</x:v>
      </x:c>
      <x:c r="B856" s="21" t="str">
        <x:v>Synthetic Supplier 0245 LLC</x:v>
      </x:c>
      <x:c r="C856" s="38" t="str">
        <x:f>"900 000 000 000 245"</x:f>
        <x:v>900 000 000 000 245</x:v>
      </x:c>
      <x:c r="D856" s="21" t="str">
        <x:v>SYN-0245-INV-01</x:v>
      </x:c>
      <x:c r="E856" s="39" t="n">
        <x:v>46284</x:v>
      </x:c>
      <x:c r="F856" s="42" t="n">
        <x:v>22275.59</x:v>
      </x:c>
      <x:c r="G856" s="42" t="n">
        <x:v>1113.78</x:v>
      </x:c>
      <x:c r="H856" s="42" t="n">
        <x:v>79571.27</x:v>
      </x:c>
      <x:c r="I856" s="39"/>
    </x:row>
    <x:row r="857">
      <x:c r="A857" s="21" t="str">
        <x:v>SYN-0245</x:v>
      </x:c>
      <x:c r="B857" s="21" t="str">
        <x:v>Synthetic Supplier 0245 LLC</x:v>
      </x:c>
      <x:c r="C857" s="38" t="str">
        <x:f>"900 000 000 000 245"</x:f>
        <x:v>900 000 000 000 245</x:v>
      </x:c>
      <x:c r="D857" s="21" t="str">
        <x:v>SYN-0245-INV-02</x:v>
      </x:c>
      <x:c r="E857" s="39" t="n">
        <x:v>45971</x:v>
      </x:c>
      <x:c r="F857" s="42" t="n">
        <x:v>24656.63</x:v>
      </x:c>
      <x:c r="G857" s="42" t="n">
        <x:v>1232.83</x:v>
      </x:c>
      <x:c r="H857" s="42" t="n">
        <x:v>79571.27</x:v>
      </x:c>
      <x:c r="I857" s="39"/>
    </x:row>
    <x:row r="858">
      <x:c r="A858" s="21" t="str">
        <x:v>SYN-0245</x:v>
      </x:c>
      <x:c r="B858" s="21" t="str">
        <x:v>Synthetic Supplier 0245 LLC</x:v>
      </x:c>
      <x:c r="C858" s="38" t="str">
        <x:f>"900 000 000 000 245"</x:f>
        <x:v>900 000 000 000 245</x:v>
      </x:c>
      <x:c r="D858" s="21" t="str">
        <x:v>SYN-0245-INV-03</x:v>
      </x:c>
      <x:c r="E858" s="39" t="n">
        <x:v>46018</x:v>
      </x:c>
      <x:c r="F858" s="42" t="n">
        <x:v>22260.19</x:v>
      </x:c>
      <x:c r="G858" s="42" t="n">
        <x:v>1113.01</x:v>
      </x:c>
      <x:c r="H858" s="42" t="n">
        <x:v>79571.27</x:v>
      </x:c>
      <x:c r="I858" s="39"/>
    </x:row>
    <x:row r="859">
      <x:c r="A859" s="21" t="str">
        <x:v>SYN-0246</x:v>
      </x:c>
      <x:c r="B859" s="21" t="str">
        <x:v>Synthetic Supplier 0246 LLC</x:v>
      </x:c>
      <x:c r="C859" s="38" t="str">
        <x:f>"900 000 000 000 246"</x:f>
        <x:v>900 000 000 000 246</x:v>
      </x:c>
      <x:c r="D859" s="21" t="str">
        <x:v>SYN-0246-INV-01</x:v>
      </x:c>
      <x:c r="E859" s="39" t="n">
        <x:v>45937</x:v>
      </x:c>
      <x:c r="F859" s="42" t="n">
        <x:v>11994.42</x:v>
      </x:c>
      <x:c r="G859" s="42" t="n">
        <x:v>599.72</x:v>
      </x:c>
      <x:c r="H859" s="42" t="n">
        <x:v>60779.85</x:v>
      </x:c>
      <x:c r="I859" s="39" t="n">
        <x:v>45769</x:v>
      </x:c>
    </x:row>
    <x:row r="860">
      <x:c r="A860" s="21" t="str">
        <x:v>SYN-0246</x:v>
      </x:c>
      <x:c r="B860" s="21" t="str">
        <x:v>Synthetic Supplier 0246 LLC</x:v>
      </x:c>
      <x:c r="C860" s="38" t="str">
        <x:f>"900 000 000 000 246"</x:f>
        <x:v>900 000 000 000 246</x:v>
      </x:c>
      <x:c r="D860" s="21" t="str">
        <x:v>SYN-0246-INV-02</x:v>
      </x:c>
      <x:c r="E860" s="39" t="n">
        <x:v>45984</x:v>
      </x:c>
      <x:c r="F860" s="42" t="n">
        <x:v>18876.61</x:v>
      </x:c>
      <x:c r="G860" s="42" t="n">
        <x:v>943.83</x:v>
      </x:c>
      <x:c r="H860" s="42" t="n">
        <x:v>60779.85</x:v>
      </x:c>
      <x:c r="I860" s="39" t="n">
        <x:v>45769</x:v>
      </x:c>
    </x:row>
    <x:row r="861">
      <x:c r="A861" s="21" t="str">
        <x:v>SYN-0246</x:v>
      </x:c>
      <x:c r="B861" s="21" t="str">
        <x:v>Synthetic Supplier 0246 LLC</x:v>
      </x:c>
      <x:c r="C861" s="38" t="str">
        <x:f>"900 000 000 000 246"</x:f>
        <x:v>900 000 000 000 246</x:v>
      </x:c>
      <x:c r="D861" s="21" t="str">
        <x:v>SYN-0246-INV-03</x:v>
      </x:c>
      <x:c r="E861" s="39" t="n">
        <x:v>46031</x:v>
      </x:c>
      <x:c r="F861" s="42" t="n">
        <x:v>13936.19</x:v>
      </x:c>
      <x:c r="G861" s="42" t="n">
        <x:v>696.81</x:v>
      </x:c>
      <x:c r="H861" s="42" t="n">
        <x:v>60779.85</x:v>
      </x:c>
      <x:c r="I861" s="39" t="n">
        <x:v>45769</x:v>
      </x:c>
    </x:row>
    <x:row r="862">
      <x:c r="A862" s="21" t="str">
        <x:v>SYN-0246</x:v>
      </x:c>
      <x:c r="B862" s="21" t="str">
        <x:v>Synthetic Supplier 0246 LLC</x:v>
      </x:c>
      <x:c r="C862" s="38" t="str">
        <x:f>"900 000 000 000 246"</x:f>
        <x:v>900 000 000 000 246</x:v>
      </x:c>
      <x:c r="D862" s="21" t="str">
        <x:v>SYN-0246-INV-04</x:v>
      </x:c>
      <x:c r="E862" s="39" t="n">
        <x:v>46078</x:v>
      </x:c>
      <x:c r="F862" s="42" t="n">
        <x:v>22725.96</x:v>
      </x:c>
      <x:c r="G862" s="42" t="n">
        <x:v>1136.3</x:v>
      </x:c>
      <x:c r="H862" s="42" t="n">
        <x:v>60779.85</x:v>
      </x:c>
      <x:c r="I862" s="39" t="n">
        <x:v>45769</x:v>
      </x:c>
    </x:row>
    <x:row r="863">
      <x:c r="A863" s="21" t="str">
        <x:v>SYN-0247</x:v>
      </x:c>
      <x:c r="B863" s="21" t="str">
        <x:v>Synthetic Supplier 0247 LLC</x:v>
      </x:c>
      <x:c r="C863" s="38" t="str">
        <x:f>"900 000 000 000 247"</x:f>
        <x:v>900 000 000 000 247</x:v>
      </x:c>
      <x:c r="D863" s="21" t="str">
        <x:v>SYN-0247-INV-01</x:v>
      </x:c>
      <x:c r="E863" s="39" t="n">
        <x:v>45950</x:v>
      </x:c>
      <x:c r="F863" s="42" t="n">
        <x:v>12587.47</x:v>
      </x:c>
      <x:c r="G863" s="42" t="n">
        <x:v>629.37</x:v>
      </x:c>
      <x:c r="H863" s="42" t="n">
        <x:v>70638.31</x:v>
      </x:c>
      <x:c r="I863" s="39" t="n">
        <x:v>46165</x:v>
      </x:c>
    </x:row>
    <x:row r="864">
      <x:c r="A864" s="21" t="str">
        <x:v>SYN-0247</x:v>
      </x:c>
      <x:c r="B864" s="21" t="str">
        <x:v>Synthetic Supplier 0247 LLC</x:v>
      </x:c>
      <x:c r="C864" s="38" t="str">
        <x:f>"900 000 000 000 247"</x:f>
        <x:v>900 000 000 000 247</x:v>
      </x:c>
      <x:c r="D864" s="21" t="str">
        <x:v>SYN-0247-INV-02</x:v>
      </x:c>
      <x:c r="E864" s="39" t="n">
        <x:v>45997</x:v>
      </x:c>
      <x:c r="F864" s="42" t="n">
        <x:v>20569.65</x:v>
      </x:c>
      <x:c r="G864" s="42" t="n">
        <x:v>1028.48</x:v>
      </x:c>
      <x:c r="H864" s="42" t="n">
        <x:v>70638.31</x:v>
      </x:c>
      <x:c r="I864" s="39" t="n">
        <x:v>46165</x:v>
      </x:c>
    </x:row>
    <x:row r="865">
      <x:c r="A865" s="21" t="str">
        <x:v>SYN-0247</x:v>
      </x:c>
      <x:c r="B865" s="21" t="str">
        <x:v>Synthetic Supplier 0247 LLC</x:v>
      </x:c>
      <x:c r="C865" s="38" t="str">
        <x:f>"900 000 000 000 247"</x:f>
        <x:v>900 000 000 000 247</x:v>
      </x:c>
      <x:c r="D865" s="21" t="str">
        <x:v>SYN-0247-INV-03</x:v>
      </x:c>
      <x:c r="E865" s="39" t="n">
        <x:v>46044</x:v>
      </x:c>
      <x:c r="F865" s="42" t="n">
        <x:v>14155.8</x:v>
      </x:c>
      <x:c r="G865" s="42" t="n">
        <x:v>707.79</x:v>
      </x:c>
      <x:c r="H865" s="42" t="n">
        <x:v>70638.31</x:v>
      </x:c>
      <x:c r="I865" s="39" t="n">
        <x:v>46165</x:v>
      </x:c>
    </x:row>
    <x:row r="866">
      <x:c r="A866" s="21" t="str">
        <x:v>SYN-0247</x:v>
      </x:c>
      <x:c r="B866" s="21" t="str">
        <x:v>Synthetic Supplier 0247 LLC</x:v>
      </x:c>
      <x:c r="C866" s="38" t="str">
        <x:f>"900 000 000 000 247"</x:f>
        <x:v>900 000 000 000 247</x:v>
      </x:c>
      <x:c r="D866" s="21" t="str">
        <x:v>SYN-0247-INV-04</x:v>
      </x:c>
      <x:c r="E866" s="39" t="n">
        <x:v>46091</x:v>
      </x:c>
      <x:c r="F866" s="42" t="n">
        <x:v>10255.49</x:v>
      </x:c>
      <x:c r="G866" s="42" t="n">
        <x:v>512.77</x:v>
      </x:c>
      <x:c r="H866" s="42" t="n">
        <x:v>70638.31</x:v>
      </x:c>
      <x:c r="I866" s="39" t="n">
        <x:v>46165</x:v>
      </x:c>
    </x:row>
    <x:row r="867">
      <x:c r="A867" s="21" t="str">
        <x:v>SYN-0247</x:v>
      </x:c>
      <x:c r="B867" s="21" t="str">
        <x:v>Synthetic Supplier 0247 LLC</x:v>
      </x:c>
      <x:c r="C867" s="38" t="str">
        <x:f>"900 000 000 000 247"</x:f>
        <x:v>900 000 000 000 247</x:v>
      </x:c>
      <x:c r="D867" s="21" t="str">
        <x:v>SYN-0247-INV-05</x:v>
      </x:c>
      <x:c r="E867" s="39" t="n">
        <x:v>46138</x:v>
      </x:c>
      <x:c r="F867" s="42" t="n">
        <x:v>20918.61</x:v>
      </x:c>
      <x:c r="G867" s="42" t="n">
        <x:v>1045.93</x:v>
      </x:c>
      <x:c r="H867" s="42" t="n">
        <x:v>70638.31</x:v>
      </x:c>
      <x:c r="I867" s="39" t="n">
        <x:v>46165</x:v>
      </x:c>
    </x:row>
    <x:row r="868">
      <x:c r="A868" s="21" t="str">
        <x:v>SYN-0248</x:v>
      </x:c>
      <x:c r="B868" s="21" t="str">
        <x:v>Synthetic Supplier 0248 LLC</x:v>
      </x:c>
      <x:c r="C868" s="38" t="str">
        <x:f>"900 000 000 000 248"</x:f>
        <x:v>900 000 000 000 248</x:v>
      </x:c>
      <x:c r="D868" s="21" t="str">
        <x:v>SYN-0248-INV-01</x:v>
      </x:c>
      <x:c r="E868" s="39" t="n">
        <x:v>45963</x:v>
      </x:c>
      <x:c r="F868" s="42" t="n">
        <x:v>42986.62</x:v>
      </x:c>
      <x:c r="G868" s="42" t="n">
        <x:v>2149.33</x:v>
      </x:c>
      <x:c r="H868" s="42" t="n">
        <x:v>77659.5</x:v>
      </x:c>
      <x:c r="I868" s="39" t="n">
        <x:v>45832</x:v>
      </x:c>
    </x:row>
    <x:row r="869">
      <x:c r="A869" s="21" t="str">
        <x:v>SYN-0248</x:v>
      </x:c>
      <x:c r="B869" s="21" t="str">
        <x:v>Synthetic Supplier 0248 LLC</x:v>
      </x:c>
      <x:c r="C869" s="38" t="str">
        <x:f>"900 000 000 000 248"</x:f>
        <x:v>900 000 000 000 248</x:v>
      </x:c>
      <x:c r="D869" s="21" t="str">
        <x:v>SYN-0248-INV-02</x:v>
      </x:c>
      <x:c r="E869" s="39" t="n">
        <x:v>46010</x:v>
      </x:c>
      <x:c r="F869" s="42" t="n">
        <x:v>43301.72</x:v>
      </x:c>
      <x:c r="G869" s="42" t="n">
        <x:v>2165.09</x:v>
      </x:c>
      <x:c r="H869" s="42" t="n">
        <x:v>77659.5</x:v>
      </x:c>
      <x:c r="I869" s="39" t="n">
        <x:v>45832</x:v>
      </x:c>
    </x:row>
    <x:row r="870">
      <x:c r="A870" s="21" t="str">
        <x:v>SYN-0249</x:v>
      </x:c>
      <x:c r="B870" s="21" t="str">
        <x:v>Synthetic Supplier 0249 LLC</x:v>
      </x:c>
      <x:c r="C870" s="38" t="str">
        <x:f>"900 000 000 000 249"</x:f>
        <x:v>900 000 000 000 249</x:v>
      </x:c>
      <x:c r="D870" s="21" t="str">
        <x:v>SYN-0249-INV-01</x:v>
      </x:c>
      <x:c r="E870" s="39" t="n">
        <x:v>45976</x:v>
      </x:c>
      <x:c r="F870" s="42" t="n">
        <x:v>22935.31</x:v>
      </x:c>
      <x:c r="G870" s="42" t="n">
        <x:v>1146.77</x:v>
      </x:c>
      <x:c r="H870" s="42" t="n">
        <x:v>55377.29</x:v>
      </x:c>
      <x:c r="I870" s="39" t="n">
        <x:v>46228</x:v>
      </x:c>
    </x:row>
    <x:row r="871">
      <x:c r="A871" s="21" t="str">
        <x:v>SYN-0249</x:v>
      </x:c>
      <x:c r="B871" s="21" t="str">
        <x:v>Synthetic Supplier 0249 LLC</x:v>
      </x:c>
      <x:c r="C871" s="38" t="str">
        <x:f>"900 000 000 000 249"</x:f>
        <x:v>900 000 000 000 249</x:v>
      </x:c>
      <x:c r="D871" s="21" t="str">
        <x:v>SYN-0249-INV-02</x:v>
      </x:c>
      <x:c r="E871" s="39" t="n">
        <x:v>46023</x:v>
      </x:c>
      <x:c r="F871" s="42" t="n">
        <x:v>21371.79</x:v>
      </x:c>
      <x:c r="G871" s="42" t="n">
        <x:v>1068.59</x:v>
      </x:c>
      <x:c r="H871" s="42" t="n">
        <x:v>55377.29</x:v>
      </x:c>
      <x:c r="I871" s="39" t="n">
        <x:v>46228</x:v>
      </x:c>
    </x:row>
    <x:row r="872">
      <x:c r="A872" s="21" t="str">
        <x:v>SYN-0249</x:v>
      </x:c>
      <x:c r="B872" s="21" t="str">
        <x:v>Synthetic Supplier 0249 LLC</x:v>
      </x:c>
      <x:c r="C872" s="38" t="str">
        <x:f>"900 000 000 000 249"</x:f>
        <x:v>900 000 000 000 249</x:v>
      </x:c>
      <x:c r="D872" s="21" t="str">
        <x:v>SYN-0249-INV-03</x:v>
      </x:c>
      <x:c r="E872" s="39" t="n">
        <x:v>46070</x:v>
      </x:c>
      <x:c r="F872" s="42" t="n">
        <x:v>17223.22</x:v>
      </x:c>
      <x:c r="G872" s="42" t="n">
        <x:v>861.16</x:v>
      </x:c>
      <x:c r="H872" s="42" t="n">
        <x:v>55377.29</x:v>
      </x:c>
      <x:c r="I872" s="39" t="n">
        <x:v>46228</x:v>
      </x:c>
    </x:row>
    <x:row r="873">
      <x:c r="A873" s="21" t="str">
        <x:v>SYN-0250</x:v>
      </x:c>
      <x:c r="B873" s="21" t="str">
        <x:v>Synthetic Supplier 0250 LLC</x:v>
      </x:c>
      <x:c r="C873" s="38" t="str">
        <x:f>"900 000 000 000 250"</x:f>
        <x:v>900 000 000 000 250</x:v>
      </x:c>
      <x:c r="D873" s="21" t="str">
        <x:v>SYN-0250-INV-01</x:v>
      </x:c>
      <x:c r="E873" s="39" t="n">
        <x:v>45989</x:v>
      </x:c>
      <x:c r="F873" s="42" t="n">
        <x:v>10458.07</x:v>
      </x:c>
      <x:c r="G873" s="42" t="n">
        <x:v>522.9</x:v>
      </x:c>
      <x:c r="H873" s="42" t="n">
        <x:v>34876.88</x:v>
      </x:c>
      <x:c r="I873" s="39"/>
    </x:row>
    <x:row r="874">
      <x:c r="A874" s="21" t="str">
        <x:v>SYN-0250</x:v>
      </x:c>
      <x:c r="B874" s="21" t="str">
        <x:v>Synthetic Supplier 0250 LLC</x:v>
      </x:c>
      <x:c r="C874" s="38" t="str">
        <x:f>"900 000 000 000 250"</x:f>
        <x:v>900 000 000 000 250</x:v>
      </x:c>
      <x:c r="D874" s="21" t="str">
        <x:v>SYN-0250-INV-02</x:v>
      </x:c>
      <x:c r="E874" s="39" t="n">
        <x:v>46036</x:v>
      </x:c>
      <x:c r="F874" s="42" t="n">
        <x:v>11886.03</x:v>
      </x:c>
      <x:c r="G874" s="42" t="n">
        <x:v>594.3</x:v>
      </x:c>
      <x:c r="H874" s="42" t="n">
        <x:v>34876.88</x:v>
      </x:c>
      <x:c r="I874" s="39"/>
    </x:row>
    <x:row r="875">
      <x:c r="A875" s="21" t="str">
        <x:v>SYN-0250</x:v>
      </x:c>
      <x:c r="B875" s="21" t="str">
        <x:v>Synthetic Supplier 0250 LLC</x:v>
      </x:c>
      <x:c r="C875" s="38" t="str">
        <x:f>"900 000 000 000 250"</x:f>
        <x:v>900 000 000 000 250</x:v>
      </x:c>
      <x:c r="D875" s="21" t="str">
        <x:v>SYN-0250-INV-03</x:v>
      </x:c>
      <x:c r="E875" s="39" t="n">
        <x:v>46083</x:v>
      </x:c>
      <x:c r="F875" s="42" t="n">
        <x:v>5343.61</x:v>
      </x:c>
      <x:c r="G875" s="42" t="n">
        <x:v>267.18</x:v>
      </x:c>
      <x:c r="H875" s="42" t="n">
        <x:v>34876.88</x:v>
      </x:c>
      <x:c r="I875" s="39"/>
    </x:row>
    <x:row r="876">
      <x:c r="A876" s="21" t="str">
        <x:v>SYN-0250</x:v>
      </x:c>
      <x:c r="B876" s="21" t="str">
        <x:v>Synthetic Supplier 0250 LLC</x:v>
      </x:c>
      <x:c r="C876" s="38" t="str">
        <x:f>"900 000 000 000 250"</x:f>
        <x:v>900 000 000 000 250</x:v>
      </x:c>
      <x:c r="D876" s="21" t="str">
        <x:v>SYN-0250-INV-04</x:v>
      </x:c>
      <x:c r="E876" s="39" t="n">
        <x:v>46130</x:v>
      </x:c>
      <x:c r="F876" s="42" t="n">
        <x:v>11064.37</x:v>
      </x:c>
      <x:c r="G876" s="42" t="n">
        <x:v>553.22</x:v>
      </x:c>
      <x:c r="H876" s="42" t="n">
        <x:v>34876.88</x:v>
      </x:c>
      <x:c r="I876" s="39"/>
    </x:row>
    <x:row r="877">
      <x:c r="A877" s="21" t="str">
        <x:v>SYN-0251</x:v>
      </x:c>
      <x:c r="B877" s="21" t="str">
        <x:v>Synthetic Supplier 0251 LLC</x:v>
      </x:c>
      <x:c r="C877" s="38" t="str">
        <x:f>"900 000 000 000 251"</x:f>
        <x:v>900 000 000 000 251</x:v>
      </x:c>
      <x:c r="D877" s="21" t="str">
        <x:v>SYN-0251-INV-01</x:v>
      </x:c>
      <x:c r="E877" s="39" t="n">
        <x:v>46002</x:v>
      </x:c>
      <x:c r="F877" s="42" t="n">
        <x:v>12781.7</x:v>
      </x:c>
      <x:c r="G877" s="42" t="n">
        <x:v>639.09</x:v>
      </x:c>
      <x:c r="H877" s="42" t="n">
        <x:v>44799.01</x:v>
      </x:c>
      <x:c r="I877" s="39" t="n">
        <x:v>46267</x:v>
      </x:c>
    </x:row>
    <x:row r="878">
      <x:c r="A878" s="21" t="str">
        <x:v>SYN-0251</x:v>
      </x:c>
      <x:c r="B878" s="21" t="str">
        <x:v>Synthetic Supplier 0251 LLC</x:v>
      </x:c>
      <x:c r="C878" s="38" t="str">
        <x:f>"900 000 000 000 251"</x:f>
        <x:v>900 000 000 000 251</x:v>
      </x:c>
      <x:c r="D878" s="21" t="str">
        <x:v>SYN-0251-INV-02</x:v>
      </x:c>
      <x:c r="E878" s="39" t="n">
        <x:v>46049</x:v>
      </x:c>
      <x:c r="F878" s="42" t="n">
        <x:v>7981.34</x:v>
      </x:c>
      <x:c r="G878" s="42" t="n">
        <x:v>399.07</x:v>
      </x:c>
      <x:c r="H878" s="42" t="n">
        <x:v>44799.01</x:v>
      </x:c>
      <x:c r="I878" s="39" t="n">
        <x:v>46267</x:v>
      </x:c>
    </x:row>
    <x:row r="879">
      <x:c r="A879" s="21" t="str">
        <x:v>SYN-0251</x:v>
      </x:c>
      <x:c r="B879" s="21" t="str">
        <x:v>Synthetic Supplier 0251 LLC</x:v>
      </x:c>
      <x:c r="C879" s="38" t="str">
        <x:f>"900 000 000 000 251"</x:f>
        <x:v>900 000 000 000 251</x:v>
      </x:c>
      <x:c r="D879" s="21" t="str">
        <x:v>SYN-0251-INV-03</x:v>
      </x:c>
      <x:c r="E879" s="39" t="n">
        <x:v>46096</x:v>
      </x:c>
      <x:c r="F879" s="42" t="n">
        <x:v>10085.21</x:v>
      </x:c>
      <x:c r="G879" s="42" t="n">
        <x:v>504.26</x:v>
      </x:c>
      <x:c r="H879" s="42" t="n">
        <x:v>44799.01</x:v>
      </x:c>
      <x:c r="I879" s="39" t="n">
        <x:v>46267</x:v>
      </x:c>
    </x:row>
    <x:row r="880">
      <x:c r="A880" s="21" t="str">
        <x:v>SYN-0251</x:v>
      </x:c>
      <x:c r="B880" s="21" t="str">
        <x:v>Synthetic Supplier 0251 LLC</x:v>
      </x:c>
      <x:c r="C880" s="38" t="str">
        <x:f>"900 000 000 000 251"</x:f>
        <x:v>900 000 000 000 251</x:v>
      </x:c>
      <x:c r="D880" s="21" t="str">
        <x:v>SYN-0251-INV-04</x:v>
      </x:c>
      <x:c r="E880" s="39" t="n">
        <x:v>46143</x:v>
      </x:c>
      <x:c r="F880" s="42" t="n">
        <x:v>9478.21</x:v>
      </x:c>
      <x:c r="G880" s="42" t="n">
        <x:v>473.91</x:v>
      </x:c>
      <x:c r="H880" s="42" t="n">
        <x:v>44799.01</x:v>
      </x:c>
      <x:c r="I880" s="39" t="n">
        <x:v>46267</x:v>
      </x:c>
    </x:row>
    <x:row r="881">
      <x:c r="A881" s="21" t="str">
        <x:v>SYN-0251</x:v>
      </x:c>
      <x:c r="B881" s="21" t="str">
        <x:v>Synthetic Supplier 0251 LLC</x:v>
      </x:c>
      <x:c r="C881" s="38" t="str">
        <x:f>"900 000 000 000 251"</x:f>
        <x:v>900 000 000 000 251</x:v>
      </x:c>
      <x:c r="D881" s="21" t="str">
        <x:v>SYN-0251-INV-05</x:v>
      </x:c>
      <x:c r="E881" s="39" t="n">
        <x:v>46190</x:v>
      </x:c>
      <x:c r="F881" s="42" t="n">
        <x:v>9450.22</x:v>
      </x:c>
      <x:c r="G881" s="42" t="n">
        <x:v>472.51</x:v>
      </x:c>
      <x:c r="H881" s="42" t="n">
        <x:v>44799.01</x:v>
      </x:c>
      <x:c r="I881" s="39" t="n">
        <x:v>46267</x:v>
      </x:c>
    </x:row>
    <x:row r="882">
      <x:c r="A882" s="21" t="str">
        <x:v>SYN-0252</x:v>
      </x:c>
      <x:c r="B882" s="21" t="str">
        <x:v>Synthetic Supplier 0252 LLC</x:v>
      </x:c>
      <x:c r="C882" s="38" t="str">
        <x:f>"900 000 000 000 252"</x:f>
        <x:v>900 000 000 000 252</x:v>
      </x:c>
      <x:c r="D882" s="21" t="str">
        <x:v>SYN-0252-INV-01</x:v>
      </x:c>
      <x:c r="E882" s="39" t="n">
        <x:v>46015</x:v>
      </x:c>
      <x:c r="F882" s="42" t="n">
        <x:v>14496.29</x:v>
      </x:c>
      <x:c r="G882" s="42" t="n">
        <x:v>724.81</x:v>
      </x:c>
      <x:c r="H882" s="42" t="n">
        <x:v>48994.74</x:v>
      </x:c>
      <x:c r="I882" s="39" t="n">
        <x:v>45660</x:v>
      </x:c>
    </x:row>
    <x:row r="883">
      <x:c r="A883" s="21" t="str">
        <x:v>SYN-0252</x:v>
      </x:c>
      <x:c r="B883" s="21" t="str">
        <x:v>Synthetic Supplier 0252 LLC</x:v>
      </x:c>
      <x:c r="C883" s="38" t="str">
        <x:f>"900 000 000 000 252"</x:f>
        <x:v>900 000 000 000 252</x:v>
      </x:c>
      <x:c r="D883" s="21" t="str">
        <x:v>SYN-0252-INV-02</x:v>
      </x:c>
      <x:c r="E883" s="39" t="n">
        <x:v>46062</x:v>
      </x:c>
      <x:c r="F883" s="42" t="n">
        <x:v>28107.83</x:v>
      </x:c>
      <x:c r="G883" s="42" t="n">
        <x:v>1405.39</x:v>
      </x:c>
      <x:c r="H883" s="42" t="n">
        <x:v>48994.74</x:v>
      </x:c>
      <x:c r="I883" s="39" t="n">
        <x:v>45660</x:v>
      </x:c>
    </x:row>
    <x:row r="884">
      <x:c r="A884" s="21" t="str">
        <x:v>SYN-0253</x:v>
      </x:c>
      <x:c r="B884" s="21" t="str">
        <x:v>Synthetic Supplier 0253 LLC</x:v>
      </x:c>
      <x:c r="C884" s="38" t="str">
        <x:f>"900 000 000 000 253"</x:f>
        <x:v>900 000 000 000 253</x:v>
      </x:c>
      <x:c r="D884" s="21" t="str">
        <x:v>SYN-0253-INV-01</x:v>
      </x:c>
      <x:c r="E884" s="39" t="n">
        <x:v>46028</x:v>
      </x:c>
      <x:c r="F884" s="42" t="n">
        <x:v>11741.65</x:v>
      </x:c>
      <x:c r="G884" s="42" t="n">
        <x:v>587.08</x:v>
      </x:c>
      <x:c r="H884" s="42" t="n">
        <x:v>44500.92</x:v>
      </x:c>
      <x:c r="I884" s="39" t="n">
        <x:v>46057</x:v>
      </x:c>
    </x:row>
    <x:row r="885">
      <x:c r="A885" s="21" t="str">
        <x:v>SYN-0253</x:v>
      </x:c>
      <x:c r="B885" s="21" t="str">
        <x:v>Synthetic Supplier 0253 LLC</x:v>
      </x:c>
      <x:c r="C885" s="38" t="str">
        <x:f>"900 000 000 000 253"</x:f>
        <x:v>900 000 000 000 253</x:v>
      </x:c>
      <x:c r="D885" s="21" t="str">
        <x:v>SYN-0253-INV-02</x:v>
      </x:c>
      <x:c r="E885" s="39" t="n">
        <x:v>46075</x:v>
      </x:c>
      <x:c r="F885" s="42" t="n">
        <x:v>21338.91</x:v>
      </x:c>
      <x:c r="G885" s="42" t="n">
        <x:v>1066.95</x:v>
      </x:c>
      <x:c r="H885" s="42" t="n">
        <x:v>44500.92</x:v>
      </x:c>
      <x:c r="I885" s="39" t="n">
        <x:v>46057</x:v>
      </x:c>
    </x:row>
    <x:row r="886">
      <x:c r="A886" s="21" t="str">
        <x:v>SYN-0253</x:v>
      </x:c>
      <x:c r="B886" s="21" t="str">
        <x:v>Synthetic Supplier 0253 LLC</x:v>
      </x:c>
      <x:c r="C886" s="38" t="str">
        <x:f>"900 000 000 000 253"</x:f>
        <x:v>900 000 000 000 253</x:v>
      </x:c>
      <x:c r="D886" s="21" t="str">
        <x:v>SYN-0253-INV-03</x:v>
      </x:c>
      <x:c r="E886" s="39" t="n">
        <x:v>46122</x:v>
      </x:c>
      <x:c r="F886" s="42" t="n">
        <x:v>16364.91</x:v>
      </x:c>
      <x:c r="G886" s="42" t="n">
        <x:v>818.25</x:v>
      </x:c>
      <x:c r="H886" s="42" t="n">
        <x:v>44500.92</x:v>
      </x:c>
      <x:c r="I886" s="39" t="n">
        <x:v>46057</x:v>
      </x:c>
    </x:row>
    <x:row r="887">
      <x:c r="A887" s="21" t="str">
        <x:v>SYN-0254</x:v>
      </x:c>
      <x:c r="B887" s="21" t="str">
        <x:v>Synthetic Supplier 0254 LLC</x:v>
      </x:c>
      <x:c r="C887" s="38" t="str">
        <x:f>"900 000 000 000 254"</x:f>
        <x:v>900 000 000 000 254</x:v>
      </x:c>
      <x:c r="D887" s="21" t="str">
        <x:v>SYN-0254-INV-01</x:v>
      </x:c>
      <x:c r="E887" s="39" t="n">
        <x:v>46041</x:v>
      </x:c>
      <x:c r="F887" s="42" t="n">
        <x:v>21845.2</x:v>
      </x:c>
      <x:c r="G887" s="42" t="n">
        <x:v>1092.26</x:v>
      </x:c>
      <x:c r="H887" s="42" t="n">
        <x:v>78968.48</x:v>
      </x:c>
      <x:c r="I887" s="39" t="n">
        <x:v>45721</x:v>
      </x:c>
    </x:row>
    <x:row r="888">
      <x:c r="A888" s="21" t="str">
        <x:v>SYN-0254</x:v>
      </x:c>
      <x:c r="B888" s="21" t="str">
        <x:v>Synthetic Supplier 0254 LLC</x:v>
      </x:c>
      <x:c r="C888" s="38" t="str">
        <x:f>"900 000 000 000 254"</x:f>
        <x:v>900 000 000 000 254</x:v>
      </x:c>
      <x:c r="D888" s="21" t="str">
        <x:v>SYN-0254-INV-02</x:v>
      </x:c>
      <x:c r="E888" s="39" t="n">
        <x:v>46088</x:v>
      </x:c>
      <x:c r="F888" s="42" t="n">
        <x:v>25795.36</x:v>
      </x:c>
      <x:c r="G888" s="42" t="n">
        <x:v>1289.77</x:v>
      </x:c>
      <x:c r="H888" s="42" t="n">
        <x:v>78968.48</x:v>
      </x:c>
      <x:c r="I888" s="39" t="n">
        <x:v>45721</x:v>
      </x:c>
    </x:row>
    <x:row r="889">
      <x:c r="A889" s="21" t="str">
        <x:v>SYN-0254</x:v>
      </x:c>
      <x:c r="B889" s="21" t="str">
        <x:v>Synthetic Supplier 0254 LLC</x:v>
      </x:c>
      <x:c r="C889" s="38" t="str">
        <x:f>"900 000 000 000 254"</x:f>
        <x:v>900 000 000 000 254</x:v>
      </x:c>
      <x:c r="D889" s="21" t="str">
        <x:v>SYN-0254-INV-03</x:v>
      </x:c>
      <x:c r="E889" s="39" t="n">
        <x:v>46135</x:v>
      </x:c>
      <x:c r="F889" s="42" t="n">
        <x:v>14142.44</x:v>
      </x:c>
      <x:c r="G889" s="42" t="n">
        <x:v>707.12</x:v>
      </x:c>
      <x:c r="H889" s="42" t="n">
        <x:v>78968.48</x:v>
      </x:c>
      <x:c r="I889" s="39" t="n">
        <x:v>45721</x:v>
      </x:c>
    </x:row>
    <x:row r="890">
      <x:c r="A890" s="21" t="str">
        <x:v>SYN-0254</x:v>
      </x:c>
      <x:c r="B890" s="21" t="str">
        <x:v>Synthetic Supplier 0254 LLC</x:v>
      </x:c>
      <x:c r="C890" s="38" t="str">
        <x:f>"900 000 000 000 254"</x:f>
        <x:v>900 000 000 000 254</x:v>
      </x:c>
      <x:c r="D890" s="21" t="str">
        <x:v>SYN-0254-INV-04</x:v>
      </x:c>
      <x:c r="E890" s="39" t="n">
        <x:v>46182</x:v>
      </x:c>
      <x:c r="F890" s="42" t="n">
        <x:v>25959.74</x:v>
      </x:c>
      <x:c r="G890" s="42" t="n">
        <x:v>1297.99</x:v>
      </x:c>
      <x:c r="H890" s="42" t="n">
        <x:v>78968.48</x:v>
      </x:c>
      <x:c r="I890" s="39" t="n">
        <x:v>45721</x:v>
      </x:c>
    </x:row>
    <x:row r="891">
      <x:c r="A891" s="21" t="str">
        <x:v>SYN-0255</x:v>
      </x:c>
      <x:c r="B891" s="21" t="str">
        <x:v>Synthetic Supplier 0255 LLC</x:v>
      </x:c>
      <x:c r="C891" s="38" t="str">
        <x:f>"900 000 000 000 255"</x:f>
        <x:v>900 000 000 000 255</x:v>
      </x:c>
      <x:c r="D891" s="21" t="str">
        <x:v>SYN-0255-INV-01</x:v>
      </x:c>
      <x:c r="E891" s="39" t="n">
        <x:v>46054</x:v>
      </x:c>
      <x:c r="F891" s="42" t="n">
        <x:v>9974.46</x:v>
      </x:c>
      <x:c r="G891" s="42" t="n">
        <x:v>498.72</x:v>
      </x:c>
      <x:c r="H891" s="42" t="n">
        <x:v>47052.41</x:v>
      </x:c>
      <x:c r="I891" s="39"/>
    </x:row>
    <x:row r="892">
      <x:c r="A892" s="21" t="str">
        <x:v>SYN-0255</x:v>
      </x:c>
      <x:c r="B892" s="21" t="str">
        <x:v>Synthetic Supplier 0255 LLC</x:v>
      </x:c>
      <x:c r="C892" s="38" t="str">
        <x:f>"900 000 000 000 255"</x:f>
        <x:v>900 000 000 000 255</x:v>
      </x:c>
      <x:c r="D892" s="21" t="str">
        <x:v>SYN-0255-INV-02</x:v>
      </x:c>
      <x:c r="E892" s="39" t="n">
        <x:v>46101</x:v>
      </x:c>
      <x:c r="F892" s="42" t="n">
        <x:v>10672.54</x:v>
      </x:c>
      <x:c r="G892" s="42" t="n">
        <x:v>533.63</x:v>
      </x:c>
      <x:c r="H892" s="42" t="n">
        <x:v>47052.41</x:v>
      </x:c>
      <x:c r="I892" s="39"/>
    </x:row>
    <x:row r="893">
      <x:c r="A893" s="21" t="str">
        <x:v>SYN-0255</x:v>
      </x:c>
      <x:c r="B893" s="21" t="str">
        <x:v>Synthetic Supplier 0255 LLC</x:v>
      </x:c>
      <x:c r="C893" s="38" t="str">
        <x:f>"900 000 000 000 255"</x:f>
        <x:v>900 000 000 000 255</x:v>
      </x:c>
      <x:c r="D893" s="21" t="str">
        <x:v>SYN-0255-INV-03</x:v>
      </x:c>
      <x:c r="E893" s="39" t="n">
        <x:v>46148</x:v>
      </x:c>
      <x:c r="F893" s="42" t="n">
        <x:v>10833.54</x:v>
      </x:c>
      <x:c r="G893" s="42" t="n">
        <x:v>541.68</x:v>
      </x:c>
      <x:c r="H893" s="42" t="n">
        <x:v>47052.41</x:v>
      </x:c>
      <x:c r="I893" s="39"/>
    </x:row>
    <x:row r="894">
      <x:c r="A894" s="21" t="str">
        <x:v>SYN-0255</x:v>
      </x:c>
      <x:c r="B894" s="21" t="str">
        <x:v>Synthetic Supplier 0255 LLC</x:v>
      </x:c>
      <x:c r="C894" s="38" t="str">
        <x:f>"900 000 000 000 255"</x:f>
        <x:v>900 000 000 000 255</x:v>
      </x:c>
      <x:c r="D894" s="21" t="str">
        <x:v>SYN-0255-INV-04</x:v>
      </x:c>
      <x:c r="E894" s="39" t="n">
        <x:v>46195</x:v>
      </x:c>
      <x:c r="F894" s="42" t="n">
        <x:v>11108.2</x:v>
      </x:c>
      <x:c r="G894" s="42" t="n">
        <x:v>555.41</x:v>
      </x:c>
      <x:c r="H894" s="42" t="n">
        <x:v>47052.41</x:v>
      </x:c>
      <x:c r="I894" s="39"/>
    </x:row>
    <x:row r="895">
      <x:c r="A895" s="21" t="str">
        <x:v>SYN-0255</x:v>
      </x:c>
      <x:c r="B895" s="21" t="str">
        <x:v>Synthetic Supplier 0255 LLC</x:v>
      </x:c>
      <x:c r="C895" s="38" t="str">
        <x:f>"900 000 000 000 255"</x:f>
        <x:v>900 000 000 000 255</x:v>
      </x:c>
      <x:c r="D895" s="21" t="str">
        <x:v>SYN-0255-INV-05</x:v>
      </x:c>
      <x:c r="E895" s="39" t="n">
        <x:v>46242</x:v>
      </x:c>
      <x:c r="F895" s="42" t="n">
        <x:v>9691.72</x:v>
      </x:c>
      <x:c r="G895" s="42" t="n">
        <x:v>484.59</x:v>
      </x:c>
      <x:c r="H895" s="42" t="n">
        <x:v>47052.41</x:v>
      </x:c>
      <x:c r="I895" s="39"/>
    </x:row>
    <x:row r="896">
      <x:c r="A896" s="21" t="str">
        <x:v>SYN-0256</x:v>
      </x:c>
      <x:c r="B896" s="21" t="str">
        <x:v>Synthetic Supplier 0256 LLC</x:v>
      </x:c>
      <x:c r="C896" s="38" t="str">
        <x:f>"900 000 000 000 256"</x:f>
        <x:v>900 000 000 000 256</x:v>
      </x:c>
      <x:c r="D896" s="21" t="str">
        <x:v>SYN-0256-INV-01</x:v>
      </x:c>
      <x:c r="E896" s="39" t="n">
        <x:v>46067</x:v>
      </x:c>
      <x:c r="F896" s="42" t="n">
        <x:v>27262.73</x:v>
      </x:c>
      <x:c r="G896" s="42" t="n">
        <x:v>1363.14</x:v>
      </x:c>
      <x:c r="H896" s="42" t="n">
        <x:v>53098.15</x:v>
      </x:c>
      <x:c r="I896" s="39" t="n">
        <x:v>45784</x:v>
      </x:c>
    </x:row>
    <x:row r="897">
      <x:c r="A897" s="21" t="str">
        <x:v>SYN-0256</x:v>
      </x:c>
      <x:c r="B897" s="21" t="str">
        <x:v>Synthetic Supplier 0256 LLC</x:v>
      </x:c>
      <x:c r="C897" s="38" t="str">
        <x:f>"900 000 000 000 256"</x:f>
        <x:v>900 000 000 000 256</x:v>
      </x:c>
      <x:c r="D897" s="21" t="str">
        <x:v>SYN-0256-INV-02</x:v>
      </x:c>
      <x:c r="E897" s="39" t="n">
        <x:v>46114</x:v>
      </x:c>
      <x:c r="F897" s="42" t="n">
        <x:v>31735.21</x:v>
      </x:c>
      <x:c r="G897" s="42" t="n">
        <x:v>1586.76</x:v>
      </x:c>
      <x:c r="H897" s="42" t="n">
        <x:v>53098.15</x:v>
      </x:c>
      <x:c r="I897" s="39" t="n">
        <x:v>45784</x:v>
      </x:c>
    </x:row>
    <x:row r="898">
      <x:c r="A898" s="21" t="str">
        <x:v>SYN-0257</x:v>
      </x:c>
      <x:c r="B898" s="21" t="str">
        <x:v>Synthetic Supplier 0257 LLC</x:v>
      </x:c>
      <x:c r="C898" s="38" t="str">
        <x:f>"900 000 000 000 257"</x:f>
        <x:v>900 000 000 000 257</x:v>
      </x:c>
      <x:c r="D898" s="21" t="str">
        <x:v>SYN-0257-INV-01</x:v>
      </x:c>
      <x:c r="E898" s="39" t="n">
        <x:v>46080</x:v>
      </x:c>
      <x:c r="F898" s="42" t="n">
        <x:v>14819.22</x:v>
      </x:c>
      <x:c r="G898" s="42" t="n">
        <x:v>740.96</x:v>
      </x:c>
      <x:c r="H898" s="42" t="n">
        <x:v>47382.14</x:v>
      </x:c>
      <x:c r="I898" s="39" t="n">
        <x:v>46181</x:v>
      </x:c>
    </x:row>
    <x:row r="899">
      <x:c r="A899" s="21" t="str">
        <x:v>SYN-0257</x:v>
      </x:c>
      <x:c r="B899" s="21" t="str">
        <x:v>Synthetic Supplier 0257 LLC</x:v>
      </x:c>
      <x:c r="C899" s="38" t="str">
        <x:f>"900 000 000 000 257"</x:f>
        <x:v>900 000 000 000 257</x:v>
      </x:c>
      <x:c r="D899" s="21" t="str">
        <x:v>SYN-0257-INV-02</x:v>
      </x:c>
      <x:c r="E899" s="39" t="n">
        <x:v>46127</x:v>
      </x:c>
      <x:c r="F899" s="42" t="n">
        <x:v>13427.54</x:v>
      </x:c>
      <x:c r="G899" s="42" t="n">
        <x:v>671.38</x:v>
      </x:c>
      <x:c r="H899" s="42" t="n">
        <x:v>47382.14</x:v>
      </x:c>
      <x:c r="I899" s="39" t="n">
        <x:v>46181</x:v>
      </x:c>
    </x:row>
    <x:row r="900">
      <x:c r="A900" s="21" t="str">
        <x:v>SYN-0257</x:v>
      </x:c>
      <x:c r="B900" s="21" t="str">
        <x:v>Synthetic Supplier 0257 LLC</x:v>
      </x:c>
      <x:c r="C900" s="38" t="str">
        <x:f>"900 000 000 000 257"</x:f>
        <x:v>900 000 000 000 257</x:v>
      </x:c>
      <x:c r="D900" s="21" t="str">
        <x:v>SYN-0257-INV-03</x:v>
      </x:c>
      <x:c r="E900" s="39" t="n">
        <x:v>46174</x:v>
      </x:c>
      <x:c r="F900" s="42" t="n">
        <x:v>24400.06</x:v>
      </x:c>
      <x:c r="G900" s="42" t="n">
        <x:v>1220</x:v>
      </x:c>
      <x:c r="H900" s="42" t="n">
        <x:v>47382.14</x:v>
      </x:c>
      <x:c r="I900" s="39" t="n">
        <x:v>46181</x:v>
      </x:c>
    </x:row>
    <x:row r="901">
      <x:c r="A901" s="21" t="str">
        <x:v>SYN-0258</x:v>
      </x:c>
      <x:c r="B901" s="21" t="str">
        <x:v>Synthetic Supplier 0258 LLC</x:v>
      </x:c>
      <x:c r="C901" s="38" t="str">
        <x:f>"900 000 000 000 258"</x:f>
        <x:v>900 000 000 000 258</x:v>
      </x:c>
      <x:c r="D901" s="21" t="str">
        <x:v>SYN-0258-INV-01</x:v>
      </x:c>
      <x:c r="E901" s="39" t="n">
        <x:v>46093</x:v>
      </x:c>
      <x:c r="F901" s="42" t="n">
        <x:v>12103.4</x:v>
      </x:c>
      <x:c r="G901" s="42" t="n">
        <x:v>605.17</x:v>
      </x:c>
      <x:c r="H901" s="42" t="n">
        <x:v>56548.53</x:v>
      </x:c>
      <x:c r="I901" s="39" t="n">
        <x:v>45847</x:v>
      </x:c>
    </x:row>
    <x:row r="902">
      <x:c r="A902" s="21" t="str">
        <x:v>SYN-0258</x:v>
      </x:c>
      <x:c r="B902" s="21" t="str">
        <x:v>Synthetic Supplier 0258 LLC</x:v>
      </x:c>
      <x:c r="C902" s="38" t="str">
        <x:f>"900 000 000 000 258"</x:f>
        <x:v>900 000 000 000 258</x:v>
      </x:c>
      <x:c r="D902" s="21" t="str">
        <x:v>SYN-0258-INV-02</x:v>
      </x:c>
      <x:c r="E902" s="39" t="n">
        <x:v>46140</x:v>
      </x:c>
      <x:c r="F902" s="42" t="n">
        <x:v>17463.77</x:v>
      </x:c>
      <x:c r="G902" s="42" t="n">
        <x:v>873.19</x:v>
      </x:c>
      <x:c r="H902" s="42" t="n">
        <x:v>56548.53</x:v>
      </x:c>
      <x:c r="I902" s="39" t="n">
        <x:v>45847</x:v>
      </x:c>
    </x:row>
    <x:row r="903">
      <x:c r="A903" s="21" t="str">
        <x:v>SYN-0258</x:v>
      </x:c>
      <x:c r="B903" s="21" t="str">
        <x:v>Synthetic Supplier 0258 LLC</x:v>
      </x:c>
      <x:c r="C903" s="38" t="str">
        <x:f>"900 000 000 000 258"</x:f>
        <x:v>900 000 000 000 258</x:v>
      </x:c>
      <x:c r="D903" s="21" t="str">
        <x:v>SYN-0258-INV-03</x:v>
      </x:c>
      <x:c r="E903" s="39" t="n">
        <x:v>46187</x:v>
      </x:c>
      <x:c r="F903" s="42" t="n">
        <x:v>17253.83</x:v>
      </x:c>
      <x:c r="G903" s="42" t="n">
        <x:v>862.69</x:v>
      </x:c>
      <x:c r="H903" s="42" t="n">
        <x:v>56548.53</x:v>
      </x:c>
      <x:c r="I903" s="39" t="n">
        <x:v>45847</x:v>
      </x:c>
    </x:row>
    <x:row r="904">
      <x:c r="A904" s="21" t="str">
        <x:v>SYN-0258</x:v>
      </x:c>
      <x:c r="B904" s="21" t="str">
        <x:v>Synthetic Supplier 0258 LLC</x:v>
      </x:c>
      <x:c r="C904" s="38" t="str">
        <x:f>"900 000 000 000 258"</x:f>
        <x:v>900 000 000 000 258</x:v>
      </x:c>
      <x:c r="D904" s="21" t="str">
        <x:v>SYN-0258-INV-04</x:v>
      </x:c>
      <x:c r="E904" s="39" t="n">
        <x:v>46234</x:v>
      </x:c>
      <x:c r="F904" s="42" t="n">
        <x:v>16010.7</x:v>
      </x:c>
      <x:c r="G904" s="42" t="n">
        <x:v>800.54</x:v>
      </x:c>
      <x:c r="H904" s="42" t="n">
        <x:v>56548.53</x:v>
      </x:c>
      <x:c r="I904" s="39" t="n">
        <x:v>45847</x:v>
      </x:c>
    </x:row>
    <x:row r="905">
      <x:c r="A905" s="21" t="str">
        <x:v>SYN-0259</x:v>
      </x:c>
      <x:c r="B905" s="21" t="str">
        <x:v>Synthetic Supplier 0259 LLC</x:v>
      </x:c>
      <x:c r="C905" s="38" t="str">
        <x:f>"900 000 000 000 259"</x:f>
        <x:v>900 000 000 000 259</x:v>
      </x:c>
      <x:c r="D905" s="21" t="str">
        <x:v>SYN-0259-INV-01</x:v>
      </x:c>
      <x:c r="E905" s="39" t="n">
        <x:v>46106</x:v>
      </x:c>
      <x:c r="F905" s="42" t="n">
        <x:v>14906.43</x:v>
      </x:c>
      <x:c r="G905" s="42" t="n">
        <x:v>745.32</x:v>
      </x:c>
      <x:c r="H905" s="42" t="n">
        <x:v>85500.05</x:v>
      </x:c>
      <x:c r="I905" s="39" t="n">
        <x:v>46244</x:v>
      </x:c>
    </x:row>
    <x:row r="906">
      <x:c r="A906" s="21" t="str">
        <x:v>SYN-0259</x:v>
      </x:c>
      <x:c r="B906" s="21" t="str">
        <x:v>Synthetic Supplier 0259 LLC</x:v>
      </x:c>
      <x:c r="C906" s="38" t="str">
        <x:f>"900 000 000 000 259"</x:f>
        <x:v>900 000 000 000 259</x:v>
      </x:c>
      <x:c r="D906" s="21" t="str">
        <x:v>SYN-0259-INV-02</x:v>
      </x:c>
      <x:c r="E906" s="39" t="n">
        <x:v>46153</x:v>
      </x:c>
      <x:c r="F906" s="42" t="n">
        <x:v>12776.66</x:v>
      </x:c>
      <x:c r="G906" s="42" t="n">
        <x:v>638.83</x:v>
      </x:c>
      <x:c r="H906" s="42" t="n">
        <x:v>85500.05</x:v>
      </x:c>
      <x:c r="I906" s="39" t="n">
        <x:v>46244</x:v>
      </x:c>
    </x:row>
    <x:row r="907">
      <x:c r="A907" s="21" t="str">
        <x:v>SYN-0259</x:v>
      </x:c>
      <x:c r="B907" s="21" t="str">
        <x:v>Synthetic Supplier 0259 LLC</x:v>
      </x:c>
      <x:c r="C907" s="38" t="str">
        <x:f>"900 000 000 000 259"</x:f>
        <x:v>900 000 000 000 259</x:v>
      </x:c>
      <x:c r="D907" s="21" t="str">
        <x:v>SYN-0259-INV-03</x:v>
      </x:c>
      <x:c r="E907" s="39" t="n">
        <x:v>46200</x:v>
      </x:c>
      <x:c r="F907" s="42" t="n">
        <x:v>17274.02</x:v>
      </x:c>
      <x:c r="G907" s="42" t="n">
        <x:v>863.7</x:v>
      </x:c>
      <x:c r="H907" s="42" t="n">
        <x:v>85500.05</x:v>
      </x:c>
      <x:c r="I907" s="39" t="n">
        <x:v>46244</x:v>
      </x:c>
    </x:row>
    <x:row r="908">
      <x:c r="A908" s="21" t="str">
        <x:v>SYN-0259</x:v>
      </x:c>
      <x:c r="B908" s="21" t="str">
        <x:v>Synthetic Supplier 0259 LLC</x:v>
      </x:c>
      <x:c r="C908" s="38" t="str">
        <x:f>"900 000 000 000 259"</x:f>
        <x:v>900 000 000 000 259</x:v>
      </x:c>
      <x:c r="D908" s="21" t="str">
        <x:v>SYN-0259-INV-04</x:v>
      </x:c>
      <x:c r="E908" s="39" t="n">
        <x:v>46247</x:v>
      </x:c>
      <x:c r="F908" s="42" t="n">
        <x:v>13663.91</x:v>
      </x:c>
      <x:c r="G908" s="42" t="n">
        <x:v>683.2</x:v>
      </x:c>
      <x:c r="H908" s="42" t="n">
        <x:v>85500.05</x:v>
      </x:c>
      <x:c r="I908" s="39" t="n">
        <x:v>46244</x:v>
      </x:c>
    </x:row>
    <x:row r="909">
      <x:c r="A909" s="21" t="str">
        <x:v>SYN-0259</x:v>
      </x:c>
      <x:c r="B909" s="21" t="str">
        <x:v>Synthetic Supplier 0259 LLC</x:v>
      </x:c>
      <x:c r="C909" s="38" t="str">
        <x:f>"900 000 000 000 259"</x:f>
        <x:v>900 000 000 000 259</x:v>
      </x:c>
      <x:c r="D909" s="21" t="str">
        <x:v>SYN-0259-INV-05</x:v>
      </x:c>
      <x:c r="E909" s="39" t="n">
        <x:v>45934</x:v>
      </x:c>
      <x:c r="F909" s="42" t="n">
        <x:v>15726.84</x:v>
      </x:c>
      <x:c r="G909" s="42" t="n">
        <x:v>786.34</x:v>
      </x:c>
      <x:c r="H909" s="42" t="n">
        <x:v>85500.05</x:v>
      </x:c>
      <x:c r="I909" s="39" t="n">
        <x:v>46244</x:v>
      </x:c>
    </x:row>
    <x:row r="910">
      <x:c r="A910" s="21" t="str">
        <x:v>SYN-0260</x:v>
      </x:c>
      <x:c r="B910" s="21" t="str">
        <x:v>Synthetic Supplier 0260 LLC</x:v>
      </x:c>
      <x:c r="C910" s="38" t="str">
        <x:f>"900 000 000 000 260"</x:f>
        <x:v>900 000 000 000 260</x:v>
      </x:c>
      <x:c r="D910" s="21" t="str">
        <x:v>SYN-0260-INV-01</x:v>
      </x:c>
      <x:c r="E910" s="39" t="n">
        <x:v>46119</x:v>
      </x:c>
      <x:c r="F910" s="42" t="n">
        <x:v>28438.56</x:v>
      </x:c>
      <x:c r="G910" s="42" t="n">
        <x:v>1421.93</x:v>
      </x:c>
      <x:c r="H910" s="42" t="n">
        <x:v>60574.69</x:v>
      </x:c>
      <x:c r="I910" s="39"/>
    </x:row>
    <x:row r="911">
      <x:c r="A911" s="21" t="str">
        <x:v>SYN-0260</x:v>
      </x:c>
      <x:c r="B911" s="21" t="str">
        <x:v>Synthetic Supplier 0260 LLC</x:v>
      </x:c>
      <x:c r="C911" s="38" t="str">
        <x:f>"900 000 000 000 260"</x:f>
        <x:v>900 000 000 000 260</x:v>
      </x:c>
      <x:c r="D911" s="21" t="str">
        <x:v>SYN-0260-INV-02</x:v>
      </x:c>
      <x:c r="E911" s="39" t="n">
        <x:v>46166</x:v>
      </x:c>
      <x:c r="F911" s="42" t="n">
        <x:v>38866.65</x:v>
      </x:c>
      <x:c r="G911" s="42" t="n">
        <x:v>1943.33</x:v>
      </x:c>
      <x:c r="H911" s="42" t="n">
        <x:v>60574.69</x:v>
      </x:c>
      <x:c r="I911" s="39"/>
    </x:row>
    <x:row r="912">
      <x:c r="A912" s="21" t="str">
        <x:v>SYN-0261</x:v>
      </x:c>
      <x:c r="B912" s="21" t="str">
        <x:v>Synthetic Supplier 0261 LLC</x:v>
      </x:c>
      <x:c r="C912" s="38" t="str">
        <x:f>"900 000 000 000 261"</x:f>
        <x:v>900 000 000 000 261</x:v>
      </x:c>
      <x:c r="D912" s="21" t="str">
        <x:v>SYN-0261-INV-01</x:v>
      </x:c>
      <x:c r="E912" s="39" t="n">
        <x:v>46132</x:v>
      </x:c>
      <x:c r="F912" s="42" t="n">
        <x:v>29509.61</x:v>
      </x:c>
      <x:c r="G912" s="42" t="n">
        <x:v>1475.48</x:v>
      </x:c>
      <x:c r="H912" s="42" t="n">
        <x:v>71365.41</x:v>
      </x:c>
      <x:c r="I912" s="39" t="n">
        <x:v>46034</x:v>
      </x:c>
    </x:row>
    <x:row r="913">
      <x:c r="A913" s="21" t="str">
        <x:v>SYN-0261</x:v>
      </x:c>
      <x:c r="B913" s="21" t="str">
        <x:v>Synthetic Supplier 0261 LLC</x:v>
      </x:c>
      <x:c r="C913" s="38" t="str">
        <x:f>"900 000 000 000 261"</x:f>
        <x:v>900 000 000 000 261</x:v>
      </x:c>
      <x:c r="D913" s="21" t="str">
        <x:v>SYN-0261-INV-02</x:v>
      </x:c>
      <x:c r="E913" s="39" t="n">
        <x:v>46179</x:v>
      </x:c>
      <x:c r="F913" s="42" t="n">
        <x:v>22535.16</x:v>
      </x:c>
      <x:c r="G913" s="42" t="n">
        <x:v>1126.76</x:v>
      </x:c>
      <x:c r="H913" s="42" t="n">
        <x:v>71365.41</x:v>
      </x:c>
      <x:c r="I913" s="39" t="n">
        <x:v>46034</x:v>
      </x:c>
    </x:row>
    <x:row r="914">
      <x:c r="A914" s="21" t="str">
        <x:v>SYN-0261</x:v>
      </x:c>
      <x:c r="B914" s="21" t="str">
        <x:v>Synthetic Supplier 0261 LLC</x:v>
      </x:c>
      <x:c r="C914" s="38" t="str">
        <x:f>"900 000 000 000 261"</x:f>
        <x:v>900 000 000 000 261</x:v>
      </x:c>
      <x:c r="D914" s="21" t="str">
        <x:v>SYN-0261-INV-03</x:v>
      </x:c>
      <x:c r="E914" s="39" t="n">
        <x:v>46226</x:v>
      </x:c>
      <x:c r="F914" s="42" t="n">
        <x:v>27250.13</x:v>
      </x:c>
      <x:c r="G914" s="42" t="n">
        <x:v>1362.51</x:v>
      </x:c>
      <x:c r="H914" s="42" t="n">
        <x:v>71365.41</x:v>
      </x:c>
      <x:c r="I914" s="39" t="n">
        <x:v>46034</x:v>
      </x:c>
    </x:row>
    <x:row r="915">
      <x:c r="A915" s="21" t="str">
        <x:v>SYN-0262</x:v>
      </x:c>
      <x:c r="B915" s="21" t="str">
        <x:v>Synthetic Supplier 0262 LLC</x:v>
      </x:c>
      <x:c r="C915" s="38" t="str">
        <x:f>"900 000 000 000 262"</x:f>
        <x:v>900 000 000 000 262</x:v>
      </x:c>
      <x:c r="D915" s="21" t="str">
        <x:v>SYN-0262-INV-01</x:v>
      </x:c>
      <x:c r="E915" s="39" t="n">
        <x:v>46145</x:v>
      </x:c>
      <x:c r="F915" s="42" t="n">
        <x:v>16855.56</x:v>
      </x:c>
      <x:c r="G915" s="42" t="n">
        <x:v>842.78</x:v>
      </x:c>
      <x:c r="H915" s="42" t="n">
        <x:v>67820.21</x:v>
      </x:c>
      <x:c r="I915" s="39" t="n">
        <x:v>45701</x:v>
      </x:c>
    </x:row>
    <x:row r="916">
      <x:c r="A916" s="21" t="str">
        <x:v>SYN-0262</x:v>
      </x:c>
      <x:c r="B916" s="21" t="str">
        <x:v>Synthetic Supplier 0262 LLC</x:v>
      </x:c>
      <x:c r="C916" s="38" t="str">
        <x:f>"900 000 000 000 262"</x:f>
        <x:v>900 000 000 000 262</x:v>
      </x:c>
      <x:c r="D916" s="21" t="str">
        <x:v>SYN-0262-INV-02</x:v>
      </x:c>
      <x:c r="E916" s="39" t="n">
        <x:v>46192</x:v>
      </x:c>
      <x:c r="F916" s="42" t="n">
        <x:v>16079.09</x:v>
      </x:c>
      <x:c r="G916" s="42" t="n">
        <x:v>803.95</x:v>
      </x:c>
      <x:c r="H916" s="42" t="n">
        <x:v>67820.21</x:v>
      </x:c>
      <x:c r="I916" s="39" t="n">
        <x:v>45701</x:v>
      </x:c>
    </x:row>
    <x:row r="917">
      <x:c r="A917" s="21" t="str">
        <x:v>SYN-0262</x:v>
      </x:c>
      <x:c r="B917" s="21" t="str">
        <x:v>Synthetic Supplier 0262 LLC</x:v>
      </x:c>
      <x:c r="C917" s="38" t="str">
        <x:f>"900 000 000 000 262"</x:f>
        <x:v>900 000 000 000 262</x:v>
      </x:c>
      <x:c r="D917" s="21" t="str">
        <x:v>SYN-0262-INV-03</x:v>
      </x:c>
      <x:c r="E917" s="39" t="n">
        <x:v>46239</x:v>
      </x:c>
      <x:c r="F917" s="42" t="n">
        <x:v>21380.39</x:v>
      </x:c>
      <x:c r="G917" s="42" t="n">
        <x:v>1069.02</x:v>
      </x:c>
      <x:c r="H917" s="42" t="n">
        <x:v>67820.21</x:v>
      </x:c>
      <x:c r="I917" s="39" t="n">
        <x:v>45701</x:v>
      </x:c>
    </x:row>
    <x:row r="918">
      <x:c r="A918" s="21" t="str">
        <x:v>SYN-0262</x:v>
      </x:c>
      <x:c r="B918" s="21" t="str">
        <x:v>Synthetic Supplier 0262 LLC</x:v>
      </x:c>
      <x:c r="C918" s="38" t="str">
        <x:f>"900 000 000 000 262"</x:f>
        <x:v>900 000 000 000 262</x:v>
      </x:c>
      <x:c r="D918" s="21" t="str">
        <x:v>SYN-0262-INV-04</x:v>
      </x:c>
      <x:c r="E918" s="39" t="n">
        <x:v>46286</x:v>
      </x:c>
      <x:c r="F918" s="42" t="n">
        <x:v>21040.74</x:v>
      </x:c>
      <x:c r="G918" s="42" t="n">
        <x:v>1052.04</x:v>
      </x:c>
      <x:c r="H918" s="42" t="n">
        <x:v>67820.21</x:v>
      </x:c>
      <x:c r="I918" s="39" t="n">
        <x:v>45701</x:v>
      </x:c>
    </x:row>
    <x:row r="919">
      <x:c r="A919" s="21" t="str">
        <x:v>SYN-0263</x:v>
      </x:c>
      <x:c r="B919" s="21" t="str">
        <x:v>Synthetic Supplier 0263 LLC</x:v>
      </x:c>
      <x:c r="C919" s="38" t="str">
        <x:f>"900 000 000 000 263"</x:f>
        <x:v>900 000 000 000 263</x:v>
      </x:c>
      <x:c r="D919" s="21" t="str">
        <x:v>SYN-0263-INV-01</x:v>
      </x:c>
      <x:c r="E919" s="39" t="n">
        <x:v>46158</x:v>
      </x:c>
      <x:c r="F919" s="42" t="n">
        <x:v>10469.22</x:v>
      </x:c>
      <x:c r="G919" s="42" t="n">
        <x:v>523.46</x:v>
      </x:c>
      <x:c r="H919" s="42" t="n">
        <x:v>43643.99</x:v>
      </x:c>
      <x:c r="I919" s="39" t="n">
        <x:v>46095</x:v>
      </x:c>
    </x:row>
    <x:row r="920">
      <x:c r="A920" s="21" t="str">
        <x:v>SYN-0263</x:v>
      </x:c>
      <x:c r="B920" s="21" t="str">
        <x:v>Synthetic Supplier 0263 LLC</x:v>
      </x:c>
      <x:c r="C920" s="38" t="str">
        <x:f>"900 000 000 000 263"</x:f>
        <x:v>900 000 000 000 263</x:v>
      </x:c>
      <x:c r="D920" s="21" t="str">
        <x:v>SYN-0263-INV-02</x:v>
      </x:c>
      <x:c r="E920" s="39" t="n">
        <x:v>46205</x:v>
      </x:c>
      <x:c r="F920" s="42" t="n">
        <x:v>7513.38</x:v>
      </x:c>
      <x:c r="G920" s="42" t="n">
        <x:v>375.67</x:v>
      </x:c>
      <x:c r="H920" s="42" t="n">
        <x:v>43643.99</x:v>
      </x:c>
      <x:c r="I920" s="39" t="n">
        <x:v>46095</x:v>
      </x:c>
    </x:row>
    <x:row r="921">
      <x:c r="A921" s="21" t="str">
        <x:v>SYN-0263</x:v>
      </x:c>
      <x:c r="B921" s="21" t="str">
        <x:v>Synthetic Supplier 0263 LLC</x:v>
      </x:c>
      <x:c r="C921" s="38" t="str">
        <x:f>"900 000 000 000 263"</x:f>
        <x:v>900 000 000 000 263</x:v>
      </x:c>
      <x:c r="D921" s="21" t="str">
        <x:v>SYN-0263-INV-03</x:v>
      </x:c>
      <x:c r="E921" s="39" t="n">
        <x:v>46252</x:v>
      </x:c>
      <x:c r="F921" s="42" t="n">
        <x:v>10549.95</x:v>
      </x:c>
      <x:c r="G921" s="42" t="n">
        <x:v>527.5</x:v>
      </x:c>
      <x:c r="H921" s="42" t="n">
        <x:v>43643.99</x:v>
      </x:c>
      <x:c r="I921" s="39" t="n">
        <x:v>46095</x:v>
      </x:c>
    </x:row>
    <x:row r="922">
      <x:c r="A922" s="21" t="str">
        <x:v>SYN-0263</x:v>
      </x:c>
      <x:c r="B922" s="21" t="str">
        <x:v>Synthetic Supplier 0263 LLC</x:v>
      </x:c>
      <x:c r="C922" s="38" t="str">
        <x:f>"900 000 000 000 263"</x:f>
        <x:v>900 000 000 000 263</x:v>
      </x:c>
      <x:c r="D922" s="21" t="str">
        <x:v>SYN-0263-INV-04</x:v>
      </x:c>
      <x:c r="E922" s="39" t="n">
        <x:v>45939</x:v>
      </x:c>
      <x:c r="F922" s="42" t="n">
        <x:v>12116.2</x:v>
      </x:c>
      <x:c r="G922" s="42" t="n">
        <x:v>605.81</x:v>
      </x:c>
      <x:c r="H922" s="42" t="n">
        <x:v>43643.99</x:v>
      </x:c>
      <x:c r="I922" s="39" t="n">
        <x:v>46095</x:v>
      </x:c>
    </x:row>
    <x:row r="923">
      <x:c r="A923" s="21" t="str">
        <x:v>SYN-0263</x:v>
      </x:c>
      <x:c r="B923" s="21" t="str">
        <x:v>Synthetic Supplier 0263 LLC</x:v>
      </x:c>
      <x:c r="C923" s="38" t="str">
        <x:f>"900 000 000 000 263"</x:f>
        <x:v>900 000 000 000 263</x:v>
      </x:c>
      <x:c r="D923" s="21" t="str">
        <x:v>SYN-0263-INV-05</x:v>
      </x:c>
      <x:c r="E923" s="39" t="n">
        <x:v>45986</x:v>
      </x:c>
      <x:c r="F923" s="42" t="n">
        <x:v>7844.58</x:v>
      </x:c>
      <x:c r="G923" s="42" t="n">
        <x:v>392.23</x:v>
      </x:c>
      <x:c r="H923" s="42" t="n">
        <x:v>43643.99</x:v>
      </x:c>
      <x:c r="I923" s="39" t="n">
        <x:v>46095</x:v>
      </x:c>
    </x:row>
    <x:row r="924">
      <x:c r="A924" s="21" t="str">
        <x:v>SYN-0264</x:v>
      </x:c>
      <x:c r="B924" s="21" t="str">
        <x:v>Synthetic Supplier 0264 LLC</x:v>
      </x:c>
      <x:c r="C924" s="38" t="str">
        <x:f>"900 000 000 000 264"</x:f>
        <x:v>900 000 000 000 264</x:v>
      </x:c>
      <x:c r="D924" s="21" t="str">
        <x:v>SYN-0264-INV-01</x:v>
      </x:c>
      <x:c r="E924" s="39" t="n">
        <x:v>46171</x:v>
      </x:c>
      <x:c r="F924" s="42" t="n">
        <x:v>41480.99</x:v>
      </x:c>
      <x:c r="G924" s="42" t="n">
        <x:v>2074.05</x:v>
      </x:c>
      <x:c r="H924" s="42" t="n">
        <x:v>75841.68</x:v>
      </x:c>
      <x:c r="I924" s="39" t="n">
        <x:v>45762</x:v>
      </x:c>
    </x:row>
    <x:row r="925">
      <x:c r="A925" s="21" t="str">
        <x:v>SYN-0264</x:v>
      </x:c>
      <x:c r="B925" s="21" t="str">
        <x:v>Synthetic Supplier 0264 LLC</x:v>
      </x:c>
      <x:c r="C925" s="38" t="str">
        <x:f>"900 000 000 000 264"</x:f>
        <x:v>900 000 000 000 264</x:v>
      </x:c>
      <x:c r="D925" s="21" t="str">
        <x:v>SYN-0264-INV-02</x:v>
      </x:c>
      <x:c r="E925" s="39" t="n">
        <x:v>46218</x:v>
      </x:c>
      <x:c r="F925" s="42" t="n">
        <x:v>42787.54</x:v>
      </x:c>
      <x:c r="G925" s="42" t="n">
        <x:v>2139.38</x:v>
      </x:c>
      <x:c r="H925" s="42" t="n">
        <x:v>75841.68</x:v>
      </x:c>
      <x:c r="I925" s="39" t="n">
        <x:v>45762</x:v>
      </x:c>
    </x:row>
    <x:row r="926">
      <x:c r="A926" s="21" t="str">
        <x:v>SYN-0265</x:v>
      </x:c>
      <x:c r="B926" s="21" t="str">
        <x:v>Synthetic Supplier 0265 LLC</x:v>
      </x:c>
      <x:c r="C926" s="38" t="str">
        <x:f>"900 000 000 000 265"</x:f>
        <x:v>900 000 000 000 265</x:v>
      </x:c>
      <x:c r="D926" s="21" t="str">
        <x:v>SYN-0265-INV-01</x:v>
      </x:c>
      <x:c r="E926" s="39" t="n">
        <x:v>46184</x:v>
      </x:c>
      <x:c r="F926" s="42" t="n">
        <x:v>25477.05</x:v>
      </x:c>
      <x:c r="G926" s="42" t="n">
        <x:v>1273.85</x:v>
      </x:c>
      <x:c r="H926" s="42" t="n">
        <x:v>75211.32</x:v>
      </x:c>
      <x:c r="I926" s="39"/>
    </x:row>
    <x:row r="927">
      <x:c r="A927" s="21" t="str">
        <x:v>SYN-0265</x:v>
      </x:c>
      <x:c r="B927" s="21" t="str">
        <x:v>Synthetic Supplier 0265 LLC</x:v>
      </x:c>
      <x:c r="C927" s="38" t="str">
        <x:f>"900 000 000 000 265"</x:f>
        <x:v>900 000 000 000 265</x:v>
      </x:c>
      <x:c r="D927" s="21" t="str">
        <x:v>SYN-0265-INV-02</x:v>
      </x:c>
      <x:c r="E927" s="39" t="n">
        <x:v>46231</x:v>
      </x:c>
      <x:c r="F927" s="42" t="n">
        <x:v>27854.77</x:v>
      </x:c>
      <x:c r="G927" s="42" t="n">
        <x:v>1392.74</x:v>
      </x:c>
      <x:c r="H927" s="42" t="n">
        <x:v>75211.32</x:v>
      </x:c>
      <x:c r="I927" s="39"/>
    </x:row>
    <x:row r="928">
      <x:c r="A928" s="21" t="str">
        <x:v>SYN-0265</x:v>
      </x:c>
      <x:c r="B928" s="21" t="str">
        <x:v>Synthetic Supplier 0265 LLC</x:v>
      </x:c>
      <x:c r="C928" s="38" t="str">
        <x:f>"900 000 000 000 265"</x:f>
        <x:v>900 000 000 000 265</x:v>
      </x:c>
      <x:c r="D928" s="21" t="str">
        <x:v>SYN-0265-INV-03</x:v>
      </x:c>
      <x:c r="E928" s="39" t="n">
        <x:v>46278</x:v>
      </x:c>
      <x:c r="F928" s="42" t="n">
        <x:v>30236.31</x:v>
      </x:c>
      <x:c r="G928" s="42" t="n">
        <x:v>1511.82</x:v>
      </x:c>
      <x:c r="H928" s="42" t="n">
        <x:v>75211.32</x:v>
      </x:c>
      <x:c r="I928" s="39"/>
    </x:row>
    <x:row r="929">
      <x:c r="A929" s="21" t="str">
        <x:v>SYN-0266</x:v>
      </x:c>
      <x:c r="B929" s="21" t="str">
        <x:v>Synthetic Supplier 0266 LLC</x:v>
      </x:c>
      <x:c r="C929" s="38" t="str">
        <x:f>"900 000 000 000 266"</x:f>
        <x:v>900 000 000 000 266</x:v>
      </x:c>
      <x:c r="D929" s="21" t="str">
        <x:v>SYN-0266-INV-01</x:v>
      </x:c>
      <x:c r="E929" s="39" t="n">
        <x:v>46197</x:v>
      </x:c>
      <x:c r="F929" s="42" t="n">
        <x:v>19043.63</x:v>
      </x:c>
      <x:c r="G929" s="42" t="n">
        <x:v>952.18</x:v>
      </x:c>
      <x:c r="H929" s="42" t="n">
        <x:v>75660.33</x:v>
      </x:c>
      <x:c r="I929" s="39" t="n">
        <x:v>45825</x:v>
      </x:c>
    </x:row>
    <x:row r="930">
      <x:c r="A930" s="21" t="str">
        <x:v>SYN-0266</x:v>
      </x:c>
      <x:c r="B930" s="21" t="str">
        <x:v>Synthetic Supplier 0266 LLC</x:v>
      </x:c>
      <x:c r="C930" s="38" t="str">
        <x:f>"900 000 000 000 266"</x:f>
        <x:v>900 000 000 000 266</x:v>
      </x:c>
      <x:c r="D930" s="21" t="str">
        <x:v>SYN-0266-INV-02</x:v>
      </x:c>
      <x:c r="E930" s="39" t="n">
        <x:v>46244</x:v>
      </x:c>
      <x:c r="F930" s="42" t="n">
        <x:v>19064.76</x:v>
      </x:c>
      <x:c r="G930" s="42" t="n">
        <x:v>953.24</x:v>
      </x:c>
      <x:c r="H930" s="42" t="n">
        <x:v>75660.33</x:v>
      </x:c>
      <x:c r="I930" s="39" t="n">
        <x:v>45825</x:v>
      </x:c>
    </x:row>
    <x:row r="931">
      <x:c r="A931" s="21" t="str">
        <x:v>SYN-0266</x:v>
      </x:c>
      <x:c r="B931" s="21" t="str">
        <x:v>Synthetic Supplier 0266 LLC</x:v>
      </x:c>
      <x:c r="C931" s="38" t="str">
        <x:f>"900 000 000 000 266"</x:f>
        <x:v>900 000 000 000 266</x:v>
      </x:c>
      <x:c r="D931" s="21" t="str">
        <x:v>SYN-0266-INV-03</x:v>
      </x:c>
      <x:c r="E931" s="39" t="n">
        <x:v>46291</x:v>
      </x:c>
      <x:c r="F931" s="42" t="n">
        <x:v>15235.35</x:v>
      </x:c>
      <x:c r="G931" s="42" t="n">
        <x:v>761.77</x:v>
      </x:c>
      <x:c r="H931" s="42" t="n">
        <x:v>75660.33</x:v>
      </x:c>
      <x:c r="I931" s="39" t="n">
        <x:v>45825</x:v>
      </x:c>
    </x:row>
    <x:row r="932">
      <x:c r="A932" s="21" t="str">
        <x:v>SYN-0266</x:v>
      </x:c>
      <x:c r="B932" s="21" t="str">
        <x:v>Synthetic Supplier 0266 LLC</x:v>
      </x:c>
      <x:c r="C932" s="38" t="str">
        <x:f>"900 000 000 000 266"</x:f>
        <x:v>900 000 000 000 266</x:v>
      </x:c>
      <x:c r="D932" s="21" t="str">
        <x:v>SYN-0266-INV-04</x:v>
      </x:c>
      <x:c r="E932" s="39" t="n">
        <x:v>45978</x:v>
      </x:c>
      <x:c r="F932" s="42" t="n">
        <x:v>12447.86</x:v>
      </x:c>
      <x:c r="G932" s="42" t="n">
        <x:v>622.39</x:v>
      </x:c>
      <x:c r="H932" s="42" t="n">
        <x:v>75660.33</x:v>
      </x:c>
      <x:c r="I932" s="39" t="n">
        <x:v>45825</x:v>
      </x:c>
    </x:row>
    <x:row r="933">
      <x:c r="A933" s="21" t="str">
        <x:v>SYN-0267</x:v>
      </x:c>
      <x:c r="B933" s="21" t="str">
        <x:v>Synthetic Supplier 0267 LLC</x:v>
      </x:c>
      <x:c r="C933" s="38" t="str">
        <x:f>"900 000 000 000 267"</x:f>
        <x:v>900 000 000 000 267</x:v>
      </x:c>
      <x:c r="D933" s="21" t="str">
        <x:v>SYN-0267-INV-01</x:v>
      </x:c>
      <x:c r="E933" s="39" t="n">
        <x:v>46210</x:v>
      </x:c>
      <x:c r="F933" s="42" t="n">
        <x:v>8708.78</x:v>
      </x:c>
      <x:c r="G933" s="42" t="n">
        <x:v>435.44</x:v>
      </x:c>
      <x:c r="H933" s="42" t="n">
        <x:v>41492.37</x:v>
      </x:c>
      <x:c r="I933" s="39" t="n">
        <x:v>46221</x:v>
      </x:c>
    </x:row>
    <x:row r="934">
      <x:c r="A934" s="21" t="str">
        <x:v>SYN-0267</x:v>
      </x:c>
      <x:c r="B934" s="21" t="str">
        <x:v>Synthetic Supplier 0267 LLC</x:v>
      </x:c>
      <x:c r="C934" s="38" t="str">
        <x:f>"900 000 000 000 267"</x:f>
        <x:v>900 000 000 000 267</x:v>
      </x:c>
      <x:c r="D934" s="21" t="str">
        <x:v>SYN-0267-INV-02</x:v>
      </x:c>
      <x:c r="E934" s="39" t="n">
        <x:v>46257</x:v>
      </x:c>
      <x:c r="F934" s="42" t="n">
        <x:v>11190.59</x:v>
      </x:c>
      <x:c r="G934" s="42" t="n">
        <x:v>559.53</x:v>
      </x:c>
      <x:c r="H934" s="42" t="n">
        <x:v>41492.37</x:v>
      </x:c>
      <x:c r="I934" s="39" t="n">
        <x:v>46221</x:v>
      </x:c>
    </x:row>
    <x:row r="935">
      <x:c r="A935" s="21" t="str">
        <x:v>SYN-0267</x:v>
      </x:c>
      <x:c r="B935" s="21" t="str">
        <x:v>Synthetic Supplier 0267 LLC</x:v>
      </x:c>
      <x:c r="C935" s="38" t="str">
        <x:f>"900 000 000 000 267"</x:f>
        <x:v>900 000 000 000 267</x:v>
      </x:c>
      <x:c r="D935" s="21" t="str">
        <x:v>SYN-0267-INV-03</x:v>
      </x:c>
      <x:c r="E935" s="39" t="n">
        <x:v>45944</x:v>
      </x:c>
      <x:c r="F935" s="42" t="n">
        <x:v>11889.37</x:v>
      </x:c>
      <x:c r="G935" s="42" t="n">
        <x:v>594.47</x:v>
      </x:c>
      <x:c r="H935" s="42" t="n">
        <x:v>41492.37</x:v>
      </x:c>
      <x:c r="I935" s="39" t="n">
        <x:v>46221</x:v>
      </x:c>
    </x:row>
    <x:row r="936">
      <x:c r="A936" s="21" t="str">
        <x:v>SYN-0267</x:v>
      </x:c>
      <x:c r="B936" s="21" t="str">
        <x:v>Synthetic Supplier 0267 LLC</x:v>
      </x:c>
      <x:c r="C936" s="38" t="str">
        <x:f>"900 000 000 000 267"</x:f>
        <x:v>900 000 000 000 267</x:v>
      </x:c>
      <x:c r="D936" s="21" t="str">
        <x:v>SYN-0267-INV-04</x:v>
      </x:c>
      <x:c r="E936" s="39" t="n">
        <x:v>45991</x:v>
      </x:c>
      <x:c r="F936" s="42" t="n">
        <x:v>6484.1</x:v>
      </x:c>
      <x:c r="G936" s="42" t="n">
        <x:v>324.2</x:v>
      </x:c>
      <x:c r="H936" s="42" t="n">
        <x:v>41492.37</x:v>
      </x:c>
      <x:c r="I936" s="39" t="n">
        <x:v>46221</x:v>
      </x:c>
    </x:row>
    <x:row r="937">
      <x:c r="A937" s="21" t="str">
        <x:v>SYN-0267</x:v>
      </x:c>
      <x:c r="B937" s="21" t="str">
        <x:v>Synthetic Supplier 0267 LLC</x:v>
      </x:c>
      <x:c r="C937" s="38" t="str">
        <x:f>"900 000 000 000 267"</x:f>
        <x:v>900 000 000 000 267</x:v>
      </x:c>
      <x:c r="D937" s="21" t="str">
        <x:v>SYN-0267-INV-05</x:v>
      </x:c>
      <x:c r="E937" s="39" t="n">
        <x:v>46038</x:v>
      </x:c>
      <x:c r="F937" s="42" t="n">
        <x:v>7829.79</x:v>
      </x:c>
      <x:c r="G937" s="42" t="n">
        <x:v>391.49</x:v>
      </x:c>
      <x:c r="H937" s="42" t="n">
        <x:v>41492.37</x:v>
      </x:c>
      <x:c r="I937" s="39" t="n">
        <x:v>46221</x:v>
      </x:c>
    </x:row>
    <x:row r="938">
      <x:c r="A938" s="21" t="str">
        <x:v>SYN-0268</x:v>
      </x:c>
      <x:c r="B938" s="21" t="str">
        <x:v>Synthetic Supplier 0268 LLC</x:v>
      </x:c>
      <x:c r="C938" s="38" t="str">
        <x:f>"900 000 000 000 268"</x:f>
        <x:v>900 000 000 000 268</x:v>
      </x:c>
      <x:c r="D938" s="21" t="str">
        <x:v>SYN-0268-INV-01</x:v>
      </x:c>
      <x:c r="E938" s="39" t="n">
        <x:v>46223</x:v>
      </x:c>
      <x:c r="F938" s="42" t="n">
        <x:v>36843.99</x:v>
      </x:c>
      <x:c r="G938" s="42" t="n">
        <x:v>1842.2</x:v>
      </x:c>
      <x:c r="H938" s="42" t="n">
        <x:v>69186.97</x:v>
      </x:c>
      <x:c r="I938" s="39" t="n">
        <x:v>45888</x:v>
      </x:c>
    </x:row>
    <x:row r="939">
      <x:c r="A939" s="21" t="str">
        <x:v>SYN-0268</x:v>
      </x:c>
      <x:c r="B939" s="21" t="str">
        <x:v>Synthetic Supplier 0268 LLC</x:v>
      </x:c>
      <x:c r="C939" s="38" t="str">
        <x:f>"900 000 000 000 268"</x:f>
        <x:v>900 000 000 000 268</x:v>
      </x:c>
      <x:c r="D939" s="21" t="str">
        <x:v>SYN-0268-INV-02</x:v>
      </x:c>
      <x:c r="E939" s="39" t="n">
        <x:v>46270</x:v>
      </x:c>
      <x:c r="F939" s="42" t="n">
        <x:v>40030.43</x:v>
      </x:c>
      <x:c r="G939" s="42" t="n">
        <x:v>2001.52</x:v>
      </x:c>
      <x:c r="H939" s="42" t="n">
        <x:v>69186.97</x:v>
      </x:c>
      <x:c r="I939" s="39" t="n">
        <x:v>45888</x:v>
      </x:c>
    </x:row>
    <x:row r="940">
      <x:c r="A940" s="21" t="str">
        <x:v>SYN-0269</x:v>
      </x:c>
      <x:c r="B940" s="21" t="str">
        <x:v>Synthetic Supplier 0269 LLC</x:v>
      </x:c>
      <x:c r="C940" s="38" t="str">
        <x:f>"900 000 000 000 269"</x:f>
        <x:v>900 000 000 000 269</x:v>
      </x:c>
      <x:c r="D940" s="21" t="str">
        <x:v>SYN-0269-INV-01</x:v>
      </x:c>
      <x:c r="E940" s="39" t="n">
        <x:v>46236</x:v>
      </x:c>
      <x:c r="F940" s="42" t="n">
        <x:v>15936.01</x:v>
      </x:c>
      <x:c r="G940" s="42" t="n">
        <x:v>796.8</x:v>
      </x:c>
      <x:c r="H940" s="42" t="n">
        <x:v>35725.94</x:v>
      </x:c>
      <x:c r="I940" s="39" t="n">
        <x:v>46285</x:v>
      </x:c>
    </x:row>
    <x:row r="941">
      <x:c r="A941" s="21" t="str">
        <x:v>SYN-0269</x:v>
      </x:c>
      <x:c r="B941" s="21" t="str">
        <x:v>Synthetic Supplier 0269 LLC</x:v>
      </x:c>
      <x:c r="C941" s="38" t="str">
        <x:f>"900 000 000 000 269"</x:f>
        <x:v>900 000 000 000 269</x:v>
      </x:c>
      <x:c r="D941" s="21" t="str">
        <x:v>SYN-0269-INV-02</x:v>
      </x:c>
      <x:c r="E941" s="39" t="n">
        <x:v>46283</x:v>
      </x:c>
      <x:c r="F941" s="42" t="n">
        <x:v>11264.57</x:v>
      </x:c>
      <x:c r="G941" s="42" t="n">
        <x:v>563.23</x:v>
      </x:c>
      <x:c r="H941" s="42" t="n">
        <x:v>35725.94</x:v>
      </x:c>
      <x:c r="I941" s="39" t="n">
        <x:v>46285</x:v>
      </x:c>
    </x:row>
    <x:row r="942">
      <x:c r="A942" s="21" t="str">
        <x:v>SYN-0269</x:v>
      </x:c>
      <x:c r="B942" s="21" t="str">
        <x:v>Synthetic Supplier 0269 LLC</x:v>
      </x:c>
      <x:c r="C942" s="38" t="str">
        <x:f>"900 000 000 000 269"</x:f>
        <x:v>900 000 000 000 269</x:v>
      </x:c>
      <x:c r="D942" s="21" t="str">
        <x:v>SYN-0269-INV-03</x:v>
      </x:c>
      <x:c r="E942" s="39" t="n">
        <x:v>45970</x:v>
      </x:c>
      <x:c r="F942" s="42" t="n">
        <x:v>12494.9</x:v>
      </x:c>
      <x:c r="G942" s="42" t="n">
        <x:v>624.74</x:v>
      </x:c>
      <x:c r="H942" s="42" t="n">
        <x:v>35725.94</x:v>
      </x:c>
      <x:c r="I942" s="39" t="n">
        <x:v>46285</x:v>
      </x:c>
    </x:row>
    <x:row r="943">
      <x:c r="A943" s="21" t="str">
        <x:v>SYN-0270</x:v>
      </x:c>
      <x:c r="B943" s="21" t="str">
        <x:v>Synthetic Supplier 0270 LLC</x:v>
      </x:c>
      <x:c r="C943" s="38" t="str">
        <x:f>"900 000 000 000 270"</x:f>
        <x:v>900 000 000 000 270</x:v>
      </x:c>
      <x:c r="D943" s="21" t="str">
        <x:v>SYN-0270-INV-01</x:v>
      </x:c>
      <x:c r="E943" s="39" t="n">
        <x:v>46249</x:v>
      </x:c>
      <x:c r="F943" s="42" t="n">
        <x:v>17173.33</x:v>
      </x:c>
      <x:c r="G943" s="42" t="n">
        <x:v>858.67</x:v>
      </x:c>
      <x:c r="H943" s="42" t="n">
        <x:v>56898.08</x:v>
      </x:c>
      <x:c r="I943" s="39"/>
    </x:row>
    <x:row r="944">
      <x:c r="A944" s="21" t="str">
        <x:v>SYN-0270</x:v>
      </x:c>
      <x:c r="B944" s="21" t="str">
        <x:v>Synthetic Supplier 0270 LLC</x:v>
      </x:c>
      <x:c r="C944" s="38" t="str">
        <x:f>"900 000 000 000 270"</x:f>
        <x:v>900 000 000 000 270</x:v>
      </x:c>
      <x:c r="D944" s="21" t="str">
        <x:v>SYN-0270-INV-02</x:v>
      </x:c>
      <x:c r="E944" s="39" t="n">
        <x:v>45936</x:v>
      </x:c>
      <x:c r="F944" s="42" t="n">
        <x:v>17713.7</x:v>
      </x:c>
      <x:c r="G944" s="42" t="n">
        <x:v>885.69</x:v>
      </x:c>
      <x:c r="H944" s="42" t="n">
        <x:v>56898.08</x:v>
      </x:c>
      <x:c r="I944" s="39"/>
    </x:row>
    <x:row r="945">
      <x:c r="A945" s="21" t="str">
        <x:v>SYN-0270</x:v>
      </x:c>
      <x:c r="B945" s="21" t="str">
        <x:v>Synthetic Supplier 0270 LLC</x:v>
      </x:c>
      <x:c r="C945" s="38" t="str">
        <x:f>"900 000 000 000 270"</x:f>
        <x:v>900 000 000 000 270</x:v>
      </x:c>
      <x:c r="D945" s="21" t="str">
        <x:v>SYN-0270-INV-03</x:v>
      </x:c>
      <x:c r="E945" s="39" t="n">
        <x:v>45983</x:v>
      </x:c>
      <x:c r="F945" s="42" t="n">
        <x:v>9732.5</x:v>
      </x:c>
      <x:c r="G945" s="42" t="n">
        <x:v>486.62</x:v>
      </x:c>
      <x:c r="H945" s="42" t="n">
        <x:v>56898.08</x:v>
      </x:c>
      <x:c r="I945" s="39"/>
    </x:row>
    <x:row r="946">
      <x:c r="A946" s="21" t="str">
        <x:v>SYN-0270</x:v>
      </x:c>
      <x:c r="B946" s="21" t="str">
        <x:v>Synthetic Supplier 0270 LLC</x:v>
      </x:c>
      <x:c r="C946" s="38" t="str">
        <x:f>"900 000 000 000 270"</x:f>
        <x:v>900 000 000 000 270</x:v>
      </x:c>
      <x:c r="D946" s="21" t="str">
        <x:v>SYN-0270-INV-04</x:v>
      </x:c>
      <x:c r="E946" s="39" t="n">
        <x:v>46030</x:v>
      </x:c>
      <x:c r="F946" s="42" t="n">
        <x:v>18600.56</x:v>
      </x:c>
      <x:c r="G946" s="42" t="n">
        <x:v>930.03</x:v>
      </x:c>
      <x:c r="H946" s="42" t="n">
        <x:v>56898.08</x:v>
      </x:c>
      <x:c r="I946" s="39"/>
    </x:row>
    <x:row r="947">
      <x:c r="A947" s="21" t="str">
        <x:v>SYN-0271</x:v>
      </x:c>
      <x:c r="B947" s="21" t="str">
        <x:v>Synthetic Supplier 0271 LLC</x:v>
      </x:c>
      <x:c r="C947" s="38" t="str">
        <x:f>"900 000 000 000 271"</x:f>
        <x:v>900 000 000 000 271</x:v>
      </x:c>
      <x:c r="D947" s="21" t="str">
        <x:v>SYN-0271-INV-01</x:v>
      </x:c>
      <x:c r="E947" s="39" t="n">
        <x:v>46262</x:v>
      </x:c>
      <x:c r="F947" s="42" t="n">
        <x:v>5746.38</x:v>
      </x:c>
      <x:c r="G947" s="42" t="n">
        <x:v>287.32</x:v>
      </x:c>
      <x:c r="H947" s="42" t="n">
        <x:v>36252.73</x:v>
      </x:c>
      <x:c r="I947" s="39" t="n">
        <x:v>46075</x:v>
      </x:c>
    </x:row>
    <x:row r="948">
      <x:c r="A948" s="21" t="str">
        <x:v>SYN-0271</x:v>
      </x:c>
      <x:c r="B948" s="21" t="str">
        <x:v>Synthetic Supplier 0271 LLC</x:v>
      </x:c>
      <x:c r="C948" s="38" t="str">
        <x:f>"900 000 000 000 271"</x:f>
        <x:v>900 000 000 000 271</x:v>
      </x:c>
      <x:c r="D948" s="21" t="str">
        <x:v>SYN-0271-INV-02</x:v>
      </x:c>
      <x:c r="E948" s="39" t="n">
        <x:v>45949</x:v>
      </x:c>
      <x:c r="F948" s="42" t="n">
        <x:v>8623.6</x:v>
      </x:c>
      <x:c r="G948" s="42" t="n">
        <x:v>431.18</x:v>
      </x:c>
      <x:c r="H948" s="42" t="n">
        <x:v>36252.73</x:v>
      </x:c>
      <x:c r="I948" s="39" t="n">
        <x:v>46075</x:v>
      </x:c>
    </x:row>
    <x:row r="949">
      <x:c r="A949" s="21" t="str">
        <x:v>SYN-0271</x:v>
      </x:c>
      <x:c r="B949" s="21" t="str">
        <x:v>Synthetic Supplier 0271 LLC</x:v>
      </x:c>
      <x:c r="C949" s="38" t="str">
        <x:f>"900 000 000 000 271"</x:f>
        <x:v>900 000 000 000 271</x:v>
      </x:c>
      <x:c r="D949" s="21" t="str">
        <x:v>SYN-0271-INV-03</x:v>
      </x:c>
      <x:c r="E949" s="39" t="n">
        <x:v>45996</x:v>
      </x:c>
      <x:c r="F949" s="42" t="n">
        <x:v>9810.27</x:v>
      </x:c>
      <x:c r="G949" s="42" t="n">
        <x:v>490.51</x:v>
      </x:c>
      <x:c r="H949" s="42" t="n">
        <x:v>36252.73</x:v>
      </x:c>
      <x:c r="I949" s="39" t="n">
        <x:v>46075</x:v>
      </x:c>
    </x:row>
    <x:row r="950">
      <x:c r="A950" s="21" t="str">
        <x:v>SYN-0271</x:v>
      </x:c>
      <x:c r="B950" s="21" t="str">
        <x:v>Synthetic Supplier 0271 LLC</x:v>
      </x:c>
      <x:c r="C950" s="38" t="str">
        <x:f>"900 000 000 000 271"</x:f>
        <x:v>900 000 000 000 271</x:v>
      </x:c>
      <x:c r="D950" s="21" t="str">
        <x:v>SYN-0271-INV-04</x:v>
      </x:c>
      <x:c r="E950" s="39" t="n">
        <x:v>46043</x:v>
      </x:c>
      <x:c r="F950" s="42" t="n">
        <x:v>8585.48</x:v>
      </x:c>
      <x:c r="G950" s="42" t="n">
        <x:v>429.27</x:v>
      </x:c>
      <x:c r="H950" s="42" t="n">
        <x:v>36252.73</x:v>
      </x:c>
      <x:c r="I950" s="39" t="n">
        <x:v>46075</x:v>
      </x:c>
    </x:row>
    <x:row r="951">
      <x:c r="A951" s="21" t="str">
        <x:v>SYN-0271</x:v>
      </x:c>
      <x:c r="B951" s="21" t="str">
        <x:v>Synthetic Supplier 0271 LLC</x:v>
      </x:c>
      <x:c r="C951" s="38" t="str">
        <x:f>"900 000 000 000 271"</x:f>
        <x:v>900 000 000 000 271</x:v>
      </x:c>
      <x:c r="D951" s="21" t="str">
        <x:v>SYN-0271-INV-05</x:v>
      </x:c>
      <x:c r="E951" s="39" t="n">
        <x:v>46090</x:v>
      </x:c>
      <x:c r="F951" s="42" t="n">
        <x:v>7515.09</x:v>
      </x:c>
      <x:c r="G951" s="42" t="n">
        <x:v>375.75</x:v>
      </x:c>
      <x:c r="H951" s="42" t="n">
        <x:v>36252.73</x:v>
      </x:c>
      <x:c r="I951" s="39" t="n">
        <x:v>46075</x:v>
      </x:c>
    </x:row>
    <x:row r="952">
      <x:c r="A952" s="21" t="str">
        <x:v>SYN-0272</x:v>
      </x:c>
      <x:c r="B952" s="21" t="str">
        <x:v>Synthetic Supplier 0272 LLC</x:v>
      </x:c>
      <x:c r="C952" s="38" t="str">
        <x:f>"900 000 000 000 272"</x:f>
        <x:v>900 000 000 000 272</x:v>
      </x:c>
      <x:c r="D952" s="21" t="str">
        <x:v>SYN-0272-INV-01</x:v>
      </x:c>
      <x:c r="E952" s="39" t="n">
        <x:v>46275</x:v>
      </x:c>
      <x:c r="F952" s="42" t="n">
        <x:v>27734.74</x:v>
      </x:c>
      <x:c r="G952" s="42" t="n">
        <x:v>1386.74</x:v>
      </x:c>
      <x:c r="H952" s="42" t="n">
        <x:v>43788.85</x:v>
      </x:c>
      <x:c r="I952" s="39" t="n">
        <x:v>45739</x:v>
      </x:c>
    </x:row>
    <x:row r="953">
      <x:c r="A953" s="21" t="str">
        <x:v>SYN-0272</x:v>
      </x:c>
      <x:c r="B953" s="21" t="str">
        <x:v>Synthetic Supplier 0272 LLC</x:v>
      </x:c>
      <x:c r="C953" s="38" t="str">
        <x:f>"900 000 000 000 272"</x:f>
        <x:v>900 000 000 000 272</x:v>
      </x:c>
      <x:c r="D953" s="21" t="str">
        <x:v>SYN-0272-INV-02</x:v>
      </x:c>
      <x:c r="E953" s="39" t="n">
        <x:v>45962</x:v>
      </x:c>
      <x:c r="F953" s="42" t="n">
        <x:v>20919.53</x:v>
      </x:c>
      <x:c r="G953" s="42" t="n">
        <x:v>1045.98</x:v>
      </x:c>
      <x:c r="H953" s="42" t="n">
        <x:v>43788.85</x:v>
      </x:c>
      <x:c r="I953" s="39" t="n">
        <x:v>45739</x:v>
      </x:c>
    </x:row>
    <x:row r="954">
      <x:c r="A954" s="21" t="str">
        <x:v>SYN-0273</x:v>
      </x:c>
      <x:c r="B954" s="21" t="str">
        <x:v>Synthetic Supplier 0273 LLC</x:v>
      </x:c>
      <x:c r="C954" s="38" t="str">
        <x:f>"900 000 000 000 273"</x:f>
        <x:v>900 000 000 000 273</x:v>
      </x:c>
      <x:c r="D954" s="21" t="str">
        <x:v>SYN-0273-INV-01</x:v>
      </x:c>
      <x:c r="E954" s="39" t="n">
        <x:v>46288</x:v>
      </x:c>
      <x:c r="F954" s="42" t="n">
        <x:v>11776.47</x:v>
      </x:c>
      <x:c r="G954" s="42" t="n">
        <x:v>588.82</x:v>
      </x:c>
      <x:c r="H954" s="42" t="n">
        <x:v>49704.65</x:v>
      </x:c>
      <x:c r="I954" s="39" t="n">
        <x:v>46136</x:v>
      </x:c>
    </x:row>
    <x:row r="955">
      <x:c r="A955" s="21" t="str">
        <x:v>SYN-0273</x:v>
      </x:c>
      <x:c r="B955" s="21" t="str">
        <x:v>Synthetic Supplier 0273 LLC</x:v>
      </x:c>
      <x:c r="C955" s="38" t="str">
        <x:f>"900 000 000 000 273"</x:f>
        <x:v>900 000 000 000 273</x:v>
      </x:c>
      <x:c r="D955" s="21" t="str">
        <x:v>SYN-0273-INV-02</x:v>
      </x:c>
      <x:c r="E955" s="39" t="n">
        <x:v>45975</x:v>
      </x:c>
      <x:c r="F955" s="42" t="n">
        <x:v>15026.82</x:v>
      </x:c>
      <x:c r="G955" s="42" t="n">
        <x:v>751.34</x:v>
      </x:c>
      <x:c r="H955" s="42" t="n">
        <x:v>49704.65</x:v>
      </x:c>
      <x:c r="I955" s="39" t="n">
        <x:v>46136</x:v>
      </x:c>
    </x:row>
    <x:row r="956">
      <x:c r="A956" s="21" t="str">
        <x:v>SYN-0273</x:v>
      </x:c>
      <x:c r="B956" s="21" t="str">
        <x:v>Synthetic Supplier 0273 LLC</x:v>
      </x:c>
      <x:c r="C956" s="38" t="str">
        <x:f>"900 000 000 000 273"</x:f>
        <x:v>900 000 000 000 273</x:v>
      </x:c>
      <x:c r="D956" s="21" t="str">
        <x:v>SYN-0273-INV-03</x:v>
      </x:c>
      <x:c r="E956" s="39" t="n">
        <x:v>46022</x:v>
      </x:c>
      <x:c r="F956" s="42" t="n">
        <x:v>16418.15</x:v>
      </x:c>
      <x:c r="G956" s="42" t="n">
        <x:v>820.91</x:v>
      </x:c>
      <x:c r="H956" s="42" t="n">
        <x:v>49704.65</x:v>
      </x:c>
      <x:c r="I956" s="39" t="n">
        <x:v>46136</x:v>
      </x:c>
    </x:row>
    <x:row r="957">
      <x:c r="A957" s="21" t="str">
        <x:v>SYN-0274</x:v>
      </x:c>
      <x:c r="B957" s="21" t="str">
        <x:v>Synthetic Supplier 0274 LLC</x:v>
      </x:c>
      <x:c r="C957" s="38" t="str">
        <x:f>"900 000 000 000 274"</x:f>
        <x:v>900 000 000 000 274</x:v>
      </x:c>
      <x:c r="D957" s="21" t="str">
        <x:v>SYN-0274-INV-01</x:v>
      </x:c>
      <x:c r="E957" s="39" t="n">
        <x:v>45941</x:v>
      </x:c>
      <x:c r="F957" s="42" t="n">
        <x:v>11149.42</x:v>
      </x:c>
      <x:c r="G957" s="42" t="n">
        <x:v>557.47</x:v>
      </x:c>
      <x:c r="H957" s="42" t="n">
        <x:v>51166.32</x:v>
      </x:c>
      <x:c r="I957" s="39" t="n">
        <x:v>45802</x:v>
      </x:c>
    </x:row>
    <x:row r="958">
      <x:c r="A958" s="21" t="str">
        <x:v>SYN-0274</x:v>
      </x:c>
      <x:c r="B958" s="21" t="str">
        <x:v>Synthetic Supplier 0274 LLC</x:v>
      </x:c>
      <x:c r="C958" s="38" t="str">
        <x:f>"900 000 000 000 274"</x:f>
        <x:v>900 000 000 000 274</x:v>
      </x:c>
      <x:c r="D958" s="21" t="str">
        <x:v>SYN-0274-INV-02</x:v>
      </x:c>
      <x:c r="E958" s="39" t="n">
        <x:v>45988</x:v>
      </x:c>
      <x:c r="F958" s="42" t="n">
        <x:v>15504.49</x:v>
      </x:c>
      <x:c r="G958" s="42" t="n">
        <x:v>775.22</x:v>
      </x:c>
      <x:c r="H958" s="42" t="n">
        <x:v>51166.32</x:v>
      </x:c>
      <x:c r="I958" s="39" t="n">
        <x:v>45802</x:v>
      </x:c>
    </x:row>
    <x:row r="959">
      <x:c r="A959" s="21" t="str">
        <x:v>SYN-0274</x:v>
      </x:c>
      <x:c r="B959" s="21" t="str">
        <x:v>Synthetic Supplier 0274 LLC</x:v>
      </x:c>
      <x:c r="C959" s="38" t="str">
        <x:f>"900 000 000 000 274"</x:f>
        <x:v>900 000 000 000 274</x:v>
      </x:c>
      <x:c r="D959" s="21" t="str">
        <x:v>SYN-0274-INV-03</x:v>
      </x:c>
      <x:c r="E959" s="39" t="n">
        <x:v>46035</x:v>
      </x:c>
      <x:c r="F959" s="42" t="n">
        <x:v>19035.3</x:v>
      </x:c>
      <x:c r="G959" s="42" t="n">
        <x:v>951.76</x:v>
      </x:c>
      <x:c r="H959" s="42" t="n">
        <x:v>51166.32</x:v>
      </x:c>
      <x:c r="I959" s="39" t="n">
        <x:v>45802</x:v>
      </x:c>
    </x:row>
    <x:row r="960">
      <x:c r="A960" s="21" t="str">
        <x:v>SYN-0274</x:v>
      </x:c>
      <x:c r="B960" s="21" t="str">
        <x:v>Synthetic Supplier 0274 LLC</x:v>
      </x:c>
      <x:c r="C960" s="38" t="str">
        <x:f>"900 000 000 000 274"</x:f>
        <x:v>900 000 000 000 274</x:v>
      </x:c>
      <x:c r="D960" s="21" t="str">
        <x:v>SYN-0274-INV-04</x:v>
      </x:c>
      <x:c r="E960" s="39" t="n">
        <x:v>46082</x:v>
      </x:c>
      <x:c r="F960" s="42" t="n">
        <x:v>11162.26</x:v>
      </x:c>
      <x:c r="G960" s="42" t="n">
        <x:v>558.11</x:v>
      </x:c>
      <x:c r="H960" s="42" t="n">
        <x:v>51166.32</x:v>
      </x:c>
      <x:c r="I960" s="39" t="n">
        <x:v>45802</x:v>
      </x:c>
    </x:row>
    <x:row r="961">
      <x:c r="A961" s="21" t="str">
        <x:v>SYN-0275</x:v>
      </x:c>
      <x:c r="B961" s="21" t="str">
        <x:v>Synthetic Supplier 0275 LLC</x:v>
      </x:c>
      <x:c r="C961" s="38" t="str">
        <x:f>"900 000 000 000 275"</x:f>
        <x:v>900 000 000 000 275</x:v>
      </x:c>
      <x:c r="D961" s="21" t="str">
        <x:v>SYN-0275-INV-01</x:v>
      </x:c>
      <x:c r="E961" s="39" t="n">
        <x:v>45954</x:v>
      </x:c>
      <x:c r="F961" s="42" t="n">
        <x:v>13496.69</x:v>
      </x:c>
      <x:c r="G961" s="42" t="n">
        <x:v>674.83</x:v>
      </x:c>
      <x:c r="H961" s="42" t="n">
        <x:v>51312.68</x:v>
      </x:c>
      <x:c r="I961" s="39"/>
    </x:row>
    <x:row r="962">
      <x:c r="A962" s="21" t="str">
        <x:v>SYN-0275</x:v>
      </x:c>
      <x:c r="B962" s="21" t="str">
        <x:v>Synthetic Supplier 0275 LLC</x:v>
      </x:c>
      <x:c r="C962" s="38" t="str">
        <x:f>"900 000 000 000 275"</x:f>
        <x:v>900 000 000 000 275</x:v>
      </x:c>
      <x:c r="D962" s="21" t="str">
        <x:v>SYN-0275-INV-02</x:v>
      </x:c>
      <x:c r="E962" s="39" t="n">
        <x:v>46001</x:v>
      </x:c>
      <x:c r="F962" s="42" t="n">
        <x:v>8764.08</x:v>
      </x:c>
      <x:c r="G962" s="42" t="n">
        <x:v>438.2</x:v>
      </x:c>
      <x:c r="H962" s="42" t="n">
        <x:v>51312.68</x:v>
      </x:c>
      <x:c r="I962" s="39"/>
    </x:row>
    <x:row r="963">
      <x:c r="A963" s="21" t="str">
        <x:v>SYN-0275</x:v>
      </x:c>
      <x:c r="B963" s="21" t="str">
        <x:v>Synthetic Supplier 0275 LLC</x:v>
      </x:c>
      <x:c r="C963" s="38" t="str">
        <x:f>"900 000 000 000 275"</x:f>
        <x:v>900 000 000 000 275</x:v>
      </x:c>
      <x:c r="D963" s="21" t="str">
        <x:v>SYN-0275-INV-03</x:v>
      </x:c>
      <x:c r="E963" s="39" t="n">
        <x:v>46048</x:v>
      </x:c>
      <x:c r="F963" s="42" t="n">
        <x:v>10951.88</x:v>
      </x:c>
      <x:c r="G963" s="42" t="n">
        <x:v>547.59</x:v>
      </x:c>
      <x:c r="H963" s="42" t="n">
        <x:v>51312.68</x:v>
      </x:c>
      <x:c r="I963" s="39"/>
    </x:row>
    <x:row r="964">
      <x:c r="A964" s="21" t="str">
        <x:v>SYN-0275</x:v>
      </x:c>
      <x:c r="B964" s="21" t="str">
        <x:v>Synthetic Supplier 0275 LLC</x:v>
      </x:c>
      <x:c r="C964" s="38" t="str">
        <x:f>"900 000 000 000 275"</x:f>
        <x:v>900 000 000 000 275</x:v>
      </x:c>
      <x:c r="D964" s="21" t="str">
        <x:v>SYN-0275-INV-04</x:v>
      </x:c>
      <x:c r="E964" s="39" t="n">
        <x:v>46095</x:v>
      </x:c>
      <x:c r="F964" s="42" t="n">
        <x:v>7555.12</x:v>
      </x:c>
      <x:c r="G964" s="42" t="n">
        <x:v>377.76</x:v>
      </x:c>
      <x:c r="H964" s="42" t="n">
        <x:v>51312.68</x:v>
      </x:c>
      <x:c r="I964" s="39"/>
    </x:row>
    <x:row r="965">
      <x:c r="A965" s="21" t="str">
        <x:v>SYN-0275</x:v>
      </x:c>
      <x:c r="B965" s="21" t="str">
        <x:v>Synthetic Supplier 0275 LLC</x:v>
      </x:c>
      <x:c r="C965" s="38" t="str">
        <x:f>"900 000 000 000 275"</x:f>
        <x:v>900 000 000 000 275</x:v>
      </x:c>
      <x:c r="D965" s="21" t="str">
        <x:v>SYN-0275-INV-05</x:v>
      </x:c>
      <x:c r="E965" s="39" t="n">
        <x:v>46142</x:v>
      </x:c>
      <x:c r="F965" s="42" t="n">
        <x:v>16246.33</x:v>
      </x:c>
      <x:c r="G965" s="42" t="n">
        <x:v>812.32</x:v>
      </x:c>
      <x:c r="H965" s="42" t="n">
        <x:v>51312.68</x:v>
      </x:c>
      <x:c r="I965" s="39"/>
    </x:row>
    <x:row r="966">
      <x:c r="A966" s="21" t="str">
        <x:v>SYN-0276</x:v>
      </x:c>
      <x:c r="B966" s="21" t="str">
        <x:v>Synthetic Supplier 0276 LLC</x:v>
      </x:c>
      <x:c r="C966" s="38" t="str">
        <x:f>"900 000 000 000 276"</x:f>
        <x:v>900 000 000 000 276</x:v>
      </x:c>
      <x:c r="D966" s="21" t="str">
        <x:v>SYN-0276-INV-01</x:v>
      </x:c>
      <x:c r="E966" s="39" t="n">
        <x:v>45967</x:v>
      </x:c>
      <x:c r="F966" s="42" t="n">
        <x:v>31131.2</x:v>
      </x:c>
      <x:c r="G966" s="42" t="n">
        <x:v>1556.56</x:v>
      </x:c>
      <x:c r="H966" s="42" t="n">
        <x:v>43732.95</x:v>
      </x:c>
      <x:c r="I966" s="39" t="n">
        <x:v>45840</x:v>
      </x:c>
    </x:row>
    <x:row r="967">
      <x:c r="A967" s="21" t="str">
        <x:v>SYN-0276</x:v>
      </x:c>
      <x:c r="B967" s="21" t="str">
        <x:v>Synthetic Supplier 0276 LLC</x:v>
      </x:c>
      <x:c r="C967" s="38" t="str">
        <x:f>"900 000 000 000 276"</x:f>
        <x:v>900 000 000 000 276</x:v>
      </x:c>
      <x:c r="D967" s="21" t="str">
        <x:v>SYN-0276-INV-02</x:v>
      </x:c>
      <x:c r="E967" s="39" t="n">
        <x:v>46014</x:v>
      </x:c>
      <x:c r="F967" s="42" t="n">
        <x:v>17460.96</x:v>
      </x:c>
      <x:c r="G967" s="42" t="n">
        <x:v>873.05</x:v>
      </x:c>
      <x:c r="H967" s="42" t="n">
        <x:v>43732.95</x:v>
      </x:c>
      <x:c r="I967" s="39" t="n">
        <x:v>45840</x:v>
      </x:c>
    </x:row>
    <x:row r="968">
      <x:c r="A968" s="21" t="str">
        <x:v>SYN-0277</x:v>
      </x:c>
      <x:c r="B968" s="21" t="str">
        <x:v>Synthetic Supplier 0277 LLC</x:v>
      </x:c>
      <x:c r="C968" s="38" t="str">
        <x:f>"900 000 000 000 277"</x:f>
        <x:v>900 000 000 000 277</x:v>
      </x:c>
      <x:c r="D968" s="21" t="str">
        <x:v>SYN-0277-INV-01</x:v>
      </x:c>
      <x:c r="E968" s="39" t="n">
        <x:v>45980</x:v>
      </x:c>
      <x:c r="F968" s="42" t="n">
        <x:v>34223.09</x:v>
      </x:c>
      <x:c r="G968" s="42" t="n">
        <x:v>1711.15</x:v>
      </x:c>
      <x:c r="H968" s="42" t="n">
        <x:v>75524.97</x:v>
      </x:c>
      <x:c r="I968" s="39" t="n">
        <x:v>46237</x:v>
      </x:c>
    </x:row>
    <x:row r="969">
      <x:c r="A969" s="21" t="str">
        <x:v>SYN-0277</x:v>
      </x:c>
      <x:c r="B969" s="21" t="str">
        <x:v>Synthetic Supplier 0277 LLC</x:v>
      </x:c>
      <x:c r="C969" s="38" t="str">
        <x:f>"900 000 000 000 277"</x:f>
        <x:v>900 000 000 000 277</x:v>
      </x:c>
      <x:c r="D969" s="21" t="str">
        <x:v>SYN-0277-INV-02</x:v>
      </x:c>
      <x:c r="E969" s="39" t="n">
        <x:v>46027</x:v>
      </x:c>
      <x:c r="F969" s="42" t="n">
        <x:v>29453.3</x:v>
      </x:c>
      <x:c r="G969" s="42" t="n">
        <x:v>1472.67</x:v>
      </x:c>
      <x:c r="H969" s="42" t="n">
        <x:v>75524.97</x:v>
      </x:c>
      <x:c r="I969" s="39" t="n">
        <x:v>46237</x:v>
      </x:c>
    </x:row>
    <x:row r="970">
      <x:c r="A970" s="21" t="str">
        <x:v>SYN-0277</x:v>
      </x:c>
      <x:c r="B970" s="21" t="str">
        <x:v>Synthetic Supplier 0277 LLC</x:v>
      </x:c>
      <x:c r="C970" s="38" t="str">
        <x:f>"900 000 000 000 277"</x:f>
        <x:v>900 000 000 000 277</x:v>
      </x:c>
      <x:c r="D970" s="21" t="str">
        <x:v>SYN-0277-INV-03</x:v>
      </x:c>
      <x:c r="E970" s="39" t="n">
        <x:v>46074</x:v>
      </x:c>
      <x:c r="F970" s="42" t="n">
        <x:v>20240.24</x:v>
      </x:c>
      <x:c r="G970" s="42" t="n">
        <x:v>1012.01</x:v>
      </x:c>
      <x:c r="H970" s="42" t="n">
        <x:v>75524.97</x:v>
      </x:c>
      <x:c r="I970" s="39" t="n">
        <x:v>46237</x:v>
      </x:c>
    </x:row>
    <x:row r="971">
      <x:c r="A971" s="21" t="str">
        <x:v>SYN-0278</x:v>
      </x:c>
      <x:c r="B971" s="21" t="str">
        <x:v>Synthetic Supplier 0278 LLC</x:v>
      </x:c>
      <x:c r="C971" s="38" t="str">
        <x:f>"900 000 000 000 278"</x:f>
        <x:v>900 000 000 000 278</x:v>
      </x:c>
      <x:c r="D971" s="21" t="str">
        <x:v>SYN-0278-INV-01</x:v>
      </x:c>
      <x:c r="E971" s="39" t="n">
        <x:v>45993</x:v>
      </x:c>
      <x:c r="F971" s="42" t="n">
        <x:v>23039.15</x:v>
      </x:c>
      <x:c r="G971" s="42" t="n">
        <x:v>1151.96</x:v>
      </x:c>
      <x:c r="H971" s="42" t="n">
        <x:v>70620.16</x:v>
      </x:c>
      <x:c r="I971" s="39" t="n">
        <x:v>45904</x:v>
      </x:c>
    </x:row>
    <x:row r="972">
      <x:c r="A972" s="21" t="str">
        <x:v>SYN-0278</x:v>
      </x:c>
      <x:c r="B972" s="21" t="str">
        <x:v>Synthetic Supplier 0278 LLC</x:v>
      </x:c>
      <x:c r="C972" s="38" t="str">
        <x:f>"900 000 000 000 278"</x:f>
        <x:v>900 000 000 000 278</x:v>
      </x:c>
      <x:c r="D972" s="21" t="str">
        <x:v>SYN-0278-INV-02</x:v>
      </x:c>
      <x:c r="E972" s="39" t="n">
        <x:v>46040</x:v>
      </x:c>
      <x:c r="F972" s="42" t="n">
        <x:v>17166.33</x:v>
      </x:c>
      <x:c r="G972" s="42" t="n">
        <x:v>858.32</x:v>
      </x:c>
      <x:c r="H972" s="42" t="n">
        <x:v>70620.16</x:v>
      </x:c>
      <x:c r="I972" s="39" t="n">
        <x:v>45904</x:v>
      </x:c>
    </x:row>
    <x:row r="973">
      <x:c r="A973" s="21" t="str">
        <x:v>SYN-0278</x:v>
      </x:c>
      <x:c r="B973" s="21" t="str">
        <x:v>Synthetic Supplier 0278 LLC</x:v>
      </x:c>
      <x:c r="C973" s="38" t="str">
        <x:f>"900 000 000 000 278"</x:f>
        <x:v>900 000 000 000 278</x:v>
      </x:c>
      <x:c r="D973" s="21" t="str">
        <x:v>SYN-0278-INV-03</x:v>
      </x:c>
      <x:c r="E973" s="39" t="n">
        <x:v>46087</x:v>
      </x:c>
      <x:c r="F973" s="42" t="n">
        <x:v>16298.2</x:v>
      </x:c>
      <x:c r="G973" s="42" t="n">
        <x:v>814.91</x:v>
      </x:c>
      <x:c r="H973" s="42" t="n">
        <x:v>70620.16</x:v>
      </x:c>
      <x:c r="I973" s="39" t="n">
        <x:v>45904</x:v>
      </x:c>
    </x:row>
    <x:row r="974">
      <x:c r="A974" s="21" t="str">
        <x:v>SYN-0278</x:v>
      </x:c>
      <x:c r="B974" s="21" t="str">
        <x:v>Synthetic Supplier 0278 LLC</x:v>
      </x:c>
      <x:c r="C974" s="38" t="str">
        <x:f>"900 000 000 000 278"</x:f>
        <x:v>900 000 000 000 278</x:v>
      </x:c>
      <x:c r="D974" s="21" t="str">
        <x:v>SYN-0278-INV-04</x:v>
      </x:c>
      <x:c r="E974" s="39" t="n">
        <x:v>46134</x:v>
      </x:c>
      <x:c r="F974" s="42" t="n">
        <x:v>21963.16</x:v>
      </x:c>
      <x:c r="G974" s="42" t="n">
        <x:v>1098.16</x:v>
      </x:c>
      <x:c r="H974" s="42" t="n">
        <x:v>70620.16</x:v>
      </x:c>
      <x:c r="I974" s="39" t="n">
        <x:v>45904</x:v>
      </x:c>
    </x:row>
    <x:row r="975">
      <x:c r="A975" s="21" t="str">
        <x:v>SYN-0279</x:v>
      </x:c>
      <x:c r="B975" s="21" t="str">
        <x:v>Synthetic Supplier 0279 LLC</x:v>
      </x:c>
      <x:c r="C975" s="38" t="str">
        <x:f>"900 000 000 000 279"</x:f>
        <x:v>900 000 000 000 279</x:v>
      </x:c>
      <x:c r="D975" s="21" t="str">
        <x:v>SYN-0279-INV-01</x:v>
      </x:c>
      <x:c r="E975" s="39" t="n">
        <x:v>46006</x:v>
      </x:c>
      <x:c r="F975" s="42" t="n">
        <x:v>12856.35</x:v>
      </x:c>
      <x:c r="G975" s="42" t="n">
        <x:v>642.82</x:v>
      </x:c>
      <x:c r="H975" s="42" t="n">
        <x:v>42371.56</x:v>
      </x:c>
      <x:c r="I975" s="39" t="n">
        <x:v>46027</x:v>
      </x:c>
    </x:row>
    <x:row r="976">
      <x:c r="A976" s="21" t="str">
        <x:v>SYN-0279</x:v>
      </x:c>
      <x:c r="B976" s="21" t="str">
        <x:v>Synthetic Supplier 0279 LLC</x:v>
      </x:c>
      <x:c r="C976" s="38" t="str">
        <x:f>"900 000 000 000 279"</x:f>
        <x:v>900 000 000 000 279</x:v>
      </x:c>
      <x:c r="D976" s="21" t="str">
        <x:v>SYN-0279-INV-02</x:v>
      </x:c>
      <x:c r="E976" s="39" t="n">
        <x:v>46053</x:v>
      </x:c>
      <x:c r="F976" s="42" t="n">
        <x:v>7436.76</x:v>
      </x:c>
      <x:c r="G976" s="42" t="n">
        <x:v>371.84</x:v>
      </x:c>
      <x:c r="H976" s="42" t="n">
        <x:v>42371.56</x:v>
      </x:c>
      <x:c r="I976" s="39" t="n">
        <x:v>46027</x:v>
      </x:c>
    </x:row>
    <x:row r="977">
      <x:c r="A977" s="21" t="str">
        <x:v>SYN-0279</x:v>
      </x:c>
      <x:c r="B977" s="21" t="str">
        <x:v>Synthetic Supplier 0279 LLC</x:v>
      </x:c>
      <x:c r="C977" s="38" t="str">
        <x:f>"900 000 000 000 279"</x:f>
        <x:v>900 000 000 000 279</x:v>
      </x:c>
      <x:c r="D977" s="21" t="str">
        <x:v>SYN-0279-INV-03</x:v>
      </x:c>
      <x:c r="E977" s="39" t="n">
        <x:v>46100</x:v>
      </x:c>
      <x:c r="F977" s="42" t="n">
        <x:v>9143.65</x:v>
      </x:c>
      <x:c r="G977" s="42" t="n">
        <x:v>457.18</x:v>
      </x:c>
      <x:c r="H977" s="42" t="n">
        <x:v>42371.56</x:v>
      </x:c>
      <x:c r="I977" s="39" t="n">
        <x:v>46027</x:v>
      </x:c>
    </x:row>
    <x:row r="978">
      <x:c r="A978" s="21" t="str">
        <x:v>SYN-0279</x:v>
      </x:c>
      <x:c r="B978" s="21" t="str">
        <x:v>Synthetic Supplier 0279 LLC</x:v>
      </x:c>
      <x:c r="C978" s="38" t="str">
        <x:f>"900 000 000 000 279"</x:f>
        <x:v>900 000 000 000 279</x:v>
      </x:c>
      <x:c r="D978" s="21" t="str">
        <x:v>SYN-0279-INV-04</x:v>
      </x:c>
      <x:c r="E978" s="39" t="n">
        <x:v>46147</x:v>
      </x:c>
      <x:c r="F978" s="42" t="n">
        <x:v>7638.83</x:v>
      </x:c>
      <x:c r="G978" s="42" t="n">
        <x:v>381.94</x:v>
      </x:c>
      <x:c r="H978" s="42" t="n">
        <x:v>42371.56</x:v>
      </x:c>
      <x:c r="I978" s="39" t="n">
        <x:v>46027</x:v>
      </x:c>
    </x:row>
    <x:row r="979">
      <x:c r="A979" s="21" t="str">
        <x:v>SYN-0279</x:v>
      </x:c>
      <x:c r="B979" s="21" t="str">
        <x:v>Synthetic Supplier 0279 LLC</x:v>
      </x:c>
      <x:c r="C979" s="38" t="str">
        <x:f>"900 000 000 000 279"</x:f>
        <x:v>900 000 000 000 279</x:v>
      </x:c>
      <x:c r="D979" s="21" t="str">
        <x:v>SYN-0279-INV-05</x:v>
      </x:c>
      <x:c r="E979" s="39" t="n">
        <x:v>46194</x:v>
      </x:c>
      <x:c r="F979" s="42" t="n">
        <x:v>10003.93</x:v>
      </x:c>
      <x:c r="G979" s="42" t="n">
        <x:v>500.2</x:v>
      </x:c>
      <x:c r="H979" s="42" t="n">
        <x:v>42371.56</x:v>
      </x:c>
      <x:c r="I979" s="39" t="n">
        <x:v>46027</x:v>
      </x:c>
    </x:row>
    <x:row r="980">
      <x:c r="A980" s="21" t="str">
        <x:v>SYN-0280</x:v>
      </x:c>
      <x:c r="B980" s="21" t="str">
        <x:v>Synthetic Supplier 0280 LLC</x:v>
      </x:c>
      <x:c r="C980" s="38" t="str">
        <x:f>"900 000 000 000 280"</x:f>
        <x:v>900 000 000 000 280</x:v>
      </x:c>
      <x:c r="D980" s="21" t="str">
        <x:v>SYN-0280-INV-01</x:v>
      </x:c>
      <x:c r="E980" s="39" t="n">
        <x:v>46019</x:v>
      </x:c>
      <x:c r="F980" s="42" t="n">
        <x:v>20642.25</x:v>
      </x:c>
      <x:c r="G980" s="42" t="n">
        <x:v>1032.11</x:v>
      </x:c>
      <x:c r="H980" s="42" t="n">
        <x:v>46021.84</x:v>
      </x:c>
      <x:c r="I980" s="39"/>
    </x:row>
    <x:row r="981">
      <x:c r="A981" s="21" t="str">
        <x:v>SYN-0280</x:v>
      </x:c>
      <x:c r="B981" s="21" t="str">
        <x:v>Synthetic Supplier 0280 LLC</x:v>
      </x:c>
      <x:c r="C981" s="38" t="str">
        <x:f>"900 000 000 000 280"</x:f>
        <x:v>900 000 000 000 280</x:v>
      </x:c>
      <x:c r="D981" s="21" t="str">
        <x:v>SYN-0280-INV-02</x:v>
      </x:c>
      <x:c r="E981" s="39" t="n">
        <x:v>46066</x:v>
      </x:c>
      <x:c r="F981" s="42" t="n">
        <x:v>19376.74</x:v>
      </x:c>
      <x:c r="G981" s="42" t="n">
        <x:v>968.84</x:v>
      </x:c>
      <x:c r="H981" s="42" t="n">
        <x:v>46021.84</x:v>
      </x:c>
      <x:c r="I981" s="39"/>
    </x:row>
    <x:row r="982">
      <x:c r="A982" s="21" t="str">
        <x:v>SYN-0281</x:v>
      </x:c>
      <x:c r="B982" s="21" t="str">
        <x:v>Synthetic Supplier 0281 LLC</x:v>
      </x:c>
      <x:c r="C982" s="38" t="str">
        <x:f>"900 000 000 000 281"</x:f>
        <x:v>900 000 000 000 281</x:v>
      </x:c>
      <x:c r="D982" s="21" t="str">
        <x:v>SYN-0281-INV-01</x:v>
      </x:c>
      <x:c r="E982" s="39" t="n">
        <x:v>46032</x:v>
      </x:c>
      <x:c r="F982" s="42" t="n">
        <x:v>28614.74</x:v>
      </x:c>
      <x:c r="G982" s="42" t="n">
        <x:v>1430.74</x:v>
      </x:c>
      <x:c r="H982" s="42" t="n">
        <x:v>69395.57</x:v>
      </x:c>
      <x:c r="I982" s="39" t="n">
        <x:v>46088</x:v>
      </x:c>
    </x:row>
    <x:row r="983">
      <x:c r="A983" s="21" t="str">
        <x:v>SYN-0281</x:v>
      </x:c>
      <x:c r="B983" s="21" t="str">
        <x:v>Synthetic Supplier 0281 LLC</x:v>
      </x:c>
      <x:c r="C983" s="38" t="str">
        <x:f>"900 000 000 000 281"</x:f>
        <x:v>900 000 000 000 281</x:v>
      </x:c>
      <x:c r="D983" s="21" t="str">
        <x:v>SYN-0281-INV-02</x:v>
      </x:c>
      <x:c r="E983" s="39" t="n">
        <x:v>46079</x:v>
      </x:c>
      <x:c r="F983" s="42" t="n">
        <x:v>17994.76</x:v>
      </x:c>
      <x:c r="G983" s="42" t="n">
        <x:v>899.74</x:v>
      </x:c>
      <x:c r="H983" s="42" t="n">
        <x:v>69395.57</x:v>
      </x:c>
      <x:c r="I983" s="39" t="n">
        <x:v>46088</x:v>
      </x:c>
    </x:row>
    <x:row r="984">
      <x:c r="A984" s="21" t="str">
        <x:v>SYN-0281</x:v>
      </x:c>
      <x:c r="B984" s="21" t="str">
        <x:v>Synthetic Supplier 0281 LLC</x:v>
      </x:c>
      <x:c r="C984" s="38" t="str">
        <x:f>"900 000 000 000 281"</x:f>
        <x:v>900 000 000 000 281</x:v>
      </x:c>
      <x:c r="D984" s="21" t="str">
        <x:v>SYN-0281-INV-03</x:v>
      </x:c>
      <x:c r="E984" s="39" t="n">
        <x:v>46126</x:v>
      </x:c>
      <x:c r="F984" s="42" t="n">
        <x:v>30496.69</x:v>
      </x:c>
      <x:c r="G984" s="42" t="n">
        <x:v>1524.83</x:v>
      </x:c>
      <x:c r="H984" s="42" t="n">
        <x:v>69395.57</x:v>
      </x:c>
      <x:c r="I984" s="39" t="n">
        <x:v>46088</x:v>
      </x:c>
    </x:row>
    <x:row r="985">
      <x:c r="A985" s="21" t="str">
        <x:v>SYN-0282</x:v>
      </x:c>
      <x:c r="B985" s="21" t="str">
        <x:v>Synthetic Supplier 0282 LLC</x:v>
      </x:c>
      <x:c r="C985" s="38" t="str">
        <x:f>"900 000 000 000 282"</x:f>
        <x:v>900 000 000 000 282</x:v>
      </x:c>
      <x:c r="D985" s="21" t="str">
        <x:v>SYN-0282-INV-01</x:v>
      </x:c>
      <x:c r="E985" s="39" t="n">
        <x:v>46045</x:v>
      </x:c>
      <x:c r="F985" s="42" t="n">
        <x:v>11875.04</x:v>
      </x:c>
      <x:c r="G985" s="42" t="n">
        <x:v>593.75</x:v>
      </x:c>
      <x:c r="H985" s="42" t="n">
        <x:v>52066.5</x:v>
      </x:c>
      <x:c r="I985" s="39" t="n">
        <x:v>45755</x:v>
      </x:c>
    </x:row>
    <x:row r="986">
      <x:c r="A986" s="21" t="str">
        <x:v>SYN-0282</x:v>
      </x:c>
      <x:c r="B986" s="21" t="str">
        <x:v>Synthetic Supplier 0282 LLC</x:v>
      </x:c>
      <x:c r="C986" s="38" t="str">
        <x:f>"900 000 000 000 282"</x:f>
        <x:v>900 000 000 000 282</x:v>
      </x:c>
      <x:c r="D986" s="21" t="str">
        <x:v>SYN-0282-INV-02</x:v>
      </x:c>
      <x:c r="E986" s="39" t="n">
        <x:v>46092</x:v>
      </x:c>
      <x:c r="F986" s="42" t="n">
        <x:v>12966.07</x:v>
      </x:c>
      <x:c r="G986" s="42" t="n">
        <x:v>648.3</x:v>
      </x:c>
      <x:c r="H986" s="42" t="n">
        <x:v>52066.5</x:v>
      </x:c>
      <x:c r="I986" s="39" t="n">
        <x:v>45755</x:v>
      </x:c>
    </x:row>
    <x:row r="987">
      <x:c r="A987" s="21" t="str">
        <x:v>SYN-0282</x:v>
      </x:c>
      <x:c r="B987" s="21" t="str">
        <x:v>Synthetic Supplier 0282 LLC</x:v>
      </x:c>
      <x:c r="C987" s="38" t="str">
        <x:f>"900 000 000 000 282"</x:f>
        <x:v>900 000 000 000 282</x:v>
      </x:c>
      <x:c r="D987" s="21" t="str">
        <x:v>SYN-0282-INV-03</x:v>
      </x:c>
      <x:c r="E987" s="39" t="n">
        <x:v>46139</x:v>
      </x:c>
      <x:c r="F987" s="42" t="n">
        <x:v>14105.7</x:v>
      </x:c>
      <x:c r="G987" s="42" t="n">
        <x:v>705.29</x:v>
      </x:c>
      <x:c r="H987" s="42" t="n">
        <x:v>52066.5</x:v>
      </x:c>
      <x:c r="I987" s="39" t="n">
        <x:v>45755</x:v>
      </x:c>
    </x:row>
    <x:row r="988">
      <x:c r="A988" s="21" t="str">
        <x:v>SYN-0282</x:v>
      </x:c>
      <x:c r="B988" s="21" t="str">
        <x:v>Synthetic Supplier 0282 LLC</x:v>
      </x:c>
      <x:c r="C988" s="38" t="str">
        <x:f>"900 000 000 000 282"</x:f>
        <x:v>900 000 000 000 282</x:v>
      </x:c>
      <x:c r="D988" s="21" t="str">
        <x:v>SYN-0282-INV-04</x:v>
      </x:c>
      <x:c r="E988" s="39" t="n">
        <x:v>46186</x:v>
      </x:c>
      <x:c r="F988" s="42" t="n">
        <x:v>18904.85</x:v>
      </x:c>
      <x:c r="G988" s="42" t="n">
        <x:v>945.24</x:v>
      </x:c>
      <x:c r="H988" s="42" t="n">
        <x:v>52066.5</x:v>
      </x:c>
      <x:c r="I988" s="39" t="n">
        <x:v>45755</x:v>
      </x:c>
    </x:row>
    <x:row r="989">
      <x:c r="A989" s="21" t="str">
        <x:v>SYN-0283</x:v>
      </x:c>
      <x:c r="B989" s="21" t="str">
        <x:v>Synthetic Supplier 0283 LLC</x:v>
      </x:c>
      <x:c r="C989" s="38" t="str">
        <x:f>"900 000 000 000 283"</x:f>
        <x:v>900 000 000 000 283</x:v>
      </x:c>
      <x:c r="D989" s="21" t="str">
        <x:v>SYN-0283-INV-01</x:v>
      </x:c>
      <x:c r="E989" s="39" t="n">
        <x:v>46058</x:v>
      </x:c>
      <x:c r="F989" s="42" t="n">
        <x:v>11205.87</x:v>
      </x:c>
      <x:c r="G989" s="42" t="n">
        <x:v>560.29</x:v>
      </x:c>
      <x:c r="H989" s="42" t="n">
        <x:v>63349.66</x:v>
      </x:c>
      <x:c r="I989" s="39" t="n">
        <x:v>46151</x:v>
      </x:c>
    </x:row>
    <x:row r="990">
      <x:c r="A990" s="21" t="str">
        <x:v>SYN-0283</x:v>
      </x:c>
      <x:c r="B990" s="21" t="str">
        <x:v>Synthetic Supplier 0283 LLC</x:v>
      </x:c>
      <x:c r="C990" s="38" t="str">
        <x:f>"900 000 000 000 283"</x:f>
        <x:v>900 000 000 000 283</x:v>
      </x:c>
      <x:c r="D990" s="21" t="str">
        <x:v>SYN-0283-INV-02</x:v>
      </x:c>
      <x:c r="E990" s="39" t="n">
        <x:v>46105</x:v>
      </x:c>
      <x:c r="F990" s="42" t="n">
        <x:v>19705.89</x:v>
      </x:c>
      <x:c r="G990" s="42" t="n">
        <x:v>985.29</x:v>
      </x:c>
      <x:c r="H990" s="42" t="n">
        <x:v>63349.66</x:v>
      </x:c>
      <x:c r="I990" s="39" t="n">
        <x:v>46151</x:v>
      </x:c>
    </x:row>
    <x:row r="991">
      <x:c r="A991" s="21" t="str">
        <x:v>SYN-0283</x:v>
      </x:c>
      <x:c r="B991" s="21" t="str">
        <x:v>Synthetic Supplier 0283 LLC</x:v>
      </x:c>
      <x:c r="C991" s="38" t="str">
        <x:f>"900 000 000 000 283"</x:f>
        <x:v>900 000 000 000 283</x:v>
      </x:c>
      <x:c r="D991" s="21" t="str">
        <x:v>SYN-0283-INV-03</x:v>
      </x:c>
      <x:c r="E991" s="39" t="n">
        <x:v>46152</x:v>
      </x:c>
      <x:c r="F991" s="42" t="n">
        <x:v>14014.48</x:v>
      </x:c>
      <x:c r="G991" s="42" t="n">
        <x:v>700.72</x:v>
      </x:c>
      <x:c r="H991" s="42" t="n">
        <x:v>63349.66</x:v>
      </x:c>
      <x:c r="I991" s="39" t="n">
        <x:v>46151</x:v>
      </x:c>
    </x:row>
    <x:row r="992">
      <x:c r="A992" s="21" t="str">
        <x:v>SYN-0283</x:v>
      </x:c>
      <x:c r="B992" s="21" t="str">
        <x:v>Synthetic Supplier 0283 LLC</x:v>
      </x:c>
      <x:c r="C992" s="38" t="str">
        <x:f>"900 000 000 000 283"</x:f>
        <x:v>900 000 000 000 283</x:v>
      </x:c>
      <x:c r="D992" s="21" t="str">
        <x:v>SYN-0283-INV-04</x:v>
      </x:c>
      <x:c r="E992" s="39" t="n">
        <x:v>46199</x:v>
      </x:c>
      <x:c r="F992" s="42" t="n">
        <x:v>11353.19</x:v>
      </x:c>
      <x:c r="G992" s="42" t="n">
        <x:v>567.66</x:v>
      </x:c>
      <x:c r="H992" s="42" t="n">
        <x:v>63349.66</x:v>
      </x:c>
      <x:c r="I992" s="39" t="n">
        <x:v>46151</x:v>
      </x:c>
    </x:row>
    <x:row r="993">
      <x:c r="A993" s="21" t="str">
        <x:v>SYN-0283</x:v>
      </x:c>
      <x:c r="B993" s="21" t="str">
        <x:v>Synthetic Supplier 0283 LLC</x:v>
      </x:c>
      <x:c r="C993" s="38" t="str">
        <x:f>"900 000 000 000 283"</x:f>
        <x:v>900 000 000 000 283</x:v>
      </x:c>
      <x:c r="D993" s="21" t="str">
        <x:v>SYN-0283-INV-05</x:v>
      </x:c>
      <x:c r="E993" s="39" t="n">
        <x:v>46246</x:v>
      </x:c>
      <x:c r="F993" s="42" t="n">
        <x:v>14109.08</x:v>
      </x:c>
      <x:c r="G993" s="42" t="n">
        <x:v>705.45</x:v>
      </x:c>
      <x:c r="H993" s="42" t="n">
        <x:v>63349.66</x:v>
      </x:c>
      <x:c r="I993" s="39" t="n">
        <x:v>46151</x:v>
      </x:c>
    </x:row>
    <x:row r="994">
      <x:c r="A994" s="21" t="str">
        <x:v>SYN-0284</x:v>
      </x:c>
      <x:c r="B994" s="21" t="str">
        <x:v>Synthetic Supplier 0284 LLC</x:v>
      </x:c>
      <x:c r="C994" s="38" t="str">
        <x:f>"900 000 000 000 284"</x:f>
        <x:v>900 000 000 000 284</x:v>
      </x:c>
      <x:c r="D994" s="21" t="str">
        <x:v>SYN-0284-INV-01</x:v>
      </x:c>
      <x:c r="E994" s="39" t="n">
        <x:v>46071</x:v>
      </x:c>
      <x:c r="F994" s="42" t="n">
        <x:v>36138.12</x:v>
      </x:c>
      <x:c r="G994" s="42" t="n">
        <x:v>1806.91</x:v>
      </x:c>
      <x:c r="H994" s="42" t="n">
        <x:v>64048.48</x:v>
      </x:c>
      <x:c r="I994" s="39" t="n">
        <x:v>45818</x:v>
      </x:c>
    </x:row>
    <x:row r="995">
      <x:c r="A995" s="21" t="str">
        <x:v>SYN-0284</x:v>
      </x:c>
      <x:c r="B995" s="21" t="str">
        <x:v>Synthetic Supplier 0284 LLC</x:v>
      </x:c>
      <x:c r="C995" s="38" t="str">
        <x:f>"900 000 000 000 284"</x:f>
        <x:v>900 000 000 000 284</x:v>
      </x:c>
      <x:c r="D995" s="21" t="str">
        <x:v>SYN-0284-INV-02</x:v>
      </x:c>
      <x:c r="E995" s="39" t="n">
        <x:v>46118</x:v>
      </x:c>
      <x:c r="F995" s="42" t="n">
        <x:v>35026.86</x:v>
      </x:c>
      <x:c r="G995" s="42" t="n">
        <x:v>1751.34</x:v>
      </x:c>
      <x:c r="H995" s="42" t="n">
        <x:v>64048.48</x:v>
      </x:c>
      <x:c r="I995" s="39" t="n">
        <x:v>45818</x:v>
      </x:c>
    </x:row>
    <x:row r="996">
      <x:c r="A996" s="21" t="str">
        <x:v>SYN-0285</x:v>
      </x:c>
      <x:c r="B996" s="21" t="str">
        <x:v>Synthetic Supplier 0285 LLC</x:v>
      </x:c>
      <x:c r="C996" s="38" t="str">
        <x:f>"900 000 000 000 285"</x:f>
        <x:v>900 000 000 000 285</x:v>
      </x:c>
      <x:c r="D996" s="21" t="str">
        <x:v>SYN-0285-INV-01</x:v>
      </x:c>
      <x:c r="E996" s="39" t="n">
        <x:v>46084</x:v>
      </x:c>
      <x:c r="F996" s="42" t="n">
        <x:v>19846.79</x:v>
      </x:c>
      <x:c r="G996" s="42" t="n">
        <x:v>992.34</x:v>
      </x:c>
      <x:c r="H996" s="42" t="n">
        <x:v>55974.79</x:v>
      </x:c>
      <x:c r="I996" s="39"/>
    </x:row>
    <x:row r="997">
      <x:c r="A997" s="21" t="str">
        <x:v>SYN-0285</x:v>
      </x:c>
      <x:c r="B997" s="21" t="str">
        <x:v>Synthetic Supplier 0285 LLC</x:v>
      </x:c>
      <x:c r="C997" s="38" t="str">
        <x:f>"900 000 000 000 285"</x:f>
        <x:v>900 000 000 000 285</x:v>
      </x:c>
      <x:c r="D997" s="21" t="str">
        <x:v>SYN-0285-INV-02</x:v>
      </x:c>
      <x:c r="E997" s="39" t="n">
        <x:v>46131</x:v>
      </x:c>
      <x:c r="F997" s="42" t="n">
        <x:v>13570.76</x:v>
      </x:c>
      <x:c r="G997" s="42" t="n">
        <x:v>678.54</x:v>
      </x:c>
      <x:c r="H997" s="42" t="n">
        <x:v>55974.79</x:v>
      </x:c>
      <x:c r="I997" s="39"/>
    </x:row>
    <x:row r="998">
      <x:c r="A998" s="21" t="str">
        <x:v>SYN-0285</x:v>
      </x:c>
      <x:c r="B998" s="21" t="str">
        <x:v>Synthetic Supplier 0285 LLC</x:v>
      </x:c>
      <x:c r="C998" s="38" t="str">
        <x:f>"900 000 000 000 285"</x:f>
        <x:v>900 000 000 000 285</x:v>
      </x:c>
      <x:c r="D998" s="21" t="str">
        <x:v>SYN-0285-INV-03</x:v>
      </x:c>
      <x:c r="E998" s="39" t="n">
        <x:v>46178</x:v>
      </x:c>
      <x:c r="F998" s="42" t="n">
        <x:v>28776.67</x:v>
      </x:c>
      <x:c r="G998" s="42" t="n">
        <x:v>1438.83</x:v>
      </x:c>
      <x:c r="H998" s="42" t="n">
        <x:v>55974.79</x:v>
      </x:c>
      <x:c r="I998" s="39"/>
    </x:row>
    <x:row r="999">
      <x:c r="A999" s="21" t="str">
        <x:v>SYN-0286</x:v>
      </x:c>
      <x:c r="B999" s="21" t="str">
        <x:v>Synthetic Supplier 0286 LLC</x:v>
      </x:c>
      <x:c r="C999" s="38" t="str">
        <x:f>"900 000 000 000 286"</x:f>
        <x:v>900 000 000 000 286</x:v>
      </x:c>
      <x:c r="D999" s="21" t="str">
        <x:v>SYN-0286-INV-01</x:v>
      </x:c>
      <x:c r="E999" s="39" t="n">
        <x:v>46097</x:v>
      </x:c>
      <x:c r="F999" s="42" t="n">
        <x:v>20718.45</x:v>
      </x:c>
      <x:c r="G999" s="42" t="n">
        <x:v>1035.92</x:v>
      </x:c>
      <x:c r="H999" s="42" t="n">
        <x:v>67982.74</x:v>
      </x:c>
      <x:c r="I999" s="39" t="n">
        <x:v>45881</x:v>
      </x:c>
    </x:row>
    <x:row r="1000">
      <x:c r="A1000" s="21" t="str">
        <x:v>SYN-0286</x:v>
      </x:c>
      <x:c r="B1000" s="21" t="str">
        <x:v>Synthetic Supplier 0286 LLC</x:v>
      </x:c>
      <x:c r="C1000" s="38" t="str">
        <x:f>"900 000 000 000 286"</x:f>
        <x:v>900 000 000 000 286</x:v>
      </x:c>
      <x:c r="D1000" s="21" t="str">
        <x:v>SYN-0286-INV-02</x:v>
      </x:c>
      <x:c r="E1000" s="39" t="n">
        <x:v>46144</x:v>
      </x:c>
      <x:c r="F1000" s="42" t="n">
        <x:v>18355.59</x:v>
      </x:c>
      <x:c r="G1000" s="42" t="n">
        <x:v>917.78</x:v>
      </x:c>
      <x:c r="H1000" s="42" t="n">
        <x:v>67982.74</x:v>
      </x:c>
      <x:c r="I1000" s="39" t="n">
        <x:v>45881</x:v>
      </x:c>
    </x:row>
    <x:row r="1001">
      <x:c r="A1001" s="21" t="str">
        <x:v>SYN-0286</x:v>
      </x:c>
      <x:c r="B1001" s="21" t="str">
        <x:v>Synthetic Supplier 0286 LLC</x:v>
      </x:c>
      <x:c r="C1001" s="38" t="str">
        <x:f>"900 000 000 000 286"</x:f>
        <x:v>900 000 000 000 286</x:v>
      </x:c>
      <x:c r="D1001" s="21" t="str">
        <x:v>SYN-0286-INV-03</x:v>
      </x:c>
      <x:c r="E1001" s="39" t="n">
        <x:v>46191</x:v>
      </x:c>
      <x:c r="F1001" s="42" t="n">
        <x:v>12868.84</x:v>
      </x:c>
      <x:c r="G1001" s="42" t="n">
        <x:v>643.44</x:v>
      </x:c>
      <x:c r="H1001" s="42" t="n">
        <x:v>67982.74</x:v>
      </x:c>
      <x:c r="I1001" s="39" t="n">
        <x:v>45881</x:v>
      </x:c>
    </x:row>
    <x:row r="1002">
      <x:c r="A1002" s="21" t="str">
        <x:v>SYN-0286</x:v>
      </x:c>
      <x:c r="B1002" s="21" t="str">
        <x:v>Synthetic Supplier 0286 LLC</x:v>
      </x:c>
      <x:c r="C1002" s="38" t="str">
        <x:f>"900 000 000 000 286"</x:f>
        <x:v>900 000 000 000 286</x:v>
      </x:c>
      <x:c r="D1002" s="21" t="str">
        <x:v>SYN-0286-INV-04</x:v>
      </x:c>
      <x:c r="E1002" s="39" t="n">
        <x:v>46238</x:v>
      </x:c>
      <x:c r="F1002" s="42" t="n">
        <x:v>23593.49</x:v>
      </x:c>
      <x:c r="G1002" s="42" t="n">
        <x:v>1179.67</x:v>
      </x:c>
      <x:c r="H1002" s="42" t="n">
        <x:v>67982.74</x:v>
      </x:c>
      <x:c r="I1002" s="39" t="n">
        <x:v>45881</x:v>
      </x:c>
    </x:row>
    <x:row r="1003">
      <x:c r="A1003" s="21" t="str">
        <x:v>SYN-0287</x:v>
      </x:c>
      <x:c r="B1003" s="21" t="str">
        <x:v>Synthetic Supplier 0287 LLC</x:v>
      </x:c>
      <x:c r="C1003" s="38" t="str">
        <x:f>"900 000 000 000 287"</x:f>
        <x:v>900 000 000 000 287</x:v>
      </x:c>
      <x:c r="D1003" s="21" t="str">
        <x:v>SYN-0287-INV-01</x:v>
      </x:c>
      <x:c r="E1003" s="39" t="n">
        <x:v>46110</x:v>
      </x:c>
      <x:c r="F1003" s="42" t="n">
        <x:v>15290.86</x:v>
      </x:c>
      <x:c r="G1003" s="42" t="n">
        <x:v>764.54</x:v>
      </x:c>
      <x:c r="H1003" s="42" t="n">
        <x:v>83816.05</x:v>
      </x:c>
      <x:c r="I1003" s="39" t="n">
        <x:v>46278</x:v>
      </x:c>
    </x:row>
    <x:row r="1004">
      <x:c r="A1004" s="21" t="str">
        <x:v>SYN-0287</x:v>
      </x:c>
      <x:c r="B1004" s="21" t="str">
        <x:v>Synthetic Supplier 0287 LLC</x:v>
      </x:c>
      <x:c r="C1004" s="38" t="str">
        <x:f>"900 000 000 000 287"</x:f>
        <x:v>900 000 000 000 287</x:v>
      </x:c>
      <x:c r="D1004" s="21" t="str">
        <x:v>SYN-0287-INV-02</x:v>
      </x:c>
      <x:c r="E1004" s="39" t="n">
        <x:v>46157</x:v>
      </x:c>
      <x:c r="F1004" s="42" t="n">
        <x:v>19012.95</x:v>
      </x:c>
      <x:c r="G1004" s="42" t="n">
        <x:v>950.65</x:v>
      </x:c>
      <x:c r="H1004" s="42" t="n">
        <x:v>83816.05</x:v>
      </x:c>
      <x:c r="I1004" s="39" t="n">
        <x:v>46278</x:v>
      </x:c>
    </x:row>
    <x:row r="1005">
      <x:c r="A1005" s="21" t="str">
        <x:v>SYN-0287</x:v>
      </x:c>
      <x:c r="B1005" s="21" t="str">
        <x:v>Synthetic Supplier 0287 LLC</x:v>
      </x:c>
      <x:c r="C1005" s="38" t="str">
        <x:f>"900 000 000 000 287"</x:f>
        <x:v>900 000 000 000 287</x:v>
      </x:c>
      <x:c r="D1005" s="21" t="str">
        <x:v>SYN-0287-INV-03</x:v>
      </x:c>
      <x:c r="E1005" s="39" t="n">
        <x:v>46204</x:v>
      </x:c>
      <x:c r="F1005" s="42" t="n">
        <x:v>18609.82</x:v>
      </x:c>
      <x:c r="G1005" s="42" t="n">
        <x:v>930.49</x:v>
      </x:c>
      <x:c r="H1005" s="42" t="n">
        <x:v>83816.05</x:v>
      </x:c>
      <x:c r="I1005" s="39" t="n">
        <x:v>46278</x:v>
      </x:c>
    </x:row>
    <x:row r="1006">
      <x:c r="A1006" s="21" t="str">
        <x:v>SYN-0287</x:v>
      </x:c>
      <x:c r="B1006" s="21" t="str">
        <x:v>Synthetic Supplier 0287 LLC</x:v>
      </x:c>
      <x:c r="C1006" s="38" t="str">
        <x:f>"900 000 000 000 287"</x:f>
        <x:v>900 000 000 000 287</x:v>
      </x:c>
      <x:c r="D1006" s="21" t="str">
        <x:v>SYN-0287-INV-04</x:v>
      </x:c>
      <x:c r="E1006" s="39" t="n">
        <x:v>46251</x:v>
      </x:c>
      <x:c r="F1006" s="42" t="n">
        <x:v>8845.59</x:v>
      </x:c>
      <x:c r="G1006" s="42" t="n">
        <x:v>442.28</x:v>
      </x:c>
      <x:c r="H1006" s="42" t="n">
        <x:v>83816.05</x:v>
      </x:c>
      <x:c r="I1006" s="39" t="n">
        <x:v>46278</x:v>
      </x:c>
    </x:row>
    <x:row r="1007">
      <x:c r="A1007" s="21" t="str">
        <x:v>SYN-0287</x:v>
      </x:c>
      <x:c r="B1007" s="21" t="str">
        <x:v>Synthetic Supplier 0287 LLC</x:v>
      </x:c>
      <x:c r="C1007" s="38" t="str">
        <x:f>"900 000 000 000 287"</x:f>
        <x:v>900 000 000 000 287</x:v>
      </x:c>
      <x:c r="D1007" s="21" t="str">
        <x:v>SYN-0287-INV-05</x:v>
      </x:c>
      <x:c r="E1007" s="39" t="n">
        <x:v>45938</x:v>
      </x:c>
      <x:c r="F1007" s="42" t="n">
        <x:v>11124.3</x:v>
      </x:c>
      <x:c r="G1007" s="42" t="n">
        <x:v>556.21</x:v>
      </x:c>
      <x:c r="H1007" s="42" t="n">
        <x:v>83816.05</x:v>
      </x:c>
      <x:c r="I1007" s="39" t="n">
        <x:v>46278</x:v>
      </x:c>
    </x:row>
    <x:row r="1008">
      <x:c r="A1008" s="21" t="str">
        <x:v>SYN-0288</x:v>
      </x:c>
      <x:c r="B1008" s="21" t="str">
        <x:v>Synthetic Supplier 0288 LLC</x:v>
      </x:c>
      <x:c r="C1008" s="38" t="str">
        <x:f>"900 000 000 000 288"</x:f>
        <x:v>900 000 000 000 288</x:v>
      </x:c>
      <x:c r="D1008" s="21" t="str">
        <x:v>SYN-0288-INV-01</x:v>
      </x:c>
      <x:c r="E1008" s="39" t="n">
        <x:v>46123</x:v>
      </x:c>
      <x:c r="F1008" s="42" t="n">
        <x:v>42195.8</x:v>
      </x:c>
      <x:c r="G1008" s="42" t="n">
        <x:v>2109.79</x:v>
      </x:c>
      <x:c r="H1008" s="42" t="n">
        <x:v>73418.72</x:v>
      </x:c>
      <x:c r="I1008" s="39" t="n">
        <x:v>45671</x:v>
      </x:c>
    </x:row>
    <x:row r="1009">
      <x:c r="A1009" s="21" t="str">
        <x:v>SYN-0288</x:v>
      </x:c>
      <x:c r="B1009" s="21" t="str">
        <x:v>Synthetic Supplier 0288 LLC</x:v>
      </x:c>
      <x:c r="C1009" s="38" t="str">
        <x:f>"900 000 000 000 288"</x:f>
        <x:v>900 000 000 000 288</x:v>
      </x:c>
      <x:c r="D1009" s="21" t="str">
        <x:v>SYN-0288-INV-02</x:v>
      </x:c>
      <x:c r="E1009" s="39" t="n">
        <x:v>46170</x:v>
      </x:c>
      <x:c r="F1009" s="42" t="n">
        <x:v>39380.55</x:v>
      </x:c>
      <x:c r="G1009" s="42" t="n">
        <x:v>1969.03</x:v>
      </x:c>
      <x:c r="H1009" s="42" t="n">
        <x:v>73418.72</x:v>
      </x:c>
      <x:c r="I1009" s="39" t="n">
        <x:v>45671</x:v>
      </x:c>
    </x:row>
    <x:row r="1010">
      <x:c r="A1010" s="21" t="str">
        <x:v>SYN-0289</x:v>
      </x:c>
      <x:c r="B1010" s="21" t="str">
        <x:v>Synthetic Supplier 0289 LLC</x:v>
      </x:c>
      <x:c r="C1010" s="38" t="str">
        <x:f>"900 000 000 000 289"</x:f>
        <x:v>900 000 000 000 289</x:v>
      </x:c>
      <x:c r="D1010" s="21" t="str">
        <x:v>SYN-0289-INV-01</x:v>
      </x:c>
      <x:c r="E1010" s="39" t="n">
        <x:v>46136</x:v>
      </x:c>
      <x:c r="F1010" s="42" t="n">
        <x:v>20858.55</x:v>
      </x:c>
      <x:c r="G1010" s="42" t="n">
        <x:v>1042.93</x:v>
      </x:c>
      <x:c r="H1010" s="42" t="n">
        <x:v>47030.46</x:v>
      </x:c>
      <x:c r="I1010" s="39" t="n">
        <x:v>46068</x:v>
      </x:c>
    </x:row>
    <x:row r="1011">
      <x:c r="A1011" s="21" t="str">
        <x:v>SYN-0289</x:v>
      </x:c>
      <x:c r="B1011" s="21" t="str">
        <x:v>Synthetic Supplier 0289 LLC</x:v>
      </x:c>
      <x:c r="C1011" s="38" t="str">
        <x:f>"900 000 000 000 289"</x:f>
        <x:v>900 000 000 000 289</x:v>
      </x:c>
      <x:c r="D1011" s="21" t="str">
        <x:v>SYN-0289-INV-02</x:v>
      </x:c>
      <x:c r="E1011" s="39" t="n">
        <x:v>46183</x:v>
      </x:c>
      <x:c r="F1011" s="42" t="n">
        <x:v>14685.71</x:v>
      </x:c>
      <x:c r="G1011" s="42" t="n">
        <x:v>734.29</x:v>
      </x:c>
      <x:c r="H1011" s="42" t="n">
        <x:v>47030.46</x:v>
      </x:c>
      <x:c r="I1011" s="39" t="n">
        <x:v>46068</x:v>
      </x:c>
    </x:row>
    <x:row r="1012">
      <x:c r="A1012" s="21" t="str">
        <x:v>SYN-0289</x:v>
      </x:c>
      <x:c r="B1012" s="21" t="str">
        <x:v>Synthetic Supplier 0289 LLC</x:v>
      </x:c>
      <x:c r="C1012" s="38" t="str">
        <x:f>"900 000 000 000 289"</x:f>
        <x:v>900 000 000 000 289</x:v>
      </x:c>
      <x:c r="D1012" s="21" t="str">
        <x:v>SYN-0289-INV-03</x:v>
      </x:c>
      <x:c r="E1012" s="39" t="n">
        <x:v>46230</x:v>
      </x:c>
      <x:c r="F1012" s="42" t="n">
        <x:v>16711.81</x:v>
      </x:c>
      <x:c r="G1012" s="42" t="n">
        <x:v>835.59</x:v>
      </x:c>
      <x:c r="H1012" s="42" t="n">
        <x:v>47030.46</x:v>
      </x:c>
      <x:c r="I1012" s="39" t="n">
        <x:v>46068</x:v>
      </x:c>
    </x:row>
    <x:row r="1013">
      <x:c r="A1013" s="21" t="str">
        <x:v>SYN-0290</x:v>
      </x:c>
      <x:c r="B1013" s="21" t="str">
        <x:v>Synthetic Supplier 0290 LLC</x:v>
      </x:c>
      <x:c r="C1013" s="38" t="str">
        <x:f>"900 000 000 000 290"</x:f>
        <x:v>900 000 000 000 290</x:v>
      </x:c>
      <x:c r="D1013" s="21" t="str">
        <x:v>SYN-0290-INV-01</x:v>
      </x:c>
      <x:c r="E1013" s="39" t="n">
        <x:v>46149</x:v>
      </x:c>
      <x:c r="F1013" s="42" t="n">
        <x:v>14034.69</x:v>
      </x:c>
      <x:c r="G1013" s="42" t="n">
        <x:v>701.73</x:v>
      </x:c>
      <x:c r="H1013" s="42" t="n">
        <x:v>64676.18</x:v>
      </x:c>
      <x:c r="I1013" s="39"/>
    </x:row>
    <x:row r="1014">
      <x:c r="A1014" s="21" t="str">
        <x:v>SYN-0290</x:v>
      </x:c>
      <x:c r="B1014" s="21" t="str">
        <x:v>Synthetic Supplier 0290 LLC</x:v>
      </x:c>
      <x:c r="C1014" s="38" t="str">
        <x:f>"900 000 000 000 290"</x:f>
        <x:v>900 000 000 000 290</x:v>
      </x:c>
      <x:c r="D1014" s="21" t="str">
        <x:v>SYN-0290-INV-02</x:v>
      </x:c>
      <x:c r="E1014" s="39" t="n">
        <x:v>46196</x:v>
      </x:c>
      <x:c r="F1014" s="42" t="n">
        <x:v>19724.35</x:v>
      </x:c>
      <x:c r="G1014" s="42" t="n">
        <x:v>986.22</x:v>
      </x:c>
      <x:c r="H1014" s="42" t="n">
        <x:v>64676.18</x:v>
      </x:c>
      <x:c r="I1014" s="39"/>
    </x:row>
    <x:row r="1015">
      <x:c r="A1015" s="21" t="str">
        <x:v>SYN-0290</x:v>
      </x:c>
      <x:c r="B1015" s="21" t="str">
        <x:v>Synthetic Supplier 0290 LLC</x:v>
      </x:c>
      <x:c r="C1015" s="38" t="str">
        <x:f>"900 000 000 000 290"</x:f>
        <x:v>900 000 000 000 290</x:v>
      </x:c>
      <x:c r="D1015" s="21" t="str">
        <x:v>SYN-0290-INV-03</x:v>
      </x:c>
      <x:c r="E1015" s="39" t="n">
        <x:v>46243</x:v>
      </x:c>
      <x:c r="F1015" s="42" t="n">
        <x:v>19249.08</x:v>
      </x:c>
      <x:c r="G1015" s="42" t="n">
        <x:v>962.45</x:v>
      </x:c>
      <x:c r="H1015" s="42" t="n">
        <x:v>64676.18</x:v>
      </x:c>
      <x:c r="I1015" s="39"/>
    </x:row>
    <x:row r="1016">
      <x:c r="A1016" s="21" t="str">
        <x:v>SYN-0290</x:v>
      </x:c>
      <x:c r="B1016" s="21" t="str">
        <x:v>Synthetic Supplier 0290 LLC</x:v>
      </x:c>
      <x:c r="C1016" s="38" t="str">
        <x:f>"900 000 000 000 290"</x:f>
        <x:v>900 000 000 000 290</x:v>
      </x:c>
      <x:c r="D1016" s="21" t="str">
        <x:v>SYN-0290-INV-04</x:v>
      </x:c>
      <x:c r="E1016" s="39" t="n">
        <x:v>46290</x:v>
      </x:c>
      <x:c r="F1016" s="42" t="n">
        <x:v>18854.3</x:v>
      </x:c>
      <x:c r="G1016" s="42" t="n">
        <x:v>942.72</x:v>
      </x:c>
      <x:c r="H1016" s="42" t="n">
        <x:v>64676.18</x:v>
      </x:c>
      <x:c r="I1016" s="39"/>
    </x:row>
    <x:row r="1017">
      <x:c r="A1017" s="21" t="str">
        <x:v>SYN-0291</x:v>
      </x:c>
      <x:c r="B1017" s="21" t="str">
        <x:v>Synthetic Supplier 0291 LLC</x:v>
      </x:c>
      <x:c r="C1017" s="38" t="str">
        <x:f>"900 000 000 000 291"</x:f>
        <x:v>900 000 000 000 291</x:v>
      </x:c>
      <x:c r="D1017" s="21" t="str">
        <x:v>SYN-0291-INV-01</x:v>
      </x:c>
      <x:c r="E1017" s="39" t="n">
        <x:v>46162</x:v>
      </x:c>
      <x:c r="F1017" s="42" t="n">
        <x:v>23632.62</x:v>
      </x:c>
      <x:c r="G1017" s="42" t="n">
        <x:v>1181.63</x:v>
      </x:c>
      <x:c r="H1017" s="42" t="n">
        <x:v>79565.84</x:v>
      </x:c>
      <x:c r="I1017" s="39" t="n">
        <x:v>46129</x:v>
      </x:c>
    </x:row>
    <x:row r="1018">
      <x:c r="A1018" s="21" t="str">
        <x:v>SYN-0291</x:v>
      </x:c>
      <x:c r="B1018" s="21" t="str">
        <x:v>Synthetic Supplier 0291 LLC</x:v>
      </x:c>
      <x:c r="C1018" s="38" t="str">
        <x:f>"900 000 000 000 291"</x:f>
        <x:v>900 000 000 000 291</x:v>
      </x:c>
      <x:c r="D1018" s="21" t="str">
        <x:v>SYN-0291-INV-02</x:v>
      </x:c>
      <x:c r="E1018" s="39" t="n">
        <x:v>46209</x:v>
      </x:c>
      <x:c r="F1018" s="42" t="n">
        <x:v>19775.47</x:v>
      </x:c>
      <x:c r="G1018" s="42" t="n">
        <x:v>988.77</x:v>
      </x:c>
      <x:c r="H1018" s="42" t="n">
        <x:v>79565.84</x:v>
      </x:c>
      <x:c r="I1018" s="39" t="n">
        <x:v>46129</x:v>
      </x:c>
    </x:row>
    <x:row r="1019">
      <x:c r="A1019" s="21" t="str">
        <x:v>SYN-0291</x:v>
      </x:c>
      <x:c r="B1019" s="21" t="str">
        <x:v>Synthetic Supplier 0291 LLC</x:v>
      </x:c>
      <x:c r="C1019" s="38" t="str">
        <x:f>"900 000 000 000 291"</x:f>
        <x:v>900 000 000 000 291</x:v>
      </x:c>
      <x:c r="D1019" s="21" t="str">
        <x:v>SYN-0291-INV-03</x:v>
      </x:c>
      <x:c r="E1019" s="39" t="n">
        <x:v>46256</x:v>
      </x:c>
      <x:c r="F1019" s="42" t="n">
        <x:v>12427.51</x:v>
      </x:c>
      <x:c r="G1019" s="42" t="n">
        <x:v>621.38</x:v>
      </x:c>
      <x:c r="H1019" s="42" t="n">
        <x:v>79565.84</x:v>
      </x:c>
      <x:c r="I1019" s="39" t="n">
        <x:v>46129</x:v>
      </x:c>
    </x:row>
    <x:row r="1020">
      <x:c r="A1020" s="21" t="str">
        <x:v>SYN-0291</x:v>
      </x:c>
      <x:c r="B1020" s="21" t="str">
        <x:v>Synthetic Supplier 0291 LLC</x:v>
      </x:c>
      <x:c r="C1020" s="38" t="str">
        <x:f>"900 000 000 000 291"</x:f>
        <x:v>900 000 000 000 291</x:v>
      </x:c>
      <x:c r="D1020" s="21" t="str">
        <x:v>SYN-0291-INV-04</x:v>
      </x:c>
      <x:c r="E1020" s="39" t="n">
        <x:v>45943</x:v>
      </x:c>
      <x:c r="F1020" s="42" t="n">
        <x:v>18743.88</x:v>
      </x:c>
      <x:c r="G1020" s="42" t="n">
        <x:v>937.19</x:v>
      </x:c>
      <x:c r="H1020" s="42" t="n">
        <x:v>79565.84</x:v>
      </x:c>
      <x:c r="I1020" s="39" t="n">
        <x:v>46129</x:v>
      </x:c>
    </x:row>
    <x:row r="1021">
      <x:c r="A1021" s="21" t="str">
        <x:v>SYN-0291</x:v>
      </x:c>
      <x:c r="B1021" s="21" t="str">
        <x:v>Synthetic Supplier 0291 LLC</x:v>
      </x:c>
      <x:c r="C1021" s="38" t="str">
        <x:f>"900 000 000 000 291"</x:f>
        <x:v>900 000 000 000 291</x:v>
      </x:c>
      <x:c r="D1021" s="21" t="str">
        <x:v>SYN-0291-INV-05</x:v>
      </x:c>
      <x:c r="E1021" s="39" t="n">
        <x:v>45990</x:v>
      </x:c>
      <x:c r="F1021" s="42" t="n">
        <x:v>13827</x:v>
      </x:c>
      <x:c r="G1021" s="42" t="n">
        <x:v>691.35</x:v>
      </x:c>
      <x:c r="H1021" s="42" t="n">
        <x:v>79565.84</x:v>
      </x:c>
      <x:c r="I1021" s="39" t="n">
        <x:v>46129</x:v>
      </x:c>
    </x:row>
    <x:row r="1022">
      <x:c r="A1022" s="21" t="str">
        <x:v>SYN-0292</x:v>
      </x:c>
      <x:c r="B1022" s="21" t="str">
        <x:v>Synthetic Supplier 0292 LLC</x:v>
      </x:c>
      <x:c r="C1022" s="38" t="str">
        <x:f>"900 000 000 000 292"</x:f>
        <x:v>900 000 000 000 292</x:v>
      </x:c>
      <x:c r="D1022" s="21" t="str">
        <x:v>SYN-0292-INV-01</x:v>
      </x:c>
      <x:c r="E1022" s="39" t="n">
        <x:v>46175</x:v>
      </x:c>
      <x:c r="F1022" s="42" t="n">
        <x:v>19954.98</x:v>
      </x:c>
      <x:c r="G1022" s="42" t="n">
        <x:v>997.75</x:v>
      </x:c>
      <x:c r="H1022" s="42" t="n">
        <x:v>41909.35</x:v>
      </x:c>
      <x:c r="I1022" s="39" t="n">
        <x:v>45795</x:v>
      </x:c>
    </x:row>
    <x:row r="1023">
      <x:c r="A1023" s="21" t="str">
        <x:v>SYN-0292</x:v>
      </x:c>
      <x:c r="B1023" s="21" t="str">
        <x:v>Synthetic Supplier 0292 LLC</x:v>
      </x:c>
      <x:c r="C1023" s="38" t="str">
        <x:f>"900 000 000 000 292"</x:f>
        <x:v>900 000 000 000 292</x:v>
      </x:c>
      <x:c r="D1023" s="21" t="str">
        <x:v>SYN-0292-INV-02</x:v>
      </x:c>
      <x:c r="E1023" s="39" t="n">
        <x:v>46222</x:v>
      </x:c>
      <x:c r="F1023" s="42" t="n">
        <x:v>26610.97</x:v>
      </x:c>
      <x:c r="G1023" s="42" t="n">
        <x:v>1330.55</x:v>
      </x:c>
      <x:c r="H1023" s="42" t="n">
        <x:v>41909.35</x:v>
      </x:c>
      <x:c r="I1023" s="39" t="n">
        <x:v>45795</x:v>
      </x:c>
    </x:row>
    <x:row r="1024">
      <x:c r="A1024" s="21" t="str">
        <x:v>SYN-0293</x:v>
      </x:c>
      <x:c r="B1024" s="21" t="str">
        <x:v>Synthetic Supplier 0293 LLC</x:v>
      </x:c>
      <x:c r="C1024" s="38" t="str">
        <x:f>"900 000 000 000 293"</x:f>
        <x:v>900 000 000 000 293</x:v>
      </x:c>
      <x:c r="D1024" s="21" t="str">
        <x:v>SYN-0293-INV-01</x:v>
      </x:c>
      <x:c r="E1024" s="39" t="n">
        <x:v>46188</x:v>
      </x:c>
      <x:c r="F1024" s="42" t="n">
        <x:v>31265.02</x:v>
      </x:c>
      <x:c r="G1024" s="42" t="n">
        <x:v>1563.25</x:v>
      </x:c>
      <x:c r="H1024" s="42" t="n">
        <x:v>78917.46</x:v>
      </x:c>
      <x:c r="I1024" s="39" t="n">
        <x:v>46192</x:v>
      </x:c>
    </x:row>
    <x:row r="1025">
      <x:c r="A1025" s="21" t="str">
        <x:v>SYN-0293</x:v>
      </x:c>
      <x:c r="B1025" s="21" t="str">
        <x:v>Synthetic Supplier 0293 LLC</x:v>
      </x:c>
      <x:c r="C1025" s="38" t="str">
        <x:f>"900 000 000 000 293"</x:f>
        <x:v>900 000 000 000 293</x:v>
      </x:c>
      <x:c r="D1025" s="21" t="str">
        <x:v>SYN-0293-INV-02</x:v>
      </x:c>
      <x:c r="E1025" s="39" t="n">
        <x:v>46235</x:v>
      </x:c>
      <x:c r="F1025" s="42" t="n">
        <x:v>24004.91</x:v>
      </x:c>
      <x:c r="G1025" s="42" t="n">
        <x:v>1200.25</x:v>
      </x:c>
      <x:c r="H1025" s="42" t="n">
        <x:v>78917.46</x:v>
      </x:c>
      <x:c r="I1025" s="39" t="n">
        <x:v>46192</x:v>
      </x:c>
    </x:row>
    <x:row r="1026">
      <x:c r="A1026" s="21" t="str">
        <x:v>SYN-0293</x:v>
      </x:c>
      <x:c r="B1026" s="21" t="str">
        <x:v>Synthetic Supplier 0293 LLC</x:v>
      </x:c>
      <x:c r="C1026" s="38" t="str">
        <x:f>"900 000 000 000 293"</x:f>
        <x:v>900 000 000 000 293</x:v>
      </x:c>
      <x:c r="D1026" s="21" t="str">
        <x:v>SYN-0293-INV-03</x:v>
      </x:c>
      <x:c r="E1026" s="39" t="n">
        <x:v>46282</x:v>
      </x:c>
      <x:c r="F1026" s="42" t="n">
        <x:v>32416.14</x:v>
      </x:c>
      <x:c r="G1026" s="42" t="n">
        <x:v>1620.81</x:v>
      </x:c>
      <x:c r="H1026" s="42" t="n">
        <x:v>78917.46</x:v>
      </x:c>
      <x:c r="I1026" s="39" t="n">
        <x:v>46192</x:v>
      </x:c>
    </x:row>
    <x:row r="1027">
      <x:c r="A1027" s="21" t="str">
        <x:v>SYN-0294</x:v>
      </x:c>
      <x:c r="B1027" s="21" t="str">
        <x:v>Synthetic Supplier 0294 LLC</x:v>
      </x:c>
      <x:c r="C1027" s="38" t="str">
        <x:f>"900 000 000 000 294"</x:f>
        <x:v>900 000 000 000 294</x:v>
      </x:c>
      <x:c r="D1027" s="21" t="str">
        <x:v>SYN-0294-INV-01</x:v>
      </x:c>
      <x:c r="E1027" s="39" t="n">
        <x:v>46201</x:v>
      </x:c>
      <x:c r="F1027" s="42" t="n">
        <x:v>15780.61</x:v>
      </x:c>
      <x:c r="G1027" s="42" t="n">
        <x:v>789.03</x:v>
      </x:c>
      <x:c r="H1027" s="42" t="n">
        <x:v>79915.92</x:v>
      </x:c>
      <x:c r="I1027" s="39" t="n">
        <x:v>45858</x:v>
      </x:c>
    </x:row>
    <x:row r="1028">
      <x:c r="A1028" s="21" t="str">
        <x:v>SYN-0294</x:v>
      </x:c>
      <x:c r="B1028" s="21" t="str">
        <x:v>Synthetic Supplier 0294 LLC</x:v>
      </x:c>
      <x:c r="C1028" s="38" t="str">
        <x:f>"900 000 000 000 294"</x:f>
        <x:v>900 000 000 000 294</x:v>
      </x:c>
      <x:c r="D1028" s="21" t="str">
        <x:v>SYN-0294-INV-02</x:v>
      </x:c>
      <x:c r="E1028" s="39" t="n">
        <x:v>46248</x:v>
      </x:c>
      <x:c r="F1028" s="42" t="n">
        <x:v>11485.13</x:v>
      </x:c>
      <x:c r="G1028" s="42" t="n">
        <x:v>574.26</x:v>
      </x:c>
      <x:c r="H1028" s="42" t="n">
        <x:v>79915.92</x:v>
      </x:c>
      <x:c r="I1028" s="39" t="n">
        <x:v>45858</x:v>
      </x:c>
    </x:row>
    <x:row r="1029">
      <x:c r="A1029" s="21" t="str">
        <x:v>SYN-0294</x:v>
      </x:c>
      <x:c r="B1029" s="21" t="str">
        <x:v>Synthetic Supplier 0294 LLC</x:v>
      </x:c>
      <x:c r="C1029" s="38" t="str">
        <x:f>"900 000 000 000 294"</x:f>
        <x:v>900 000 000 000 294</x:v>
      </x:c>
      <x:c r="D1029" s="21" t="str">
        <x:v>SYN-0294-INV-03</x:v>
      </x:c>
      <x:c r="E1029" s="39" t="n">
        <x:v>45935</x:v>
      </x:c>
      <x:c r="F1029" s="42" t="n">
        <x:v>23427.75</x:v>
      </x:c>
      <x:c r="G1029" s="42" t="n">
        <x:v>1171.39</x:v>
      </x:c>
      <x:c r="H1029" s="42" t="n">
        <x:v>79915.92</x:v>
      </x:c>
      <x:c r="I1029" s="39" t="n">
        <x:v>45858</x:v>
      </x:c>
    </x:row>
    <x:row r="1030">
      <x:c r="A1030" s="21" t="str">
        <x:v>SYN-0294</x:v>
      </x:c>
      <x:c r="B1030" s="21" t="str">
        <x:v>Synthetic Supplier 0294 LLC</x:v>
      </x:c>
      <x:c r="C1030" s="38" t="str">
        <x:f>"900 000 000 000 294"</x:f>
        <x:v>900 000 000 000 294</x:v>
      </x:c>
      <x:c r="D1030" s="21" t="str">
        <x:v>SYN-0294-INV-04</x:v>
      </x:c>
      <x:c r="E1030" s="39" t="n">
        <x:v>45982</x:v>
      </x:c>
      <x:c r="F1030" s="42" t="n">
        <x:v>18798.61</x:v>
      </x:c>
      <x:c r="G1030" s="42" t="n">
        <x:v>939.93</x:v>
      </x:c>
      <x:c r="H1030" s="42" t="n">
        <x:v>79915.92</x:v>
      </x:c>
      <x:c r="I1030" s="39" t="n">
        <x:v>45858</x:v>
      </x:c>
    </x:row>
    <x:row r="1031">
      <x:c r="A1031" s="21" t="str">
        <x:v>SYN-0295</x:v>
      </x:c>
      <x:c r="B1031" s="21" t="str">
        <x:v>Synthetic Supplier 0295 LLC</x:v>
      </x:c>
      <x:c r="C1031" s="38" t="str">
        <x:f>"900 000 000 000 295"</x:f>
        <x:v>900 000 000 000 295</x:v>
      </x:c>
      <x:c r="D1031" s="21" t="str">
        <x:v>SYN-0295-INV-01</x:v>
      </x:c>
      <x:c r="E1031" s="39" t="n">
        <x:v>46214</x:v>
      </x:c>
      <x:c r="F1031" s="42" t="n">
        <x:v>11433.59</x:v>
      </x:c>
      <x:c r="G1031" s="42" t="n">
        <x:v>571.68</x:v>
      </x:c>
      <x:c r="H1031" s="42" t="n">
        <x:v>73181.2</x:v>
      </x:c>
      <x:c r="I1031" s="39"/>
    </x:row>
    <x:row r="1032">
      <x:c r="A1032" s="21" t="str">
        <x:v>SYN-0295</x:v>
      </x:c>
      <x:c r="B1032" s="21" t="str">
        <x:v>Synthetic Supplier 0295 LLC</x:v>
      </x:c>
      <x:c r="C1032" s="38" t="str">
        <x:f>"900 000 000 000 295"</x:f>
        <x:v>900 000 000 000 295</x:v>
      </x:c>
      <x:c r="D1032" s="21" t="str">
        <x:v>SYN-0295-INV-02</x:v>
      </x:c>
      <x:c r="E1032" s="39" t="n">
        <x:v>46261</x:v>
      </x:c>
      <x:c r="F1032" s="42" t="n">
        <x:v>15510.21</x:v>
      </x:c>
      <x:c r="G1032" s="42" t="n">
        <x:v>775.51</x:v>
      </x:c>
      <x:c r="H1032" s="42" t="n">
        <x:v>73181.2</x:v>
      </x:c>
      <x:c r="I1032" s="39"/>
    </x:row>
    <x:row r="1033">
      <x:c r="A1033" s="21" t="str">
        <x:v>SYN-0295</x:v>
      </x:c>
      <x:c r="B1033" s="21" t="str">
        <x:v>Synthetic Supplier 0295 LLC</x:v>
      </x:c>
      <x:c r="C1033" s="38" t="str">
        <x:f>"900 000 000 000 295"</x:f>
        <x:v>900 000 000 000 295</x:v>
      </x:c>
      <x:c r="D1033" s="21" t="str">
        <x:v>SYN-0295-INV-03</x:v>
      </x:c>
      <x:c r="E1033" s="39" t="n">
        <x:v>45948</x:v>
      </x:c>
      <x:c r="F1033" s="42" t="n">
        <x:v>13544.4</x:v>
      </x:c>
      <x:c r="G1033" s="42" t="n">
        <x:v>677.22</x:v>
      </x:c>
      <x:c r="H1033" s="42" t="n">
        <x:v>73181.2</x:v>
      </x:c>
      <x:c r="I1033" s="39"/>
    </x:row>
    <x:row r="1034">
      <x:c r="A1034" s="21" t="str">
        <x:v>SYN-0295</x:v>
      </x:c>
      <x:c r="B1034" s="21" t="str">
        <x:v>Synthetic Supplier 0295 LLC</x:v>
      </x:c>
      <x:c r="C1034" s="38" t="str">
        <x:f>"900 000 000 000 295"</x:f>
        <x:v>900 000 000 000 295</x:v>
      </x:c>
      <x:c r="D1034" s="21" t="str">
        <x:v>SYN-0295-INV-04</x:v>
      </x:c>
      <x:c r="E1034" s="39" t="n">
        <x:v>45995</x:v>
      </x:c>
      <x:c r="F1034" s="42" t="n">
        <x:v>20034.02</x:v>
      </x:c>
      <x:c r="G1034" s="42" t="n">
        <x:v>1001.7</x:v>
      </x:c>
      <x:c r="H1034" s="42" t="n">
        <x:v>73181.2</x:v>
      </x:c>
      <x:c r="I1034" s="39"/>
    </x:row>
    <x:row r="1035">
      <x:c r="A1035" s="21" t="str">
        <x:v>SYN-0295</x:v>
      </x:c>
      <x:c r="B1035" s="21" t="str">
        <x:v>Synthetic Supplier 0295 LLC</x:v>
      </x:c>
      <x:c r="C1035" s="38" t="str">
        <x:f>"900 000 000 000 295"</x:f>
        <x:v>900 000 000 000 295</x:v>
      </x:c>
      <x:c r="D1035" s="21" t="str">
        <x:v>SYN-0295-INV-05</x:v>
      </x:c>
      <x:c r="E1035" s="39" t="n">
        <x:v>46042</x:v>
      </x:c>
      <x:c r="F1035" s="42" t="n">
        <x:v>20790.22</x:v>
      </x:c>
      <x:c r="G1035" s="42" t="n">
        <x:v>1039.51</x:v>
      </x:c>
      <x:c r="H1035" s="42" t="n">
        <x:v>73181.2</x:v>
      </x:c>
      <x:c r="I1035" s="39"/>
    </x:row>
    <x:row r="1036">
      <x:c r="A1036" s="21" t="str">
        <x:v>SYN-0296</x:v>
      </x:c>
      <x:c r="B1036" s="21" t="str">
        <x:v>Synthetic Supplier 0296 LLC</x:v>
      </x:c>
      <x:c r="C1036" s="38" t="str">
        <x:f>"900 000 000 000 296"</x:f>
        <x:v>900 000 000 000 296</x:v>
      </x:c>
      <x:c r="D1036" s="21" t="str">
        <x:v>SYN-0296-INV-01</x:v>
      </x:c>
      <x:c r="E1036" s="39" t="n">
        <x:v>46227</x:v>
      </x:c>
      <x:c r="F1036" s="42" t="n">
        <x:v>26237.16</x:v>
      </x:c>
      <x:c r="G1036" s="42" t="n">
        <x:v>1311.86</x:v>
      </x:c>
      <x:c r="H1036" s="42" t="n">
        <x:v>40453.83</x:v>
      </x:c>
      <x:c r="I1036" s="39" t="n">
        <x:v>45922</x:v>
      </x:c>
    </x:row>
    <x:row r="1037">
      <x:c r="A1037" s="21" t="str">
        <x:v>SYN-0296</x:v>
      </x:c>
      <x:c r="B1037" s="21" t="str">
        <x:v>Synthetic Supplier 0296 LLC</x:v>
      </x:c>
      <x:c r="C1037" s="38" t="str">
        <x:f>"900 000 000 000 296"</x:f>
        <x:v>900 000 000 000 296</x:v>
      </x:c>
      <x:c r="D1037" s="21" t="str">
        <x:v>SYN-0296-INV-02</x:v>
      </x:c>
      <x:c r="E1037" s="39" t="n">
        <x:v>46274</x:v>
      </x:c>
      <x:c r="F1037" s="42" t="n">
        <x:v>18711.54</x:v>
      </x:c>
      <x:c r="G1037" s="42" t="n">
        <x:v>935.58</x:v>
      </x:c>
      <x:c r="H1037" s="42" t="n">
        <x:v>40453.83</x:v>
      </x:c>
      <x:c r="I1037" s="39" t="n">
        <x:v>45922</x:v>
      </x:c>
    </x:row>
    <x:row r="1038">
      <x:c r="A1038" s="21" t="str">
        <x:v>SYN-0297</x:v>
      </x:c>
      <x:c r="B1038" s="21" t="str">
        <x:v>Synthetic Supplier 0297 LLC</x:v>
      </x:c>
      <x:c r="C1038" s="38" t="str">
        <x:f>"900 000 000 000 297"</x:f>
        <x:v>900 000 000 000 297</x:v>
      </x:c>
      <x:c r="D1038" s="21" t="str">
        <x:v>SYN-0297-INV-01</x:v>
      </x:c>
      <x:c r="E1038" s="39" t="n">
        <x:v>46240</x:v>
      </x:c>
      <x:c r="F1038" s="42" t="n">
        <x:v>8978.55</x:v>
      </x:c>
      <x:c r="G1038" s="42" t="n">
        <x:v>448.93</x:v>
      </x:c>
      <x:c r="H1038" s="42" t="n">
        <x:v>34618.85</x:v>
      </x:c>
      <x:c r="I1038" s="39" t="n">
        <x:v>46045</x:v>
      </x:c>
    </x:row>
    <x:row r="1039">
      <x:c r="A1039" s="21" t="str">
        <x:v>SYN-0297</x:v>
      </x:c>
      <x:c r="B1039" s="21" t="str">
        <x:v>Synthetic Supplier 0297 LLC</x:v>
      </x:c>
      <x:c r="C1039" s="38" t="str">
        <x:f>"900 000 000 000 297"</x:f>
        <x:v>900 000 000 000 297</x:v>
      </x:c>
      <x:c r="D1039" s="21" t="str">
        <x:v>SYN-0297-INV-02</x:v>
      </x:c>
      <x:c r="E1039" s="39" t="n">
        <x:v>46287</x:v>
      </x:c>
      <x:c r="F1039" s="42" t="n">
        <x:v>14187.13</x:v>
      </x:c>
      <x:c r="G1039" s="42" t="n">
        <x:v>709.36</x:v>
      </x:c>
      <x:c r="H1039" s="42" t="n">
        <x:v>34618.85</x:v>
      </x:c>
      <x:c r="I1039" s="39" t="n">
        <x:v>46045</x:v>
      </x:c>
    </x:row>
    <x:row r="1040">
      <x:c r="A1040" s="21" t="str">
        <x:v>SYN-0297</x:v>
      </x:c>
      <x:c r="B1040" s="21" t="str">
        <x:v>Synthetic Supplier 0297 LLC</x:v>
      </x:c>
      <x:c r="C1040" s="38" t="str">
        <x:f>"900 000 000 000 297"</x:f>
        <x:v>900 000 000 000 297</x:v>
      </x:c>
      <x:c r="D1040" s="21" t="str">
        <x:v>SYN-0297-INV-03</x:v>
      </x:c>
      <x:c r="E1040" s="39" t="n">
        <x:v>45974</x:v>
      </x:c>
      <x:c r="F1040" s="42" t="n">
        <x:v>15299.71</x:v>
      </x:c>
      <x:c r="G1040" s="42" t="n">
        <x:v>764.99</x:v>
      </x:c>
      <x:c r="H1040" s="42" t="n">
        <x:v>34618.85</x:v>
      </x:c>
      <x:c r="I1040" s="39" t="n">
        <x:v>46045</x:v>
      </x:c>
    </x:row>
    <x:row r="1041">
      <x:c r="A1041" s="21" t="str">
        <x:v>SYN-0298</x:v>
      </x:c>
      <x:c r="B1041" s="21" t="str">
        <x:v>Synthetic Supplier 0298 LLC</x:v>
      </x:c>
      <x:c r="C1041" s="38" t="str">
        <x:f>"900 000 000 000 298"</x:f>
        <x:v>900 000 000 000 298</x:v>
      </x:c>
      <x:c r="D1041" s="21" t="str">
        <x:v>SYN-0298-INV-01</x:v>
      </x:c>
      <x:c r="E1041" s="39" t="n">
        <x:v>46253</x:v>
      </x:c>
      <x:c r="F1041" s="42" t="n">
        <x:v>9984.79</x:v>
      </x:c>
      <x:c r="G1041" s="42" t="n">
        <x:v>499.24</x:v>
      </x:c>
      <x:c r="H1041" s="42" t="n">
        <x:v>46275.52</x:v>
      </x:c>
      <x:c r="I1041" s="39" t="n">
        <x:v>45712</x:v>
      </x:c>
    </x:row>
    <x:row r="1042">
      <x:c r="A1042" s="21" t="str">
        <x:v>SYN-0298</x:v>
      </x:c>
      <x:c r="B1042" s="21" t="str">
        <x:v>Synthetic Supplier 0298 LLC</x:v>
      </x:c>
      <x:c r="C1042" s="38" t="str">
        <x:f>"900 000 000 000 298"</x:f>
        <x:v>900 000 000 000 298</x:v>
      </x:c>
      <x:c r="D1042" s="21" t="str">
        <x:v>SYN-0298-INV-02</x:v>
      </x:c>
      <x:c r="E1042" s="39" t="n">
        <x:v>45940</x:v>
      </x:c>
      <x:c r="F1042" s="42" t="n">
        <x:v>15257.41</x:v>
      </x:c>
      <x:c r="G1042" s="42" t="n">
        <x:v>762.87</x:v>
      </x:c>
      <x:c r="H1042" s="42" t="n">
        <x:v>46275.52</x:v>
      </x:c>
      <x:c r="I1042" s="39" t="n">
        <x:v>45712</x:v>
      </x:c>
    </x:row>
    <x:row r="1043">
      <x:c r="A1043" s="21" t="str">
        <x:v>SYN-0298</x:v>
      </x:c>
      <x:c r="B1043" s="21" t="str">
        <x:v>Synthetic Supplier 0298 LLC</x:v>
      </x:c>
      <x:c r="C1043" s="38" t="str">
        <x:f>"900 000 000 000 298"</x:f>
        <x:v>900 000 000 000 298</x:v>
      </x:c>
      <x:c r="D1043" s="21" t="str">
        <x:v>SYN-0298-INV-03</x:v>
      </x:c>
      <x:c r="E1043" s="39" t="n">
        <x:v>45987</x:v>
      </x:c>
      <x:c r="F1043" s="42" t="n">
        <x:v>12795.46</x:v>
      </x:c>
      <x:c r="G1043" s="42" t="n">
        <x:v>639.77</x:v>
      </x:c>
      <x:c r="H1043" s="42" t="n">
        <x:v>46275.52</x:v>
      </x:c>
      <x:c r="I1043" s="39" t="n">
        <x:v>45712</x:v>
      </x:c>
    </x:row>
    <x:row r="1044">
      <x:c r="A1044" s="21" t="str">
        <x:v>SYN-0298</x:v>
      </x:c>
      <x:c r="B1044" s="21" t="str">
        <x:v>Synthetic Supplier 0298 LLC</x:v>
      </x:c>
      <x:c r="C1044" s="38" t="str">
        <x:f>"900 000 000 000 298"</x:f>
        <x:v>900 000 000 000 298</x:v>
      </x:c>
      <x:c r="D1044" s="21" t="str">
        <x:v>SYN-0298-INV-04</x:v>
      </x:c>
      <x:c r="E1044" s="39" t="n">
        <x:v>46034</x:v>
      </x:c>
      <x:c r="F1044" s="42" t="n">
        <x:v>13379.59</x:v>
      </x:c>
      <x:c r="G1044" s="42" t="n">
        <x:v>668.98</x:v>
      </x:c>
      <x:c r="H1044" s="42" t="n">
        <x:v>46275.52</x:v>
      </x:c>
      <x:c r="I1044" s="39" t="n">
        <x:v>45712</x:v>
      </x:c>
    </x:row>
    <x:row r="1045">
      <x:c r="A1045" s="21" t="str">
        <x:v>SYN-0299</x:v>
      </x:c>
      <x:c r="B1045" s="21" t="str">
        <x:v>Synthetic Supplier 0299 LLC</x:v>
      </x:c>
      <x:c r="C1045" s="38" t="str">
        <x:f>"900 000 000 000 299"</x:f>
        <x:v>900 000 000 000 299</x:v>
      </x:c>
      <x:c r="D1045" s="21" t="str">
        <x:v>SYN-0299-INV-01</x:v>
      </x:c>
      <x:c r="E1045" s="39" t="n">
        <x:v>46266</x:v>
      </x:c>
      <x:c r="F1045" s="42" t="n">
        <x:v>12492.65</x:v>
      </x:c>
      <x:c r="G1045" s="42" t="n">
        <x:v>624.63</x:v>
      </x:c>
      <x:c r="H1045" s="42" t="n">
        <x:v>58228.51</x:v>
      </x:c>
      <x:c r="I1045" s="39" t="n">
        <x:v>46106</x:v>
      </x:c>
    </x:row>
    <x:row r="1046">
      <x:c r="A1046" s="21" t="str">
        <x:v>SYN-0299</x:v>
      </x:c>
      <x:c r="B1046" s="21" t="str">
        <x:v>Synthetic Supplier 0299 LLC</x:v>
      </x:c>
      <x:c r="C1046" s="38" t="str">
        <x:f>"900 000 000 000 299"</x:f>
        <x:v>900 000 000 000 299</x:v>
      </x:c>
      <x:c r="D1046" s="21" t="str">
        <x:v>SYN-0299-INV-02</x:v>
      </x:c>
      <x:c r="E1046" s="39" t="n">
        <x:v>45953</x:v>
      </x:c>
      <x:c r="F1046" s="42" t="n">
        <x:v>15490.88</x:v>
      </x:c>
      <x:c r="G1046" s="42" t="n">
        <x:v>774.54</x:v>
      </x:c>
      <x:c r="H1046" s="42" t="n">
        <x:v>58228.51</x:v>
      </x:c>
      <x:c r="I1046" s="39" t="n">
        <x:v>46106</x:v>
      </x:c>
    </x:row>
    <x:row r="1047">
      <x:c r="A1047" s="21" t="str">
        <x:v>SYN-0299</x:v>
      </x:c>
      <x:c r="B1047" s="21" t="str">
        <x:v>Synthetic Supplier 0299 LLC</x:v>
      </x:c>
      <x:c r="C1047" s="38" t="str">
        <x:f>"900 000 000 000 299"</x:f>
        <x:v>900 000 000 000 299</x:v>
      </x:c>
      <x:c r="D1047" s="21" t="str">
        <x:v>SYN-0299-INV-03</x:v>
      </x:c>
      <x:c r="E1047" s="39" t="n">
        <x:v>46000</x:v>
      </x:c>
      <x:c r="F1047" s="42" t="n">
        <x:v>14235.55</x:v>
      </x:c>
      <x:c r="G1047" s="42" t="n">
        <x:v>711.78</x:v>
      </x:c>
      <x:c r="H1047" s="42" t="n">
        <x:v>58228.51</x:v>
      </x:c>
      <x:c r="I1047" s="39" t="n">
        <x:v>46106</x:v>
      </x:c>
    </x:row>
    <x:row r="1048">
      <x:c r="A1048" s="21" t="str">
        <x:v>SYN-0299</x:v>
      </x:c>
      <x:c r="B1048" s="21" t="str">
        <x:v>Synthetic Supplier 0299 LLC</x:v>
      </x:c>
      <x:c r="C1048" s="38" t="str">
        <x:f>"900 000 000 000 299"</x:f>
        <x:v>900 000 000 000 299</x:v>
      </x:c>
      <x:c r="D1048" s="21" t="str">
        <x:v>SYN-0299-INV-04</x:v>
      </x:c>
      <x:c r="E1048" s="39" t="n">
        <x:v>46047</x:v>
      </x:c>
      <x:c r="F1048" s="42" t="n">
        <x:v>7902.04</x:v>
      </x:c>
      <x:c r="G1048" s="42" t="n">
        <x:v>395.1</x:v>
      </x:c>
      <x:c r="H1048" s="42" t="n">
        <x:v>58228.51</x:v>
      </x:c>
      <x:c r="I1048" s="39" t="n">
        <x:v>46106</x:v>
      </x:c>
    </x:row>
    <x:row r="1049">
      <x:c r="A1049" s="21" t="str">
        <x:v>SYN-0299</x:v>
      </x:c>
      <x:c r="B1049" s="21" t="str">
        <x:v>Synthetic Supplier 0299 LLC</x:v>
      </x:c>
      <x:c r="C1049" s="38" t="str">
        <x:f>"900 000 000 000 299"</x:f>
        <x:v>900 000 000 000 299</x:v>
      </x:c>
      <x:c r="D1049" s="21" t="str">
        <x:v>SYN-0299-INV-05</x:v>
      </x:c>
      <x:c r="E1049" s="39" t="n">
        <x:v>46094</x:v>
      </x:c>
      <x:c r="F1049" s="42" t="n">
        <x:v>14577.23</x:v>
      </x:c>
      <x:c r="G1049" s="42" t="n">
        <x:v>728.86</x:v>
      </x:c>
      <x:c r="H1049" s="42" t="n">
        <x:v>58228.51</x:v>
      </x:c>
      <x:c r="I1049" s="39" t="n">
        <x:v>46106</x:v>
      </x:c>
    </x:row>
    <x:row r="1050">
      <x:c r="A1050" s="21" t="str">
        <x:v>SYN-0300</x:v>
      </x:c>
      <x:c r="B1050" s="21" t="str">
        <x:v>Synthetic Supplier 0300 LLC</x:v>
      </x:c>
      <x:c r="C1050" s="38" t="str">
        <x:f>"900 000 000 000 300"</x:f>
        <x:v>900 000 000 000 300</x:v>
      </x:c>
      <x:c r="D1050" s="21" t="str">
        <x:v>SYN-0300-INV-01</x:v>
      </x:c>
      <x:c r="E1050" s="39" t="n">
        <x:v>46279</x:v>
      </x:c>
      <x:c r="F1050" s="42" t="n">
        <x:v>24325.48</x:v>
      </x:c>
      <x:c r="G1050" s="42" t="n">
        <x:v>1216.27</x:v>
      </x:c>
      <x:c r="H1050" s="42" t="n">
        <x:v>41128.66</x:v>
      </x:c>
      <x:c r="I1050" s="39"/>
    </x:row>
    <x:row r="1051">
      <x:c r="A1051" s="21" t="str">
        <x:v>SYN-0300</x:v>
      </x:c>
      <x:c r="B1051" s="21" t="str">
        <x:v>Synthetic Supplier 0300 LLC</x:v>
      </x:c>
      <x:c r="C1051" s="38" t="str">
        <x:f>"900 000 000 000 300"</x:f>
        <x:v>900 000 000 000 300</x:v>
      </x:c>
      <x:c r="D1051" s="21" t="str">
        <x:v>SYN-0300-INV-02</x:v>
      </x:c>
      <x:c r="E1051" s="39" t="n">
        <x:v>45966</x:v>
      </x:c>
      <x:c r="F1051" s="42" t="n">
        <x:v>21373.03</x:v>
      </x:c>
      <x:c r="G1051" s="42" t="n">
        <x:v>1068.65</x:v>
      </x:c>
      <x:c r="H1051" s="42" t="n">
        <x:v>41128.66</x:v>
      </x:c>
      <x:c r="I1051" s="39"/>
    </x:row>
    <x:row r="1052">
      <x:c r="A1052" s="21" t="str">
        <x:v>SYN-0301</x:v>
      </x:c>
      <x:c r="B1052" s="21" t="str">
        <x:v>Synthetic Supplier 0301 LLC</x:v>
      </x:c>
      <x:c r="C1052" s="38" t="str">
        <x:f>"900 000 000 000 301"</x:f>
        <x:v>900 000 000 000 301</x:v>
      </x:c>
      <x:c r="D1052" s="21" t="str">
        <x:v>SYN-0301-INV-01</x:v>
      </x:c>
      <x:c r="E1052" s="39" t="n">
        <x:v>45932</x:v>
      </x:c>
      <x:c r="F1052" s="42" t="n">
        <x:v>18351.88</x:v>
      </x:c>
      <x:c r="G1052" s="42" t="n">
        <x:v>917.59</x:v>
      </x:c>
      <x:c r="H1052" s="42" t="n">
        <x:v>51279.18</x:v>
      </x:c>
      <x:c r="I1052" s="39" t="n">
        <x:v>46144</x:v>
      </x:c>
    </x:row>
    <x:row r="1053">
      <x:c r="A1053" s="21" t="str">
        <x:v>SYN-0301</x:v>
      </x:c>
      <x:c r="B1053" s="21" t="str">
        <x:v>Synthetic Supplier 0301 LLC</x:v>
      </x:c>
      <x:c r="C1053" s="38" t="str">
        <x:f>"900 000 000 000 301"</x:f>
        <x:v>900 000 000 000 301</x:v>
      </x:c>
      <x:c r="D1053" s="21" t="str">
        <x:v>SYN-0301-INV-02</x:v>
      </x:c>
      <x:c r="E1053" s="39" t="n">
        <x:v>45979</x:v>
      </x:c>
      <x:c r="F1053" s="42" t="n">
        <x:v>9326.8</x:v>
      </x:c>
      <x:c r="G1053" s="42" t="n">
        <x:v>466.34</x:v>
      </x:c>
      <x:c r="H1053" s="42" t="n">
        <x:v>51279.18</x:v>
      </x:c>
      <x:c r="I1053" s="39" t="n">
        <x:v>46144</x:v>
      </x:c>
    </x:row>
    <x:row r="1054">
      <x:c r="A1054" s="21" t="str">
        <x:v>SYN-0301</x:v>
      </x:c>
      <x:c r="B1054" s="21" t="str">
        <x:v>Synthetic Supplier 0301 LLC</x:v>
      </x:c>
      <x:c r="C1054" s="38" t="str">
        <x:f>"900 000 000 000 301"</x:f>
        <x:v>900 000 000 000 301</x:v>
      </x:c>
      <x:c r="D1054" s="21" t="str">
        <x:v>SYN-0301-INV-03</x:v>
      </x:c>
      <x:c r="E1054" s="39" t="n">
        <x:v>46026</x:v>
      </x:c>
      <x:c r="F1054" s="42" t="n">
        <x:v>16911.91</x:v>
      </x:c>
      <x:c r="G1054" s="42" t="n">
        <x:v>845.6</x:v>
      </x:c>
      <x:c r="H1054" s="42" t="n">
        <x:v>51279.18</x:v>
      </x:c>
      <x:c r="I1054" s="39" t="n">
        <x:v>46144</x:v>
      </x:c>
    </x:row>
    <x:row r="1055">
      <x:c r="A1055" s="21" t="str">
        <x:v>SYN-0302</x:v>
      </x:c>
      <x:c r="B1055" s="21" t="str">
        <x:v>Synthetic Supplier 0302 LLC</x:v>
      </x:c>
      <x:c r="C1055" s="38" t="str">
        <x:f>"900 000 000 000 302"</x:f>
        <x:v>900 000 000 000 302</x:v>
      </x:c>
      <x:c r="D1055" s="21" t="str">
        <x:v>SYN-0302-INV-01</x:v>
      </x:c>
      <x:c r="E1055" s="39" t="n">
        <x:v>45945</x:v>
      </x:c>
      <x:c r="F1055" s="42" t="n">
        <x:v>11485.94</x:v>
      </x:c>
      <x:c r="G1055" s="42" t="n">
        <x:v>574.3</x:v>
      </x:c>
      <x:c r="H1055" s="42" t="n">
        <x:v>39808.69</x:v>
      </x:c>
      <x:c r="I1055" s="39" t="n">
        <x:v>45811</x:v>
      </x:c>
    </x:row>
    <x:row r="1056">
      <x:c r="A1056" s="21" t="str">
        <x:v>SYN-0302</x:v>
      </x:c>
      <x:c r="B1056" s="21" t="str">
        <x:v>Synthetic Supplier 0302 LLC</x:v>
      </x:c>
      <x:c r="C1056" s="38" t="str">
        <x:f>"900 000 000 000 302"</x:f>
        <x:v>900 000 000 000 302</x:v>
      </x:c>
      <x:c r="D1056" s="21" t="str">
        <x:v>SYN-0302-INV-02</x:v>
      </x:c>
      <x:c r="E1056" s="39" t="n">
        <x:v>45992</x:v>
      </x:c>
      <x:c r="F1056" s="42" t="n">
        <x:v>14027.92</x:v>
      </x:c>
      <x:c r="G1056" s="42" t="n">
        <x:v>701.4</x:v>
      </x:c>
      <x:c r="H1056" s="42" t="n">
        <x:v>39808.69</x:v>
      </x:c>
      <x:c r="I1056" s="39" t="n">
        <x:v>45811</x:v>
      </x:c>
    </x:row>
    <x:row r="1057">
      <x:c r="A1057" s="21" t="str">
        <x:v>SYN-0302</x:v>
      </x:c>
      <x:c r="B1057" s="21" t="str">
        <x:v>Synthetic Supplier 0302 LLC</x:v>
      </x:c>
      <x:c r="C1057" s="38" t="str">
        <x:f>"900 000 000 000 302"</x:f>
        <x:v>900 000 000 000 302</x:v>
      </x:c>
      <x:c r="D1057" s="21" t="str">
        <x:v>SYN-0302-INV-03</x:v>
      </x:c>
      <x:c r="E1057" s="39" t="n">
        <x:v>46039</x:v>
      </x:c>
      <x:c r="F1057" s="42" t="n">
        <x:v>11642.4</x:v>
      </x:c>
      <x:c r="G1057" s="42" t="n">
        <x:v>582.12</x:v>
      </x:c>
      <x:c r="H1057" s="42" t="n">
        <x:v>39808.69</x:v>
      </x:c>
      <x:c r="I1057" s="39" t="n">
        <x:v>45811</x:v>
      </x:c>
    </x:row>
    <x:row r="1058">
      <x:c r="A1058" s="21" t="str">
        <x:v>SYN-0302</x:v>
      </x:c>
      <x:c r="B1058" s="21" t="str">
        <x:v>Synthetic Supplier 0302 LLC</x:v>
      </x:c>
      <x:c r="C1058" s="38" t="str">
        <x:f>"900 000 000 000 302"</x:f>
        <x:v>900 000 000 000 302</x:v>
      </x:c>
      <x:c r="D1058" s="21" t="str">
        <x:v>SYN-0302-INV-04</x:v>
      </x:c>
      <x:c r="E1058" s="39" t="n">
        <x:v>46086</x:v>
      </x:c>
      <x:c r="F1058" s="42" t="n">
        <x:v>7075.62</x:v>
      </x:c>
      <x:c r="G1058" s="42" t="n">
        <x:v>353.78</x:v>
      </x:c>
      <x:c r="H1058" s="42" t="n">
        <x:v>39808.69</x:v>
      </x:c>
      <x:c r="I1058" s="39" t="n">
        <x:v>45811</x:v>
      </x:c>
    </x:row>
    <x:row r="1059">
      <x:c r="A1059" s="21" t="str">
        <x:v>SYN-0303</x:v>
      </x:c>
      <x:c r="B1059" s="21" t="str">
        <x:v>Synthetic Supplier 0303 LLC</x:v>
      </x:c>
      <x:c r="C1059" s="38" t="str">
        <x:f>"900 000 000 000 303"</x:f>
        <x:v>900 000 000 000 303</x:v>
      </x:c>
      <x:c r="D1059" s="21" t="str">
        <x:v>SYN-0303-INV-01</x:v>
      </x:c>
      <x:c r="E1059" s="39" t="n">
        <x:v>45958</x:v>
      </x:c>
      <x:c r="F1059" s="42" t="n">
        <x:v>8050.15</x:v>
      </x:c>
      <x:c r="G1059" s="42" t="n">
        <x:v>402.51</x:v>
      </x:c>
      <x:c r="H1059" s="42" t="n">
        <x:v>41529.01</x:v>
      </x:c>
      <x:c r="I1059" s="39" t="n">
        <x:v>46207</x:v>
      </x:c>
    </x:row>
    <x:row r="1060">
      <x:c r="A1060" s="21" t="str">
        <x:v>SYN-0303</x:v>
      </x:c>
      <x:c r="B1060" s="21" t="str">
        <x:v>Synthetic Supplier 0303 LLC</x:v>
      </x:c>
      <x:c r="C1060" s="38" t="str">
        <x:f>"900 000 000 000 303"</x:f>
        <x:v>900 000 000 000 303</x:v>
      </x:c>
      <x:c r="D1060" s="21" t="str">
        <x:v>SYN-0303-INV-02</x:v>
      </x:c>
      <x:c r="E1060" s="39" t="n">
        <x:v>46005</x:v>
      </x:c>
      <x:c r="F1060" s="42" t="n">
        <x:v>11223.42</x:v>
      </x:c>
      <x:c r="G1060" s="42" t="n">
        <x:v>561.17</x:v>
      </x:c>
      <x:c r="H1060" s="42" t="n">
        <x:v>41529.01</x:v>
      </x:c>
      <x:c r="I1060" s="39" t="n">
        <x:v>46207</x:v>
      </x:c>
    </x:row>
    <x:row r="1061">
      <x:c r="A1061" s="21" t="str">
        <x:v>SYN-0303</x:v>
      </x:c>
      <x:c r="B1061" s="21" t="str">
        <x:v>Synthetic Supplier 0303 LLC</x:v>
      </x:c>
      <x:c r="C1061" s="38" t="str">
        <x:f>"900 000 000 000 303"</x:f>
        <x:v>900 000 000 000 303</x:v>
      </x:c>
      <x:c r="D1061" s="21" t="str">
        <x:v>SYN-0303-INV-03</x:v>
      </x:c>
      <x:c r="E1061" s="39" t="n">
        <x:v>46052</x:v>
      </x:c>
      <x:c r="F1061" s="42" t="n">
        <x:v>10432.45</x:v>
      </x:c>
      <x:c r="G1061" s="42" t="n">
        <x:v>521.62</x:v>
      </x:c>
      <x:c r="H1061" s="42" t="n">
        <x:v>41529.01</x:v>
      </x:c>
      <x:c r="I1061" s="39" t="n">
        <x:v>46207</x:v>
      </x:c>
    </x:row>
    <x:row r="1062">
      <x:c r="A1062" s="21" t="str">
        <x:v>SYN-0303</x:v>
      </x:c>
      <x:c r="B1062" s="21" t="str">
        <x:v>Synthetic Supplier 0303 LLC</x:v>
      </x:c>
      <x:c r="C1062" s="38" t="str">
        <x:f>"900 000 000 000 303"</x:f>
        <x:v>900 000 000 000 303</x:v>
      </x:c>
      <x:c r="D1062" s="21" t="str">
        <x:v>SYN-0303-INV-04</x:v>
      </x:c>
      <x:c r="E1062" s="39" t="n">
        <x:v>46099</x:v>
      </x:c>
      <x:c r="F1062" s="42" t="n">
        <x:v>10697.11</x:v>
      </x:c>
      <x:c r="G1062" s="42" t="n">
        <x:v>534.86</x:v>
      </x:c>
      <x:c r="H1062" s="42" t="n">
        <x:v>41529.01</x:v>
      </x:c>
      <x:c r="I1062" s="39" t="n">
        <x:v>46207</x:v>
      </x:c>
    </x:row>
    <x:row r="1063">
      <x:c r="A1063" s="21" t="str">
        <x:v>SYN-0303</x:v>
      </x:c>
      <x:c r="B1063" s="21" t="str">
        <x:v>Synthetic Supplier 0303 LLC</x:v>
      </x:c>
      <x:c r="C1063" s="38" t="str">
        <x:f>"900 000 000 000 303"</x:f>
        <x:v>900 000 000 000 303</x:v>
      </x:c>
      <x:c r="D1063" s="21" t="str">
        <x:v>SYN-0303-INV-05</x:v>
      </x:c>
      <x:c r="E1063" s="39" t="n">
        <x:v>46146</x:v>
      </x:c>
      <x:c r="F1063" s="42" t="n">
        <x:v>5740.21</x:v>
      </x:c>
      <x:c r="G1063" s="42" t="n">
        <x:v>287.01</x:v>
      </x:c>
      <x:c r="H1063" s="42" t="n">
        <x:v>41529.01</x:v>
      </x:c>
      <x:c r="I1063" s="39" t="n">
        <x:v>46207</x:v>
      </x:c>
    </x:row>
    <x:row r="1064">
      <x:c r="A1064" s="21" t="str">
        <x:v>SYN-0304</x:v>
      </x:c>
      <x:c r="B1064" s="21" t="str">
        <x:v>Synthetic Supplier 0304 LLC</x:v>
      </x:c>
      <x:c r="C1064" s="38" t="str">
        <x:f>"900 000 000 000 304"</x:f>
        <x:v>900 000 000 000 304</x:v>
      </x:c>
      <x:c r="D1064" s="21" t="str">
        <x:v>SYN-0304-INV-01</x:v>
      </x:c>
      <x:c r="E1064" s="39" t="n">
        <x:v>45971</x:v>
      </x:c>
      <x:c r="F1064" s="42" t="n">
        <x:v>33085.65</x:v>
      </x:c>
      <x:c r="G1064" s="42" t="n">
        <x:v>1654.28</x:v>
      </x:c>
      <x:c r="H1064" s="42" t="n">
        <x:v>68887.06</x:v>
      </x:c>
      <x:c r="I1064" s="39" t="n">
        <x:v>45874</x:v>
      </x:c>
    </x:row>
    <x:row r="1065">
      <x:c r="A1065" s="21" t="str">
        <x:v>SYN-0304</x:v>
      </x:c>
      <x:c r="B1065" s="21" t="str">
        <x:v>Synthetic Supplier 0304 LLC</x:v>
      </x:c>
      <x:c r="C1065" s="38" t="str">
        <x:f>"900 000 000 000 304"</x:f>
        <x:v>900 000 000 000 304</x:v>
      </x:c>
      <x:c r="D1065" s="21" t="str">
        <x:v>SYN-0304-INV-02</x:v>
      </x:c>
      <x:c r="E1065" s="39" t="n">
        <x:v>46018</x:v>
      </x:c>
      <x:c r="F1065" s="42" t="n">
        <x:v>43455.53</x:v>
      </x:c>
      <x:c r="G1065" s="42" t="n">
        <x:v>2172.78</x:v>
      </x:c>
      <x:c r="H1065" s="42" t="n">
        <x:v>68887.06</x:v>
      </x:c>
      <x:c r="I1065" s="39" t="n">
        <x:v>45874</x:v>
      </x:c>
    </x:row>
    <x:row r="1066">
      <x:c r="A1066" s="21" t="str">
        <x:v>SYN-0305</x:v>
      </x:c>
      <x:c r="B1066" s="21" t="str">
        <x:v>Synthetic Supplier 0305 LLC</x:v>
      </x:c>
      <x:c r="C1066" s="38" t="str">
        <x:f>"900 000 000 000 305"</x:f>
        <x:v>900 000 000 000 305</x:v>
      </x:c>
      <x:c r="D1066" s="21" t="str">
        <x:v>SYN-0305-INV-01</x:v>
      </x:c>
      <x:c r="E1066" s="39" t="n">
        <x:v>45984</x:v>
      </x:c>
      <x:c r="F1066" s="42" t="n">
        <x:v>26760.05</x:v>
      </x:c>
      <x:c r="G1066" s="42" t="n">
        <x:v>1338</x:v>
      </x:c>
      <x:c r="H1066" s="42" t="n">
        <x:v>72913.24</x:v>
      </x:c>
      <x:c r="I1066" s="39"/>
    </x:row>
    <x:row r="1067">
      <x:c r="A1067" s="21" t="str">
        <x:v>SYN-0305</x:v>
      </x:c>
      <x:c r="B1067" s="21" t="str">
        <x:v>Synthetic Supplier 0305 LLC</x:v>
      </x:c>
      <x:c r="C1067" s="38" t="str">
        <x:f>"900 000 000 000 305"</x:f>
        <x:v>900 000 000 000 305</x:v>
      </x:c>
      <x:c r="D1067" s="21" t="str">
        <x:v>SYN-0305-INV-02</x:v>
      </x:c>
      <x:c r="E1067" s="39" t="n">
        <x:v>46031</x:v>
      </x:c>
      <x:c r="F1067" s="42" t="n">
        <x:v>18622.83</x:v>
      </x:c>
      <x:c r="G1067" s="42" t="n">
        <x:v>931.14</x:v>
      </x:c>
      <x:c r="H1067" s="42" t="n">
        <x:v>72913.24</x:v>
      </x:c>
      <x:c r="I1067" s="39"/>
    </x:row>
    <x:row r="1068">
      <x:c r="A1068" s="21" t="str">
        <x:v>SYN-0305</x:v>
      </x:c>
      <x:c r="B1068" s="21" t="str">
        <x:v>Synthetic Supplier 0305 LLC</x:v>
      </x:c>
      <x:c r="C1068" s="38" t="str">
        <x:f>"900 000 000 000 305"</x:f>
        <x:v>900 000 000 000 305</x:v>
      </x:c>
      <x:c r="D1068" s="21" t="str">
        <x:v>SYN-0305-INV-03</x:v>
      </x:c>
      <x:c r="E1068" s="39" t="n">
        <x:v>46078</x:v>
      </x:c>
      <x:c r="F1068" s="42" t="n">
        <x:v>35631.83</x:v>
      </x:c>
      <x:c r="G1068" s="42" t="n">
        <x:v>1781.59</x:v>
      </x:c>
      <x:c r="H1068" s="42" t="n">
        <x:v>72913.24</x:v>
      </x:c>
      <x:c r="I1068" s="39"/>
    </x:row>
    <x:row r="1069">
      <x:c r="A1069" s="21" t="str">
        <x:v>SYN-0306</x:v>
      </x:c>
      <x:c r="B1069" s="21" t="str">
        <x:v>Synthetic Supplier 0306 LLC</x:v>
      </x:c>
      <x:c r="C1069" s="38" t="str">
        <x:f>"900 000 000 000 306"</x:f>
        <x:v>900 000 000 000 306</x:v>
      </x:c>
      <x:c r="D1069" s="21" t="str">
        <x:v>SYN-0306-INV-01</x:v>
      </x:c>
      <x:c r="E1069" s="39" t="n">
        <x:v>45997</x:v>
      </x:c>
      <x:c r="F1069" s="42" t="n">
        <x:v>19500.74</x:v>
      </x:c>
      <x:c r="G1069" s="42" t="n">
        <x:v>975.04</x:v>
      </x:c>
      <x:c r="H1069" s="42" t="n">
        <x:v>72319.16</x:v>
      </x:c>
      <x:c r="I1069" s="39" t="n">
        <x:v>45664</x:v>
      </x:c>
    </x:row>
    <x:row r="1070">
      <x:c r="A1070" s="21" t="str">
        <x:v>SYN-0306</x:v>
      </x:c>
      <x:c r="B1070" s="21" t="str">
        <x:v>Synthetic Supplier 0306 LLC</x:v>
      </x:c>
      <x:c r="C1070" s="38" t="str">
        <x:f>"900 000 000 000 306"</x:f>
        <x:v>900 000 000 000 306</x:v>
      </x:c>
      <x:c r="D1070" s="21" t="str">
        <x:v>SYN-0306-INV-02</x:v>
      </x:c>
      <x:c r="E1070" s="39" t="n">
        <x:v>46044</x:v>
      </x:c>
      <x:c r="F1070" s="42" t="n">
        <x:v>18175.96</x:v>
      </x:c>
      <x:c r="G1070" s="42" t="n">
        <x:v>908.8</x:v>
      </x:c>
      <x:c r="H1070" s="42" t="n">
        <x:v>72319.16</x:v>
      </x:c>
      <x:c r="I1070" s="39" t="n">
        <x:v>45664</x:v>
      </x:c>
    </x:row>
    <x:row r="1071">
      <x:c r="A1071" s="21" t="str">
        <x:v>SYN-0306</x:v>
      </x:c>
      <x:c r="B1071" s="21" t="str">
        <x:v>Synthetic Supplier 0306 LLC</x:v>
      </x:c>
      <x:c r="C1071" s="38" t="str">
        <x:f>"900 000 000 000 306"</x:f>
        <x:v>900 000 000 000 306</x:v>
      </x:c>
      <x:c r="D1071" s="21" t="str">
        <x:v>SYN-0306-INV-03</x:v>
      </x:c>
      <x:c r="E1071" s="39" t="n">
        <x:v>46091</x:v>
      </x:c>
      <x:c r="F1071" s="42" t="n">
        <x:v>20897.48</x:v>
      </x:c>
      <x:c r="G1071" s="42" t="n">
        <x:v>1044.87</x:v>
      </x:c>
      <x:c r="H1071" s="42" t="n">
        <x:v>72319.16</x:v>
      </x:c>
      <x:c r="I1071" s="39" t="n">
        <x:v>45664</x:v>
      </x:c>
    </x:row>
    <x:row r="1072">
      <x:c r="A1072" s="21" t="str">
        <x:v>SYN-0306</x:v>
      </x:c>
      <x:c r="B1072" s="21" t="str">
        <x:v>Synthetic Supplier 0306 LLC</x:v>
      </x:c>
      <x:c r="C1072" s="38" t="str">
        <x:f>"900 000 000 000 306"</x:f>
        <x:v>900 000 000 000 306</x:v>
      </x:c>
      <x:c r="D1072" s="21" t="str">
        <x:v>SYN-0306-INV-04</x:v>
      </x:c>
      <x:c r="E1072" s="39" t="n">
        <x:v>46138</x:v>
      </x:c>
      <x:c r="F1072" s="42" t="n">
        <x:v>21780.43</x:v>
      </x:c>
      <x:c r="G1072" s="42" t="n">
        <x:v>1089.02</x:v>
      </x:c>
      <x:c r="H1072" s="42" t="n">
        <x:v>72319.16</x:v>
      </x:c>
      <x:c r="I1072" s="39" t="n">
        <x:v>45664</x:v>
      </x:c>
    </x:row>
    <x:row r="1073">
      <x:c r="A1073" s="21" t="str">
        <x:v>SYN-0307</x:v>
      </x:c>
      <x:c r="B1073" s="21" t="str">
        <x:v>Synthetic Supplier 0307 LLC</x:v>
      </x:c>
      <x:c r="C1073" s="38" t="str">
        <x:f>"900 000 000 000 307"</x:f>
        <x:v>900 000 000 000 307</x:v>
      </x:c>
      <x:c r="D1073" s="21" t="str">
        <x:v>SYN-0307-INV-01</x:v>
      </x:c>
      <x:c r="E1073" s="39" t="n">
        <x:v>46010</x:v>
      </x:c>
      <x:c r="F1073" s="42" t="n">
        <x:v>9749.34</x:v>
      </x:c>
      <x:c r="G1073" s="42" t="n">
        <x:v>487.47</x:v>
      </x:c>
      <x:c r="H1073" s="42" t="n">
        <x:v>42750.5</x:v>
      </x:c>
      <x:c r="I1073" s="39" t="n">
        <x:v>46061</x:v>
      </x:c>
    </x:row>
    <x:row r="1074">
      <x:c r="A1074" s="21" t="str">
        <x:v>SYN-0307</x:v>
      </x:c>
      <x:c r="B1074" s="21" t="str">
        <x:v>Synthetic Supplier 0307 LLC</x:v>
      </x:c>
      <x:c r="C1074" s="38" t="str">
        <x:f>"900 000 000 000 307"</x:f>
        <x:v>900 000 000 000 307</x:v>
      </x:c>
      <x:c r="D1074" s="21" t="str">
        <x:v>SYN-0307-INV-02</x:v>
      </x:c>
      <x:c r="E1074" s="39" t="n">
        <x:v>46057</x:v>
      </x:c>
      <x:c r="F1074" s="42" t="n">
        <x:v>7202.15</x:v>
      </x:c>
      <x:c r="G1074" s="42" t="n">
        <x:v>360.11</x:v>
      </x:c>
      <x:c r="H1074" s="42" t="n">
        <x:v>42750.5</x:v>
      </x:c>
      <x:c r="I1074" s="39" t="n">
        <x:v>46061</x:v>
      </x:c>
    </x:row>
    <x:row r="1075">
      <x:c r="A1075" s="21" t="str">
        <x:v>SYN-0307</x:v>
      </x:c>
      <x:c r="B1075" s="21" t="str">
        <x:v>Synthetic Supplier 0307 LLC</x:v>
      </x:c>
      <x:c r="C1075" s="38" t="str">
        <x:f>"900 000 000 000 307"</x:f>
        <x:v>900 000 000 000 307</x:v>
      </x:c>
      <x:c r="D1075" s="21" t="str">
        <x:v>SYN-0307-INV-03</x:v>
      </x:c>
      <x:c r="E1075" s="39" t="n">
        <x:v>46104</x:v>
      </x:c>
      <x:c r="F1075" s="42" t="n">
        <x:v>13078.89</x:v>
      </x:c>
      <x:c r="G1075" s="42" t="n">
        <x:v>653.94</x:v>
      </x:c>
      <x:c r="H1075" s="42" t="n">
        <x:v>42750.5</x:v>
      </x:c>
      <x:c r="I1075" s="39" t="n">
        <x:v>46061</x:v>
      </x:c>
    </x:row>
    <x:row r="1076">
      <x:c r="A1076" s="21" t="str">
        <x:v>SYN-0307</x:v>
      </x:c>
      <x:c r="B1076" s="21" t="str">
        <x:v>Synthetic Supplier 0307 LLC</x:v>
      </x:c>
      <x:c r="C1076" s="38" t="str">
        <x:f>"900 000 000 000 307"</x:f>
        <x:v>900 000 000 000 307</x:v>
      </x:c>
      <x:c r="D1076" s="21" t="str">
        <x:v>SYN-0307-INV-04</x:v>
      </x:c>
      <x:c r="E1076" s="39" t="n">
        <x:v>46151</x:v>
      </x:c>
      <x:c r="F1076" s="42" t="n">
        <x:v>7626.02</x:v>
      </x:c>
      <x:c r="G1076" s="42" t="n">
        <x:v>381.3</x:v>
      </x:c>
      <x:c r="H1076" s="42" t="n">
        <x:v>42750.5</x:v>
      </x:c>
      <x:c r="I1076" s="39" t="n">
        <x:v>46061</x:v>
      </x:c>
    </x:row>
    <x:row r="1077">
      <x:c r="A1077" s="21" t="str">
        <x:v>SYN-0307</x:v>
      </x:c>
      <x:c r="B1077" s="21" t="str">
        <x:v>Synthetic Supplier 0307 LLC</x:v>
      </x:c>
      <x:c r="C1077" s="38" t="str">
        <x:f>"900 000 000 000 307"</x:f>
        <x:v>900 000 000 000 307</x:v>
      </x:c>
      <x:c r="D1077" s="21" t="str">
        <x:v>SYN-0307-INV-05</x:v>
      </x:c>
      <x:c r="E1077" s="39" t="n">
        <x:v>46198</x:v>
      </x:c>
      <x:c r="F1077" s="42" t="n">
        <x:v>9844.17</x:v>
      </x:c>
      <x:c r="G1077" s="42" t="n">
        <x:v>492.21</x:v>
      </x:c>
      <x:c r="H1077" s="42" t="n">
        <x:v>42750.5</x:v>
      </x:c>
      <x:c r="I1077" s="39" t="n">
        <x:v>46061</x:v>
      </x:c>
    </x:row>
    <x:row r="1078">
      <x:c r="A1078" s="21" t="str">
        <x:v>SYN-0308</x:v>
      </x:c>
      <x:c r="B1078" s="21" t="str">
        <x:v>Synthetic Supplier 0308 LLC</x:v>
      </x:c>
      <x:c r="C1078" s="38" t="str">
        <x:f>"900 000 000 000 308"</x:f>
        <x:v>900 000 000 000 308</x:v>
      </x:c>
      <x:c r="D1078" s="21" t="str">
        <x:v>SYN-0308-INV-01</x:v>
      </x:c>
      <x:c r="E1078" s="39" t="n">
        <x:v>46023</x:v>
      </x:c>
      <x:c r="F1078" s="42" t="n">
        <x:v>34519.6</x:v>
      </x:c>
      <x:c r="G1078" s="42" t="n">
        <x:v>1725.98</x:v>
      </x:c>
      <x:c r="H1078" s="42" t="n">
        <x:v>73663.61</x:v>
      </x:c>
      <x:c r="I1078" s="39" t="n">
        <x:v>45725</x:v>
      </x:c>
    </x:row>
    <x:row r="1079">
      <x:c r="A1079" s="21" t="str">
        <x:v>SYN-0308</x:v>
      </x:c>
      <x:c r="B1079" s="21" t="str">
        <x:v>Synthetic Supplier 0308 LLC</x:v>
      </x:c>
      <x:c r="C1079" s="38" t="str">
        <x:f>"900 000 000 000 308"</x:f>
        <x:v>900 000 000 000 308</x:v>
      </x:c>
      <x:c r="D1079" s="21" t="str">
        <x:v>SYN-0308-INV-02</x:v>
      </x:c>
      <x:c r="E1079" s="39" t="n">
        <x:v>46070</x:v>
      </x:c>
      <x:c r="F1079" s="42" t="n">
        <x:v>29535.71</x:v>
      </x:c>
      <x:c r="G1079" s="42" t="n">
        <x:v>1476.79</x:v>
      </x:c>
      <x:c r="H1079" s="42" t="n">
        <x:v>73663.61</x:v>
      </x:c>
      <x:c r="I1079" s="39" t="n">
        <x:v>45725</x:v>
      </x:c>
    </x:row>
    <x:row r="1080">
      <x:c r="A1080" s="21" t="str">
        <x:v>SYN-0309</x:v>
      </x:c>
      <x:c r="B1080" s="21" t="str">
        <x:v>Synthetic Supplier 0309 LLC</x:v>
      </x:c>
      <x:c r="C1080" s="38" t="str">
        <x:f>"900 000 000 000 309"</x:f>
        <x:v>900 000 000 000 309</x:v>
      </x:c>
      <x:c r="D1080" s="21" t="str">
        <x:v>SYN-0309-INV-01</x:v>
      </x:c>
      <x:c r="E1080" s="39" t="n">
        <x:v>46036</x:v>
      </x:c>
      <x:c r="F1080" s="42" t="n">
        <x:v>33037.64</x:v>
      </x:c>
      <x:c r="G1080" s="42" t="n">
        <x:v>1651.88</x:v>
      </x:c>
      <x:c r="H1080" s="42" t="n">
        <x:v>79234.01</x:v>
      </x:c>
      <x:c r="I1080" s="39" t="n">
        <x:v>46122</x:v>
      </x:c>
    </x:row>
    <x:row r="1081">
      <x:c r="A1081" s="21" t="str">
        <x:v>SYN-0309</x:v>
      </x:c>
      <x:c r="B1081" s="21" t="str">
        <x:v>Synthetic Supplier 0309 LLC</x:v>
      </x:c>
      <x:c r="C1081" s="38" t="str">
        <x:f>"900 000 000 000 309"</x:f>
        <x:v>900 000 000 000 309</x:v>
      </x:c>
      <x:c r="D1081" s="21" t="str">
        <x:v>SYN-0309-INV-02</x:v>
      </x:c>
      <x:c r="E1081" s="39" t="n">
        <x:v>46083</x:v>
      </x:c>
      <x:c r="F1081" s="42" t="n">
        <x:v>25191.81</x:v>
      </x:c>
      <x:c r="G1081" s="42" t="n">
        <x:v>1259.59</x:v>
      </x:c>
      <x:c r="H1081" s="42" t="n">
        <x:v>79234.01</x:v>
      </x:c>
      <x:c r="I1081" s="39" t="n">
        <x:v>46122</x:v>
      </x:c>
    </x:row>
    <x:row r="1082">
      <x:c r="A1082" s="21" t="str">
        <x:v>SYN-0309</x:v>
      </x:c>
      <x:c r="B1082" s="21" t="str">
        <x:v>Synthetic Supplier 0309 LLC</x:v>
      </x:c>
      <x:c r="C1082" s="38" t="str">
        <x:f>"900 000 000 000 309"</x:f>
        <x:v>900 000 000 000 309</x:v>
      </x:c>
      <x:c r="D1082" s="21" t="str">
        <x:v>SYN-0309-INV-03</x:v>
      </x:c>
      <x:c r="E1082" s="39" t="n">
        <x:v>46130</x:v>
      </x:c>
      <x:c r="F1082" s="42" t="n">
        <x:v>29808.33</x:v>
      </x:c>
      <x:c r="G1082" s="42" t="n">
        <x:v>1490.42</x:v>
      </x:c>
      <x:c r="H1082" s="42" t="n">
        <x:v>79234.01</x:v>
      </x:c>
      <x:c r="I1082" s="39" t="n">
        <x:v>46122</x:v>
      </x:c>
    </x:row>
    <x:row r="1083">
      <x:c r="A1083" s="21" t="str">
        <x:v>SYN-0310</x:v>
      </x:c>
      <x:c r="B1083" s="21" t="str">
        <x:v>Synthetic Supplier 0310 LLC</x:v>
      </x:c>
      <x:c r="C1083" s="38" t="str">
        <x:f>"900 000 000 000 310"</x:f>
        <x:v>900 000 000 000 310</x:v>
      </x:c>
      <x:c r="D1083" s="21" t="str">
        <x:v>SYN-0310-INV-01</x:v>
      </x:c>
      <x:c r="E1083" s="39" t="n">
        <x:v>46049</x:v>
      </x:c>
      <x:c r="F1083" s="42" t="n">
        <x:v>14151.14</x:v>
      </x:c>
      <x:c r="G1083" s="42" t="n">
        <x:v>707.56</x:v>
      </x:c>
      <x:c r="H1083" s="42" t="n">
        <x:v>44060.57</x:v>
      </x:c>
      <x:c r="I1083" s="39"/>
    </x:row>
    <x:row r="1084">
      <x:c r="A1084" s="21" t="str">
        <x:v>SYN-0310</x:v>
      </x:c>
      <x:c r="B1084" s="21" t="str">
        <x:v>Synthetic Supplier 0310 LLC</x:v>
      </x:c>
      <x:c r="C1084" s="38" t="str">
        <x:f>"900 000 000 000 310"</x:f>
        <x:v>900 000 000 000 310</x:v>
      </x:c>
      <x:c r="D1084" s="21" t="str">
        <x:v>SYN-0310-INV-02</x:v>
      </x:c>
      <x:c r="E1084" s="39" t="n">
        <x:v>46096</x:v>
      </x:c>
      <x:c r="F1084" s="42" t="n">
        <x:v>15109.21</x:v>
      </x:c>
      <x:c r="G1084" s="42" t="n">
        <x:v>755.46</x:v>
      </x:c>
      <x:c r="H1084" s="42" t="n">
        <x:v>44060.57</x:v>
      </x:c>
      <x:c r="I1084" s="39"/>
    </x:row>
    <x:row r="1085">
      <x:c r="A1085" s="21" t="str">
        <x:v>SYN-0310</x:v>
      </x:c>
      <x:c r="B1085" s="21" t="str">
        <x:v>Synthetic Supplier 0310 LLC</x:v>
      </x:c>
      <x:c r="C1085" s="38" t="str">
        <x:f>"900 000 000 000 310"</x:f>
        <x:v>900 000 000 000 310</x:v>
      </x:c>
      <x:c r="D1085" s="21" t="str">
        <x:v>SYN-0310-INV-03</x:v>
      </x:c>
      <x:c r="E1085" s="39" t="n">
        <x:v>46143</x:v>
      </x:c>
      <x:c r="F1085" s="42" t="n">
        <x:v>11908.7</x:v>
      </x:c>
      <x:c r="G1085" s="42" t="n">
        <x:v>595.43</x:v>
      </x:c>
      <x:c r="H1085" s="42" t="n">
        <x:v>44060.57</x:v>
      </x:c>
      <x:c r="I1085" s="39"/>
    </x:row>
    <x:row r="1086">
      <x:c r="A1086" s="21" t="str">
        <x:v>SYN-0310</x:v>
      </x:c>
      <x:c r="B1086" s="21" t="str">
        <x:v>Synthetic Supplier 0310 LLC</x:v>
      </x:c>
      <x:c r="C1086" s="38" t="str">
        <x:f>"900 000 000 000 310"</x:f>
        <x:v>900 000 000 000 310</x:v>
      </x:c>
      <x:c r="D1086" s="21" t="str">
        <x:v>SYN-0310-INV-04</x:v>
      </x:c>
      <x:c r="E1086" s="39" t="n">
        <x:v>46190</x:v>
      </x:c>
      <x:c r="F1086" s="42" t="n">
        <x:v>7787.15</x:v>
      </x:c>
      <x:c r="G1086" s="42" t="n">
        <x:v>389.36</x:v>
      </x:c>
      <x:c r="H1086" s="42" t="n">
        <x:v>44060.57</x:v>
      </x:c>
      <x:c r="I1086" s="39"/>
    </x:row>
    <x:row r="1087">
      <x:c r="A1087" s="21" t="str">
        <x:v>SYN-0311</x:v>
      </x:c>
      <x:c r="B1087" s="21" t="str">
        <x:v>Synthetic Supplier 0311 LLC</x:v>
      </x:c>
      <x:c r="C1087" s="38" t="str">
        <x:f>"900 000 000 000 311"</x:f>
        <x:v>900 000 000 000 311</x:v>
      </x:c>
      <x:c r="D1087" s="21" t="str">
        <x:v>SYN-0311-INV-01</x:v>
      </x:c>
      <x:c r="E1087" s="39" t="n">
        <x:v>46062</x:v>
      </x:c>
      <x:c r="F1087" s="42" t="n">
        <x:v>14834.96</x:v>
      </x:c>
      <x:c r="G1087" s="42" t="n">
        <x:v>741.75</x:v>
      </x:c>
      <x:c r="H1087" s="42" t="n">
        <x:v>67255.57</x:v>
      </x:c>
      <x:c r="I1087" s="39" t="n">
        <x:v>46185</x:v>
      </x:c>
    </x:row>
    <x:row r="1088">
      <x:c r="A1088" s="21" t="str">
        <x:v>SYN-0311</x:v>
      </x:c>
      <x:c r="B1088" s="21" t="str">
        <x:v>Synthetic Supplier 0311 LLC</x:v>
      </x:c>
      <x:c r="C1088" s="38" t="str">
        <x:f>"900 000 000 000 311"</x:f>
        <x:v>900 000 000 000 311</x:v>
      </x:c>
      <x:c r="D1088" s="21" t="str">
        <x:v>SYN-0311-INV-02</x:v>
      </x:c>
      <x:c r="E1088" s="39" t="n">
        <x:v>46109</x:v>
      </x:c>
      <x:c r="F1088" s="42" t="n">
        <x:v>14159.35</x:v>
      </x:c>
      <x:c r="G1088" s="42" t="n">
        <x:v>707.97</x:v>
      </x:c>
      <x:c r="H1088" s="42" t="n">
        <x:v>67255.57</x:v>
      </x:c>
      <x:c r="I1088" s="39" t="n">
        <x:v>46185</x:v>
      </x:c>
    </x:row>
    <x:row r="1089">
      <x:c r="A1089" s="21" t="str">
        <x:v>SYN-0311</x:v>
      </x:c>
      <x:c r="B1089" s="21" t="str">
        <x:v>Synthetic Supplier 0311 LLC</x:v>
      </x:c>
      <x:c r="C1089" s="38" t="str">
        <x:f>"900 000 000 000 311"</x:f>
        <x:v>900 000 000 000 311</x:v>
      </x:c>
      <x:c r="D1089" s="21" t="str">
        <x:v>SYN-0311-INV-03</x:v>
      </x:c>
      <x:c r="E1089" s="39" t="n">
        <x:v>46156</x:v>
      </x:c>
      <x:c r="F1089" s="42" t="n">
        <x:v>12234.8</x:v>
      </x:c>
      <x:c r="G1089" s="42" t="n">
        <x:v>611.74</x:v>
      </x:c>
      <x:c r="H1089" s="42" t="n">
        <x:v>67255.57</x:v>
      </x:c>
      <x:c r="I1089" s="39" t="n">
        <x:v>46185</x:v>
      </x:c>
    </x:row>
    <x:row r="1090">
      <x:c r="A1090" s="21" t="str">
        <x:v>SYN-0311</x:v>
      </x:c>
      <x:c r="B1090" s="21" t="str">
        <x:v>Synthetic Supplier 0311 LLC</x:v>
      </x:c>
      <x:c r="C1090" s="38" t="str">
        <x:f>"900 000 000 000 311"</x:f>
        <x:v>900 000 000 000 311</x:v>
      </x:c>
      <x:c r="D1090" s="21" t="str">
        <x:v>SYN-0311-INV-04</x:v>
      </x:c>
      <x:c r="E1090" s="39" t="n">
        <x:v>46203</x:v>
      </x:c>
      <x:c r="F1090" s="42" t="n">
        <x:v>12816.58</x:v>
      </x:c>
      <x:c r="G1090" s="42" t="n">
        <x:v>640.83</x:v>
      </x:c>
      <x:c r="H1090" s="42" t="n">
        <x:v>67255.57</x:v>
      </x:c>
      <x:c r="I1090" s="39" t="n">
        <x:v>46185</x:v>
      </x:c>
    </x:row>
    <x:row r="1091">
      <x:c r="A1091" s="21" t="str">
        <x:v>SYN-0311</x:v>
      </x:c>
      <x:c r="B1091" s="21" t="str">
        <x:v>Synthetic Supplier 0311 LLC</x:v>
      </x:c>
      <x:c r="C1091" s="38" t="str">
        <x:f>"900 000 000 000 311"</x:f>
        <x:v>900 000 000 000 311</x:v>
      </x:c>
      <x:c r="D1091" s="21" t="str">
        <x:v>SYN-0311-INV-05</x:v>
      </x:c>
      <x:c r="E1091" s="39" t="n">
        <x:v>46250</x:v>
      </x:c>
      <x:c r="F1091" s="42" t="n">
        <x:v>20682.71</x:v>
      </x:c>
      <x:c r="G1091" s="42" t="n">
        <x:v>1034.14</x:v>
      </x:c>
      <x:c r="H1091" s="42" t="n">
        <x:v>67255.57</x:v>
      </x:c>
      <x:c r="I1091" s="39" t="n">
        <x:v>46185</x:v>
      </x:c>
    </x:row>
    <x:row r="1092">
      <x:c r="A1092" s="21" t="str">
        <x:v>SYN-0312</x:v>
      </x:c>
      <x:c r="B1092" s="21" t="str">
        <x:v>Synthetic Supplier 0312 LLC</x:v>
      </x:c>
      <x:c r="C1092" s="38" t="str">
        <x:f>"900 000 000 000 312"</x:f>
        <x:v>900 000 000 000 312</x:v>
      </x:c>
      <x:c r="D1092" s="21" t="str">
        <x:v>SYN-0312-INV-01</x:v>
      </x:c>
      <x:c r="E1092" s="39" t="n">
        <x:v>46075</x:v>
      </x:c>
      <x:c r="F1092" s="42" t="n">
        <x:v>27829.45</x:v>
      </x:c>
      <x:c r="G1092" s="42" t="n">
        <x:v>1391.47</x:v>
      </x:c>
      <x:c r="H1092" s="42" t="n">
        <x:v>63250.51</x:v>
      </x:c>
      <x:c r="I1092" s="39" t="n">
        <x:v>45851</x:v>
      </x:c>
    </x:row>
    <x:row r="1093">
      <x:c r="A1093" s="21" t="str">
        <x:v>SYN-0312</x:v>
      </x:c>
      <x:c r="B1093" s="21" t="str">
        <x:v>Synthetic Supplier 0312 LLC</x:v>
      </x:c>
      <x:c r="C1093" s="38" t="str">
        <x:f>"900 000 000 000 312"</x:f>
        <x:v>900 000 000 000 312</x:v>
      </x:c>
      <x:c r="D1093" s="21" t="str">
        <x:v>SYN-0312-INV-02</x:v>
      </x:c>
      <x:c r="E1093" s="39" t="n">
        <x:v>46122</x:v>
      </x:c>
      <x:c r="F1093" s="42" t="n">
        <x:v>42448.89</x:v>
      </x:c>
      <x:c r="G1093" s="42" t="n">
        <x:v>2122.44</x:v>
      </x:c>
      <x:c r="H1093" s="42" t="n">
        <x:v>63250.51</x:v>
      </x:c>
      <x:c r="I1093" s="39" t="n">
        <x:v>45851</x:v>
      </x:c>
    </x:row>
    <x:row r="1094">
      <x:c r="A1094" s="21" t="str">
        <x:v>SYN-0313</x:v>
      </x:c>
      <x:c r="B1094" s="21" t="str">
        <x:v>Synthetic Supplier 0313 LLC</x:v>
      </x:c>
      <x:c r="C1094" s="38" t="str">
        <x:f>"900 000 000 000 313"</x:f>
        <x:v>900 000 000 000 313</x:v>
      </x:c>
      <x:c r="D1094" s="21" t="str">
        <x:v>SYN-0313-INV-01</x:v>
      </x:c>
      <x:c r="E1094" s="39" t="n">
        <x:v>46088</x:v>
      </x:c>
      <x:c r="F1094" s="42" t="n">
        <x:v>16289.72</x:v>
      </x:c>
      <x:c r="G1094" s="42" t="n">
        <x:v>814.49</x:v>
      </x:c>
      <x:c r="H1094" s="42" t="n">
        <x:v>75491.7</x:v>
      </x:c>
      <x:c r="I1094" s="39" t="n">
        <x:v>46248</x:v>
      </x:c>
    </x:row>
    <x:row r="1095">
      <x:c r="A1095" s="21" t="str">
        <x:v>SYN-0313</x:v>
      </x:c>
      <x:c r="B1095" s="21" t="str">
        <x:v>Synthetic Supplier 0313 LLC</x:v>
      </x:c>
      <x:c r="C1095" s="38" t="str">
        <x:f>"900 000 000 000 313"</x:f>
        <x:v>900 000 000 000 313</x:v>
      </x:c>
      <x:c r="D1095" s="21" t="str">
        <x:v>SYN-0313-INV-02</x:v>
      </x:c>
      <x:c r="E1095" s="39" t="n">
        <x:v>46135</x:v>
      </x:c>
      <x:c r="F1095" s="42" t="n">
        <x:v>33908.7</x:v>
      </x:c>
      <x:c r="G1095" s="42" t="n">
        <x:v>1695.44</x:v>
      </x:c>
      <x:c r="H1095" s="42" t="n">
        <x:v>75491.7</x:v>
      </x:c>
      <x:c r="I1095" s="39" t="n">
        <x:v>46248</x:v>
      </x:c>
    </x:row>
    <x:row r="1096">
      <x:c r="A1096" s="21" t="str">
        <x:v>SYN-0313</x:v>
      </x:c>
      <x:c r="B1096" s="21" t="str">
        <x:v>Synthetic Supplier 0313 LLC</x:v>
      </x:c>
      <x:c r="C1096" s="38" t="str">
        <x:f>"900 000 000 000 313"</x:f>
        <x:v>900 000 000 000 313</x:v>
      </x:c>
      <x:c r="D1096" s="21" t="str">
        <x:v>SYN-0313-INV-03</x:v>
      </x:c>
      <x:c r="E1096" s="39" t="n">
        <x:v>46182</x:v>
      </x:c>
      <x:c r="F1096" s="42" t="n">
        <x:v>33681.25</x:v>
      </x:c>
      <x:c r="G1096" s="42" t="n">
        <x:v>1684.06</x:v>
      </x:c>
      <x:c r="H1096" s="42" t="n">
        <x:v>75491.7</x:v>
      </x:c>
      <x:c r="I1096" s="39" t="n">
        <x:v>46248</x:v>
      </x:c>
    </x:row>
    <x:row r="1097">
      <x:c r="A1097" s="21" t="str">
        <x:v>SYN-0314</x:v>
      </x:c>
      <x:c r="B1097" s="21" t="str">
        <x:v>Synthetic Supplier 0314 LLC</x:v>
      </x:c>
      <x:c r="C1097" s="38" t="str">
        <x:f>"900 000 000 000 314"</x:f>
        <x:v>900 000 000 000 314</x:v>
      </x:c>
      <x:c r="D1097" s="21" t="str">
        <x:v>SYN-0314-INV-01</x:v>
      </x:c>
      <x:c r="E1097" s="39" t="n">
        <x:v>46101</x:v>
      </x:c>
      <x:c r="F1097" s="42" t="n">
        <x:v>18532.31</x:v>
      </x:c>
      <x:c r="G1097" s="42" t="n">
        <x:v>926.62</x:v>
      </x:c>
      <x:c r="H1097" s="42" t="n">
        <x:v>55802.26</x:v>
      </x:c>
      <x:c r="I1097" s="39" t="n">
        <x:v>45915</x:v>
      </x:c>
    </x:row>
    <x:row r="1098">
      <x:c r="A1098" s="21" t="str">
        <x:v>SYN-0314</x:v>
      </x:c>
      <x:c r="B1098" s="21" t="str">
        <x:v>Synthetic Supplier 0314 LLC</x:v>
      </x:c>
      <x:c r="C1098" s="38" t="str">
        <x:f>"900 000 000 000 314"</x:f>
        <x:v>900 000 000 000 314</x:v>
      </x:c>
      <x:c r="D1098" s="21" t="str">
        <x:v>SYN-0314-INV-02</x:v>
      </x:c>
      <x:c r="E1098" s="39" t="n">
        <x:v>46148</x:v>
      </x:c>
      <x:c r="F1098" s="42" t="n">
        <x:v>8996.66</x:v>
      </x:c>
      <x:c r="G1098" s="42" t="n">
        <x:v>449.83</x:v>
      </x:c>
      <x:c r="H1098" s="42" t="n">
        <x:v>55802.26</x:v>
      </x:c>
      <x:c r="I1098" s="39" t="n">
        <x:v>45915</x:v>
      </x:c>
    </x:row>
    <x:row r="1099">
      <x:c r="A1099" s="21" t="str">
        <x:v>SYN-0314</x:v>
      </x:c>
      <x:c r="B1099" s="21" t="str">
        <x:v>Synthetic Supplier 0314 LLC</x:v>
      </x:c>
      <x:c r="C1099" s="38" t="str">
        <x:f>"900 000 000 000 314"</x:f>
        <x:v>900 000 000 000 314</x:v>
      </x:c>
      <x:c r="D1099" s="21" t="str">
        <x:v>SYN-0314-INV-03</x:v>
      </x:c>
      <x:c r="E1099" s="39" t="n">
        <x:v>46195</x:v>
      </x:c>
      <x:c r="F1099" s="42" t="n">
        <x:v>19460.49</x:v>
      </x:c>
      <x:c r="G1099" s="42" t="n">
        <x:v>973.02</x:v>
      </x:c>
      <x:c r="H1099" s="42" t="n">
        <x:v>55802.26</x:v>
      </x:c>
      <x:c r="I1099" s="39" t="n">
        <x:v>45915</x:v>
      </x:c>
    </x:row>
    <x:row r="1100">
      <x:c r="A1100" s="21" t="str">
        <x:v>SYN-0314</x:v>
      </x:c>
      <x:c r="B1100" s="21" t="str">
        <x:v>Synthetic Supplier 0314 LLC</x:v>
      </x:c>
      <x:c r="C1100" s="38" t="str">
        <x:f>"900 000 000 000 314"</x:f>
        <x:v>900 000 000 000 314</x:v>
      </x:c>
      <x:c r="D1100" s="21" t="str">
        <x:v>SYN-0314-INV-04</x:v>
      </x:c>
      <x:c r="E1100" s="39" t="n">
        <x:v>46242</x:v>
      </x:c>
      <x:c r="F1100" s="42" t="n">
        <x:v>15013.07</x:v>
      </x:c>
      <x:c r="G1100" s="42" t="n">
        <x:v>750.65</x:v>
      </x:c>
      <x:c r="H1100" s="42" t="n">
        <x:v>55802.26</x:v>
      </x:c>
      <x:c r="I1100" s="39" t="n">
        <x:v>45915</x:v>
      </x:c>
    </x:row>
    <x:row r="1101">
      <x:c r="A1101" s="21" t="str">
        <x:v>SYN-0315</x:v>
      </x:c>
      <x:c r="B1101" s="21" t="str">
        <x:v>Synthetic Supplier 0315 LLC</x:v>
      </x:c>
      <x:c r="C1101" s="38" t="str">
        <x:f>"900 000 000 000 315"</x:f>
        <x:v>900 000 000 000 315</x:v>
      </x:c>
      <x:c r="D1101" s="21" t="str">
        <x:v>SYN-0315-INV-01</x:v>
      </x:c>
      <x:c r="E1101" s="39" t="n">
        <x:v>46114</x:v>
      </x:c>
      <x:c r="F1101" s="42" t="n">
        <x:v>14305.06</x:v>
      </x:c>
      <x:c r="G1101" s="42" t="n">
        <x:v>715.25</x:v>
      </x:c>
      <x:c r="H1101" s="42" t="n">
        <x:v>72093.64</x:v>
      </x:c>
      <x:c r="I1101" s="39"/>
    </x:row>
    <x:row r="1102">
      <x:c r="A1102" s="21" t="str">
        <x:v>SYN-0315</x:v>
      </x:c>
      <x:c r="B1102" s="21" t="str">
        <x:v>Synthetic Supplier 0315 LLC</x:v>
      </x:c>
      <x:c r="C1102" s="38" t="str">
        <x:f>"900 000 000 000 315"</x:f>
        <x:v>900 000 000 000 315</x:v>
      </x:c>
      <x:c r="D1102" s="21" t="str">
        <x:v>SYN-0315-INV-02</x:v>
      </x:c>
      <x:c r="E1102" s="39" t="n">
        <x:v>46161</x:v>
      </x:c>
      <x:c r="F1102" s="42" t="n">
        <x:v>17975.88</x:v>
      </x:c>
      <x:c r="G1102" s="42" t="n">
        <x:v>898.79</x:v>
      </x:c>
      <x:c r="H1102" s="42" t="n">
        <x:v>72093.64</x:v>
      </x:c>
      <x:c r="I1102" s="39"/>
    </x:row>
    <x:row r="1103">
      <x:c r="A1103" s="21" t="str">
        <x:v>SYN-0315</x:v>
      </x:c>
      <x:c r="B1103" s="21" t="str">
        <x:v>Synthetic Supplier 0315 LLC</x:v>
      </x:c>
      <x:c r="C1103" s="38" t="str">
        <x:f>"900 000 000 000 315"</x:f>
        <x:v>900 000 000 000 315</x:v>
      </x:c>
      <x:c r="D1103" s="21" t="str">
        <x:v>SYN-0315-INV-03</x:v>
      </x:c>
      <x:c r="E1103" s="39" t="n">
        <x:v>46208</x:v>
      </x:c>
      <x:c r="F1103" s="42" t="n">
        <x:v>8966.75</x:v>
      </x:c>
      <x:c r="G1103" s="42" t="n">
        <x:v>448.34</x:v>
      </x:c>
      <x:c r="H1103" s="42" t="n">
        <x:v>72093.64</x:v>
      </x:c>
      <x:c r="I1103" s="39"/>
    </x:row>
    <x:row r="1104">
      <x:c r="A1104" s="21" t="str">
        <x:v>SYN-0315</x:v>
      </x:c>
      <x:c r="B1104" s="21" t="str">
        <x:v>Synthetic Supplier 0315 LLC</x:v>
      </x:c>
      <x:c r="C1104" s="38" t="str">
        <x:f>"900 000 000 000 315"</x:f>
        <x:v>900 000 000 000 315</x:v>
      </x:c>
      <x:c r="D1104" s="21" t="str">
        <x:v>SYN-0315-INV-04</x:v>
      </x:c>
      <x:c r="E1104" s="39" t="n">
        <x:v>46255</x:v>
      </x:c>
      <x:c r="F1104" s="42" t="n">
        <x:v>9126.72</x:v>
      </x:c>
      <x:c r="G1104" s="42" t="n">
        <x:v>456.34</x:v>
      </x:c>
      <x:c r="H1104" s="42" t="n">
        <x:v>72093.64</x:v>
      </x:c>
      <x:c r="I1104" s="39"/>
    </x:row>
    <x:row r="1105">
      <x:c r="A1105" s="21" t="str">
        <x:v>SYN-0315</x:v>
      </x:c>
      <x:c r="B1105" s="21" t="str">
        <x:v>Synthetic Supplier 0315 LLC</x:v>
      </x:c>
      <x:c r="C1105" s="38" t="str">
        <x:f>"900 000 000 000 315"</x:f>
        <x:v>900 000 000 000 315</x:v>
      </x:c>
      <x:c r="D1105" s="21" t="str">
        <x:v>SYN-0315-INV-05</x:v>
      </x:c>
      <x:c r="E1105" s="39" t="n">
        <x:v>45942</x:v>
      </x:c>
      <x:c r="F1105" s="42" t="n">
        <x:v>12315.72</x:v>
      </x:c>
      <x:c r="G1105" s="42" t="n">
        <x:v>615.79</x:v>
      </x:c>
      <x:c r="H1105" s="42" t="n">
        <x:v>72093.64</x:v>
      </x:c>
      <x:c r="I1105" s="39"/>
    </x:row>
    <x:row r="1106">
      <x:c r="A1106" s="21" t="str">
        <x:v>SYN-0316</x:v>
      </x:c>
      <x:c r="B1106" s="21" t="str">
        <x:v>Synthetic Supplier 0316 LLC</x:v>
      </x:c>
      <x:c r="C1106" s="38" t="str">
        <x:f>"900 000 000 000 316"</x:f>
        <x:v>900 000 000 000 316</x:v>
      </x:c>
      <x:c r="D1106" s="21" t="str">
        <x:v>SYN-0316-INV-01</x:v>
      </x:c>
      <x:c r="E1106" s="39" t="n">
        <x:v>46127</x:v>
      </x:c>
      <x:c r="F1106" s="42" t="n">
        <x:v>46369.16</x:v>
      </x:c>
      <x:c r="G1106" s="42" t="n">
        <x:v>2318.46</x:v>
      </x:c>
      <x:c r="H1106" s="42" t="n">
        <x:v>74064.67</x:v>
      </x:c>
      <x:c r="I1106" s="39" t="n">
        <x:v>45705</x:v>
      </x:c>
    </x:row>
    <x:row r="1107">
      <x:c r="A1107" s="21" t="str">
        <x:v>SYN-0316</x:v>
      </x:c>
      <x:c r="B1107" s="21" t="str">
        <x:v>Synthetic Supplier 0316 LLC</x:v>
      </x:c>
      <x:c r="C1107" s="38" t="str">
        <x:f>"900 000 000 000 316"</x:f>
        <x:v>900 000 000 000 316</x:v>
      </x:c>
      <x:c r="D1107" s="21" t="str">
        <x:v>SYN-0316-INV-02</x:v>
      </x:c>
      <x:c r="E1107" s="39" t="n">
        <x:v>46174</x:v>
      </x:c>
      <x:c r="F1107" s="42" t="n">
        <x:v>35924.92</x:v>
      </x:c>
      <x:c r="G1107" s="42" t="n">
        <x:v>1796.25</x:v>
      </x:c>
      <x:c r="H1107" s="42" t="n">
        <x:v>74064.67</x:v>
      </x:c>
      <x:c r="I1107" s="39" t="n">
        <x:v>45705</x:v>
      </x:c>
    </x:row>
    <x:row r="1108">
      <x:c r="A1108" s="21" t="str">
        <x:v>SYN-0317</x:v>
      </x:c>
      <x:c r="B1108" s="21" t="str">
        <x:v>Synthetic Supplier 0317 LLC</x:v>
      </x:c>
      <x:c r="C1108" s="38" t="str">
        <x:f>"900 000 000 000 317"</x:f>
        <x:v>900 000 000 000 317</x:v>
      </x:c>
      <x:c r="D1108" s="21" t="str">
        <x:v>SYN-0317-INV-01</x:v>
      </x:c>
      <x:c r="E1108" s="39" t="n">
        <x:v>46140</x:v>
      </x:c>
      <x:c r="F1108" s="42" t="n">
        <x:v>20645.42</x:v>
      </x:c>
      <x:c r="G1108" s="42" t="n">
        <x:v>1032.27</x:v>
      </x:c>
      <x:c r="H1108" s="42" t="n">
        <x:v>66700.92</x:v>
      </x:c>
      <x:c r="I1108" s="39" t="n">
        <x:v>46099</x:v>
      </x:c>
    </x:row>
    <x:row r="1109">
      <x:c r="A1109" s="21" t="str">
        <x:v>SYN-0317</x:v>
      </x:c>
      <x:c r="B1109" s="21" t="str">
        <x:v>Synthetic Supplier 0317 LLC</x:v>
      </x:c>
      <x:c r="C1109" s="38" t="str">
        <x:f>"900 000 000 000 317"</x:f>
        <x:v>900 000 000 000 317</x:v>
      </x:c>
      <x:c r="D1109" s="21" t="str">
        <x:v>SYN-0317-INV-02</x:v>
      </x:c>
      <x:c r="E1109" s="39" t="n">
        <x:v>46187</x:v>
      </x:c>
      <x:c r="F1109" s="42" t="n">
        <x:v>30218.27</x:v>
      </x:c>
      <x:c r="G1109" s="42" t="n">
        <x:v>1510.91</x:v>
      </x:c>
      <x:c r="H1109" s="42" t="n">
        <x:v>66700.92</x:v>
      </x:c>
      <x:c r="I1109" s="39" t="n">
        <x:v>46099</x:v>
      </x:c>
    </x:row>
    <x:row r="1110">
      <x:c r="A1110" s="21" t="str">
        <x:v>SYN-0317</x:v>
      </x:c>
      <x:c r="B1110" s="21" t="str">
        <x:v>Synthetic Supplier 0317 LLC</x:v>
      </x:c>
      <x:c r="C1110" s="38" t="str">
        <x:f>"900 000 000 000 317"</x:f>
        <x:v>900 000 000 000 317</x:v>
      </x:c>
      <x:c r="D1110" s="21" t="str">
        <x:v>SYN-0317-INV-03</x:v>
      </x:c>
      <x:c r="E1110" s="39" t="n">
        <x:v>46234</x:v>
      </x:c>
      <x:c r="F1110" s="42" t="n">
        <x:v>23248.45</x:v>
      </x:c>
      <x:c r="G1110" s="42" t="n">
        <x:v>1162.42</x:v>
      </x:c>
      <x:c r="H1110" s="42" t="n">
        <x:v>66700.92</x:v>
      </x:c>
      <x:c r="I1110" s="39" t="n">
        <x:v>46099</x:v>
      </x:c>
    </x:row>
    <x:row r="1111">
      <x:c r="A1111" s="21" t="str">
        <x:v>SYN-0318</x:v>
      </x:c>
      <x:c r="B1111" s="21" t="str">
        <x:v>Synthetic Supplier 0318 LLC</x:v>
      </x:c>
      <x:c r="C1111" s="38" t="str">
        <x:f>"900 000 000 000 318"</x:f>
        <x:v>900 000 000 000 318</x:v>
      </x:c>
      <x:c r="D1111" s="21" t="str">
        <x:v>SYN-0318-INV-01</x:v>
      </x:c>
      <x:c r="E1111" s="39" t="n">
        <x:v>46153</x:v>
      </x:c>
      <x:c r="F1111" s="42" t="n">
        <x:v>15321.19</x:v>
      </x:c>
      <x:c r="G1111" s="42" t="n">
        <x:v>766.06</x:v>
      </x:c>
      <x:c r="H1111" s="42" t="n">
        <x:v>76502.33</x:v>
      </x:c>
      <x:c r="I1111" s="39" t="n">
        <x:v>45766</x:v>
      </x:c>
    </x:row>
    <x:row r="1112">
      <x:c r="A1112" s="21" t="str">
        <x:v>SYN-0318</x:v>
      </x:c>
      <x:c r="B1112" s="21" t="str">
        <x:v>Synthetic Supplier 0318 LLC</x:v>
      </x:c>
      <x:c r="C1112" s="38" t="str">
        <x:f>"900 000 000 000 318"</x:f>
        <x:v>900 000 000 000 318</x:v>
      </x:c>
      <x:c r="D1112" s="21" t="str">
        <x:v>SYN-0318-INV-02</x:v>
      </x:c>
      <x:c r="E1112" s="39" t="n">
        <x:v>46200</x:v>
      </x:c>
      <x:c r="F1112" s="42" t="n">
        <x:v>22857.74</x:v>
      </x:c>
      <x:c r="G1112" s="42" t="n">
        <x:v>1142.89</x:v>
      </x:c>
      <x:c r="H1112" s="42" t="n">
        <x:v>76502.33</x:v>
      </x:c>
      <x:c r="I1112" s="39" t="n">
        <x:v>45766</x:v>
      </x:c>
    </x:row>
    <x:row r="1113">
      <x:c r="A1113" s="21" t="str">
        <x:v>SYN-0318</x:v>
      </x:c>
      <x:c r="B1113" s="21" t="str">
        <x:v>Synthetic Supplier 0318 LLC</x:v>
      </x:c>
      <x:c r="C1113" s="38" t="str">
        <x:f>"900 000 000 000 318"</x:f>
        <x:v>900 000 000 000 318</x:v>
      </x:c>
      <x:c r="D1113" s="21" t="str">
        <x:v>SYN-0318-INV-03</x:v>
      </x:c>
      <x:c r="E1113" s="39" t="n">
        <x:v>46247</x:v>
      </x:c>
      <x:c r="F1113" s="42" t="n">
        <x:v>17337.57</x:v>
      </x:c>
      <x:c r="G1113" s="42" t="n">
        <x:v>866.88</x:v>
      </x:c>
      <x:c r="H1113" s="42" t="n">
        <x:v>76502.33</x:v>
      </x:c>
      <x:c r="I1113" s="39" t="n">
        <x:v>45766</x:v>
      </x:c>
    </x:row>
    <x:row r="1114">
      <x:c r="A1114" s="21" t="str">
        <x:v>SYN-0318</x:v>
      </x:c>
      <x:c r="B1114" s="21" t="str">
        <x:v>Synthetic Supplier 0318 LLC</x:v>
      </x:c>
      <x:c r="C1114" s="38" t="str">
        <x:f>"900 000 000 000 318"</x:f>
        <x:v>900 000 000 000 318</x:v>
      </x:c>
      <x:c r="D1114" s="21" t="str">
        <x:v>SYN-0318-INV-04</x:v>
      </x:c>
      <x:c r="E1114" s="39" t="n">
        <x:v>45934</x:v>
      </x:c>
      <x:c r="F1114" s="42" t="n">
        <x:v>29486.09</x:v>
      </x:c>
      <x:c r="G1114" s="42" t="n">
        <x:v>1474.3</x:v>
      </x:c>
      <x:c r="H1114" s="42" t="n">
        <x:v>76502.33</x:v>
      </x:c>
      <x:c r="I1114" s="39" t="n">
        <x:v>45766</x:v>
      </x:c>
    </x:row>
    <x:row r="1115">
      <x:c r="A1115" s="21" t="str">
        <x:v>SYN-0319</x:v>
      </x:c>
      <x:c r="B1115" s="21" t="str">
        <x:v>Synthetic Supplier 0319 LLC</x:v>
      </x:c>
      <x:c r="C1115" s="38" t="str">
        <x:f>"900 000 000 000 319"</x:f>
        <x:v>900 000 000 000 319</x:v>
      </x:c>
      <x:c r="D1115" s="21" t="str">
        <x:v>SYN-0319-INV-01</x:v>
      </x:c>
      <x:c r="E1115" s="39" t="n">
        <x:v>46166</x:v>
      </x:c>
      <x:c r="F1115" s="42" t="n">
        <x:v>11520.2</x:v>
      </x:c>
      <x:c r="G1115" s="42" t="n">
        <x:v>576.01</x:v>
      </x:c>
      <x:c r="H1115" s="42" t="n">
        <x:v>58923.18</x:v>
      </x:c>
      <x:c r="I1115" s="39" t="n">
        <x:v>46162</x:v>
      </x:c>
    </x:row>
    <x:row r="1116">
      <x:c r="A1116" s="21" t="str">
        <x:v>SYN-0319</x:v>
      </x:c>
      <x:c r="B1116" s="21" t="str">
        <x:v>Synthetic Supplier 0319 LLC</x:v>
      </x:c>
      <x:c r="C1116" s="38" t="str">
        <x:f>"900 000 000 000 319"</x:f>
        <x:v>900 000 000 000 319</x:v>
      </x:c>
      <x:c r="D1116" s="21" t="str">
        <x:v>SYN-0319-INV-02</x:v>
      </x:c>
      <x:c r="E1116" s="39" t="n">
        <x:v>46213</x:v>
      </x:c>
      <x:c r="F1116" s="42" t="n">
        <x:v>9850.43</x:v>
      </x:c>
      <x:c r="G1116" s="42" t="n">
        <x:v>492.52</x:v>
      </x:c>
      <x:c r="H1116" s="42" t="n">
        <x:v>58923.18</x:v>
      </x:c>
      <x:c r="I1116" s="39" t="n">
        <x:v>46162</x:v>
      </x:c>
    </x:row>
    <x:row r="1117">
      <x:c r="A1117" s="21" t="str">
        <x:v>SYN-0319</x:v>
      </x:c>
      <x:c r="B1117" s="21" t="str">
        <x:v>Synthetic Supplier 0319 LLC</x:v>
      </x:c>
      <x:c r="C1117" s="38" t="str">
        <x:f>"900 000 000 000 319"</x:f>
        <x:v>900 000 000 000 319</x:v>
      </x:c>
      <x:c r="D1117" s="21" t="str">
        <x:v>SYN-0319-INV-03</x:v>
      </x:c>
      <x:c r="E1117" s="39" t="n">
        <x:v>46260</x:v>
      </x:c>
      <x:c r="F1117" s="42" t="n">
        <x:v>11668.24</x:v>
      </x:c>
      <x:c r="G1117" s="42" t="n">
        <x:v>583.41</x:v>
      </x:c>
      <x:c r="H1117" s="42" t="n">
        <x:v>58923.18</x:v>
      </x:c>
      <x:c r="I1117" s="39" t="n">
        <x:v>46162</x:v>
      </x:c>
    </x:row>
    <x:row r="1118">
      <x:c r="A1118" s="21" t="str">
        <x:v>SYN-0319</x:v>
      </x:c>
      <x:c r="B1118" s="21" t="str">
        <x:v>Synthetic Supplier 0319 LLC</x:v>
      </x:c>
      <x:c r="C1118" s="38" t="str">
        <x:f>"900 000 000 000 319"</x:f>
        <x:v>900 000 000 000 319</x:v>
      </x:c>
      <x:c r="D1118" s="21" t="str">
        <x:v>SYN-0319-INV-04</x:v>
      </x:c>
      <x:c r="E1118" s="39" t="n">
        <x:v>45947</x:v>
      </x:c>
      <x:c r="F1118" s="42" t="n">
        <x:v>11770.85</x:v>
      </x:c>
      <x:c r="G1118" s="42" t="n">
        <x:v>588.54</x:v>
      </x:c>
      <x:c r="H1118" s="42" t="n">
        <x:v>58923.18</x:v>
      </x:c>
      <x:c r="I1118" s="39" t="n">
        <x:v>46162</x:v>
      </x:c>
    </x:row>
    <x:row r="1119">
      <x:c r="A1119" s="21" t="str">
        <x:v>SYN-0319</x:v>
      </x:c>
      <x:c r="B1119" s="21" t="str">
        <x:v>Synthetic Supplier 0319 LLC</x:v>
      </x:c>
      <x:c r="C1119" s="38" t="str">
        <x:f>"900 000 000 000 319"</x:f>
        <x:v>900 000 000 000 319</x:v>
      </x:c>
      <x:c r="D1119" s="21" t="str">
        <x:v>SYN-0319-INV-05</x:v>
      </x:c>
      <x:c r="E1119" s="39" t="n">
        <x:v>45994</x:v>
      </x:c>
      <x:c r="F1119" s="42" t="n">
        <x:v>20660.48</x:v>
      </x:c>
      <x:c r="G1119" s="42" t="n">
        <x:v>1033.02</x:v>
      </x:c>
      <x:c r="H1119" s="42" t="n">
        <x:v>58923.18</x:v>
      </x:c>
      <x:c r="I1119" s="39" t="n">
        <x:v>46162</x:v>
      </x:c>
    </x:row>
    <x:row r="1120">
      <x:c r="A1120" s="21" t="str">
        <x:v>SYN-0320</x:v>
      </x:c>
      <x:c r="B1120" s="21" t="str">
        <x:v>Synthetic Supplier 0320 LLC</x:v>
      </x:c>
      <x:c r="C1120" s="38" t="str">
        <x:f>"900 000 000 000 320"</x:f>
        <x:v>900 000 000 000 320</x:v>
      </x:c>
      <x:c r="D1120" s="21" t="str">
        <x:v>SYN-0320-INV-01</x:v>
      </x:c>
      <x:c r="E1120" s="39" t="n">
        <x:v>46179</x:v>
      </x:c>
      <x:c r="F1120" s="42" t="n">
        <x:v>35232.04</x:v>
      </x:c>
      <x:c r="G1120" s="42" t="n">
        <x:v>1761.6</x:v>
      </x:c>
      <x:c r="H1120" s="42" t="n">
        <x:v>79649.79</x:v>
      </x:c>
      <x:c r="I1120" s="39"/>
    </x:row>
    <x:row r="1121">
      <x:c r="A1121" s="21" t="str">
        <x:v>SYN-0320</x:v>
      </x:c>
      <x:c r="B1121" s="21" t="str">
        <x:v>Synthetic Supplier 0320 LLC</x:v>
      </x:c>
      <x:c r="C1121" s="38" t="str">
        <x:f>"900 000 000 000 320"</x:f>
        <x:v>900 000 000 000 320</x:v>
      </x:c>
      <x:c r="D1121" s="21" t="str">
        <x:v>SYN-0320-INV-02</x:v>
      </x:c>
      <x:c r="E1121" s="39" t="n">
        <x:v>46226</x:v>
      </x:c>
      <x:c r="F1121" s="42" t="n">
        <x:v>53267.73</x:v>
      </x:c>
      <x:c r="G1121" s="42" t="n">
        <x:v>2663.39</x:v>
      </x:c>
      <x:c r="H1121" s="42" t="n">
        <x:v>79649.79</x:v>
      </x:c>
      <x:c r="I1121" s="39"/>
    </x:row>
    <x:row r="1122">
      <x:c r="A1122" s="21" t="str">
        <x:v>SYN-0321</x:v>
      </x:c>
      <x:c r="B1122" s="21" t="str">
        <x:v>Synthetic Supplier 0321 LLC</x:v>
      </x:c>
      <x:c r="C1122" s="38" t="str">
        <x:f>"900 000 000 000 321"</x:f>
        <x:v>900 000 000 000 321</x:v>
      </x:c>
      <x:c r="D1122" s="21" t="str">
        <x:v>SYN-0321-INV-01</x:v>
      </x:c>
      <x:c r="E1122" s="39" t="n">
        <x:v>46192</x:v>
      </x:c>
      <x:c r="F1122" s="42" t="n">
        <x:v>26493.86</x:v>
      </x:c>
      <x:c r="G1122" s="42" t="n">
        <x:v>1324.69</x:v>
      </x:c>
      <x:c r="H1122" s="42" t="n">
        <x:v>77541.99</x:v>
      </x:c>
      <x:c r="I1122" s="39" t="n">
        <x:v>46225</x:v>
      </x:c>
    </x:row>
    <x:row r="1123">
      <x:c r="A1123" s="21" t="str">
        <x:v>SYN-0321</x:v>
      </x:c>
      <x:c r="B1123" s="21" t="str">
        <x:v>Synthetic Supplier 0321 LLC</x:v>
      </x:c>
      <x:c r="C1123" s="38" t="str">
        <x:f>"900 000 000 000 321"</x:f>
        <x:v>900 000 000 000 321</x:v>
      </x:c>
      <x:c r="D1123" s="21" t="str">
        <x:v>SYN-0321-INV-02</x:v>
      </x:c>
      <x:c r="E1123" s="39" t="n">
        <x:v>46239</x:v>
      </x:c>
      <x:c r="F1123" s="42" t="n">
        <x:v>34732.34</x:v>
      </x:c>
      <x:c r="G1123" s="42" t="n">
        <x:v>1736.62</x:v>
      </x:c>
      <x:c r="H1123" s="42" t="n">
        <x:v>77541.99</x:v>
      </x:c>
      <x:c r="I1123" s="39" t="n">
        <x:v>46225</x:v>
      </x:c>
    </x:row>
    <x:row r="1124">
      <x:c r="A1124" s="21" t="str">
        <x:v>SYN-0321</x:v>
      </x:c>
      <x:c r="B1124" s="21" t="str">
        <x:v>Synthetic Supplier 0321 LLC</x:v>
      </x:c>
      <x:c r="C1124" s="38" t="str">
        <x:f>"900 000 000 000 321"</x:f>
        <x:v>900 000 000 000 321</x:v>
      </x:c>
      <x:c r="D1124" s="21" t="str">
        <x:v>SYN-0321-INV-03</x:v>
      </x:c>
      <x:c r="E1124" s="39" t="n">
        <x:v>46286</x:v>
      </x:c>
      <x:c r="F1124" s="42" t="n">
        <x:v>24931.58</x:v>
      </x:c>
      <x:c r="G1124" s="42" t="n">
        <x:v>1246.58</x:v>
      </x:c>
      <x:c r="H1124" s="42" t="n">
        <x:v>77541.99</x:v>
      </x:c>
      <x:c r="I1124" s="39" t="n">
        <x:v>46225</x:v>
      </x:c>
    </x:row>
    <x:row r="1125">
      <x:c r="A1125" s="21" t="str">
        <x:v>SYN-0322</x:v>
      </x:c>
      <x:c r="B1125" s="21" t="str">
        <x:v>Synthetic Supplier 0322 LLC</x:v>
      </x:c>
      <x:c r="C1125" s="38" t="str">
        <x:f>"900 000 000 000 322"</x:f>
        <x:v>900 000 000 000 322</x:v>
      </x:c>
      <x:c r="D1125" s="21" t="str">
        <x:v>SYN-0322-INV-01</x:v>
      </x:c>
      <x:c r="E1125" s="39" t="n">
        <x:v>46205</x:v>
      </x:c>
      <x:c r="F1125" s="42" t="n">
        <x:v>12071.08</x:v>
      </x:c>
      <x:c r="G1125" s="42" t="n">
        <x:v>603.55</x:v>
      </x:c>
      <x:c r="H1125" s="42" t="n">
        <x:v>40468.6</x:v>
      </x:c>
      <x:c r="I1125" s="39" t="n">
        <x:v>45892</x:v>
      </x:c>
    </x:row>
    <x:row r="1126">
      <x:c r="A1126" s="21" t="str">
        <x:v>SYN-0322</x:v>
      </x:c>
      <x:c r="B1126" s="21" t="str">
        <x:v>Synthetic Supplier 0322 LLC</x:v>
      </x:c>
      <x:c r="C1126" s="38" t="str">
        <x:f>"900 000 000 000 322"</x:f>
        <x:v>900 000 000 000 322</x:v>
      </x:c>
      <x:c r="D1126" s="21" t="str">
        <x:v>SYN-0322-INV-02</x:v>
      </x:c>
      <x:c r="E1126" s="39" t="n">
        <x:v>46252</x:v>
      </x:c>
      <x:c r="F1126" s="42" t="n">
        <x:v>7291.62</x:v>
      </x:c>
      <x:c r="G1126" s="42" t="n">
        <x:v>364.58</x:v>
      </x:c>
      <x:c r="H1126" s="42" t="n">
        <x:v>40468.6</x:v>
      </x:c>
      <x:c r="I1126" s="39" t="n">
        <x:v>45892</x:v>
      </x:c>
    </x:row>
    <x:row r="1127">
      <x:c r="A1127" s="21" t="str">
        <x:v>SYN-0322</x:v>
      </x:c>
      <x:c r="B1127" s="21" t="str">
        <x:v>Synthetic Supplier 0322 LLC</x:v>
      </x:c>
      <x:c r="C1127" s="38" t="str">
        <x:f>"900 000 000 000 322"</x:f>
        <x:v>900 000 000 000 322</x:v>
      </x:c>
      <x:c r="D1127" s="21" t="str">
        <x:v>SYN-0322-INV-03</x:v>
      </x:c>
      <x:c r="E1127" s="39" t="n">
        <x:v>45939</x:v>
      </x:c>
      <x:c r="F1127" s="42" t="n">
        <x:v>9788.25</x:v>
      </x:c>
      <x:c r="G1127" s="42" t="n">
        <x:v>489.41</x:v>
      </x:c>
      <x:c r="H1127" s="42" t="n">
        <x:v>40468.6</x:v>
      </x:c>
      <x:c r="I1127" s="39" t="n">
        <x:v>45892</x:v>
      </x:c>
    </x:row>
    <x:row r="1128">
      <x:c r="A1128" s="21" t="str">
        <x:v>SYN-0322</x:v>
      </x:c>
      <x:c r="B1128" s="21" t="str">
        <x:v>Synthetic Supplier 0322 LLC</x:v>
      </x:c>
      <x:c r="C1128" s="38" t="str">
        <x:f>"900 000 000 000 322"</x:f>
        <x:v>900 000 000 000 322</x:v>
      </x:c>
      <x:c r="D1128" s="21" t="str">
        <x:v>SYN-0322-INV-04</x:v>
      </x:c>
      <x:c r="E1128" s="39" t="n">
        <x:v>45986</x:v>
      </x:c>
      <x:c r="F1128" s="42" t="n">
        <x:v>6039.14</x:v>
      </x:c>
      <x:c r="G1128" s="42" t="n">
        <x:v>301.96</x:v>
      </x:c>
      <x:c r="H1128" s="42" t="n">
        <x:v>40468.6</x:v>
      </x:c>
      <x:c r="I1128" s="39" t="n">
        <x:v>45892</x:v>
      </x:c>
    </x:row>
    <x:row r="1129">
      <x:c r="A1129" s="21" t="str">
        <x:v>SYN-0323</x:v>
      </x:c>
      <x:c r="B1129" s="21" t="str">
        <x:v>Synthetic Supplier 0323 LLC</x:v>
      </x:c>
      <x:c r="C1129" s="38" t="str">
        <x:f>"900 000 000 000 323"</x:f>
        <x:v>900 000 000 000 323</x:v>
      </x:c>
      <x:c r="D1129" s="21" t="str">
        <x:v>SYN-0323-INV-01</x:v>
      </x:c>
      <x:c r="E1129" s="39" t="n">
        <x:v>46218</x:v>
      </x:c>
      <x:c r="F1129" s="42" t="n">
        <x:v>11041.3</x:v>
      </x:c>
      <x:c r="G1129" s="42" t="n">
        <x:v>552.06</x:v>
      </x:c>
      <x:c r="H1129" s="42" t="n">
        <x:v>76269.33</x:v>
      </x:c>
      <x:c r="I1129" s="39" t="n">
        <x:v>46289</x:v>
      </x:c>
    </x:row>
    <x:row r="1130">
      <x:c r="A1130" s="21" t="str">
        <x:v>SYN-0323</x:v>
      </x:c>
      <x:c r="B1130" s="21" t="str">
        <x:v>Synthetic Supplier 0323 LLC</x:v>
      </x:c>
      <x:c r="C1130" s="38" t="str">
        <x:f>"900 000 000 000 323"</x:f>
        <x:v>900 000 000 000 323</x:v>
      </x:c>
      <x:c r="D1130" s="21" t="str">
        <x:v>SYN-0323-INV-02</x:v>
      </x:c>
      <x:c r="E1130" s="39" t="n">
        <x:v>46265</x:v>
      </x:c>
      <x:c r="F1130" s="42" t="n">
        <x:v>10200.18</x:v>
      </x:c>
      <x:c r="G1130" s="42" t="n">
        <x:v>510.01</x:v>
      </x:c>
      <x:c r="H1130" s="42" t="n">
        <x:v>76269.33</x:v>
      </x:c>
      <x:c r="I1130" s="39" t="n">
        <x:v>46289</x:v>
      </x:c>
    </x:row>
    <x:row r="1131">
      <x:c r="A1131" s="21" t="str">
        <x:v>SYN-0323</x:v>
      </x:c>
      <x:c r="B1131" s="21" t="str">
        <x:v>Synthetic Supplier 0323 LLC</x:v>
      </x:c>
      <x:c r="C1131" s="38" t="str">
        <x:f>"900 000 000 000 323"</x:f>
        <x:v>900 000 000 000 323</x:v>
      </x:c>
      <x:c r="D1131" s="21" t="str">
        <x:v>SYN-0323-INV-03</x:v>
      </x:c>
      <x:c r="E1131" s="39" t="n">
        <x:v>45952</x:v>
      </x:c>
      <x:c r="F1131" s="42" t="n">
        <x:v>21712.51</x:v>
      </x:c>
      <x:c r="G1131" s="42" t="n">
        <x:v>1085.63</x:v>
      </x:c>
      <x:c r="H1131" s="42" t="n">
        <x:v>76269.33</x:v>
      </x:c>
      <x:c r="I1131" s="39" t="n">
        <x:v>46289</x:v>
      </x:c>
    </x:row>
    <x:row r="1132">
      <x:c r="A1132" s="21" t="str">
        <x:v>SYN-0323</x:v>
      </x:c>
      <x:c r="B1132" s="21" t="str">
        <x:v>Synthetic Supplier 0323 LLC</x:v>
      </x:c>
      <x:c r="C1132" s="38" t="str">
        <x:f>"900 000 000 000 323"</x:f>
        <x:v>900 000 000 000 323</x:v>
      </x:c>
      <x:c r="D1132" s="21" t="str">
        <x:v>SYN-0323-INV-04</x:v>
      </x:c>
      <x:c r="E1132" s="39" t="n">
        <x:v>45999</x:v>
      </x:c>
      <x:c r="F1132" s="42" t="n">
        <x:v>22354.94</x:v>
      </x:c>
      <x:c r="G1132" s="42" t="n">
        <x:v>1117.75</x:v>
      </x:c>
      <x:c r="H1132" s="42" t="n">
        <x:v>76269.33</x:v>
      </x:c>
      <x:c r="I1132" s="39" t="n">
        <x:v>46289</x:v>
      </x:c>
    </x:row>
    <x:row r="1133">
      <x:c r="A1133" s="21" t="str">
        <x:v>SYN-0323</x:v>
      </x:c>
      <x:c r="B1133" s="21" t="str">
        <x:v>Synthetic Supplier 0323 LLC</x:v>
      </x:c>
      <x:c r="C1133" s="38" t="str">
        <x:f>"900 000 000 000 323"</x:f>
        <x:v>900 000 000 000 323</x:v>
      </x:c>
      <x:c r="D1133" s="21" t="str">
        <x:v>SYN-0323-INV-05</x:v>
      </x:c>
      <x:c r="E1133" s="39" t="n">
        <x:v>46046</x:v>
      </x:c>
      <x:c r="F1133" s="42" t="n">
        <x:v>19434.77</x:v>
      </x:c>
      <x:c r="G1133" s="42" t="n">
        <x:v>971.74</x:v>
      </x:c>
      <x:c r="H1133" s="42" t="n">
        <x:v>76269.33</x:v>
      </x:c>
      <x:c r="I1133" s="39" t="n">
        <x:v>46289</x:v>
      </x:c>
    </x:row>
    <x:row r="1134">
      <x:c r="A1134" s="21" t="str">
        <x:v>SYN-0324</x:v>
      </x:c>
      <x:c r="B1134" s="21" t="str">
        <x:v>Synthetic Supplier 0324 LLC</x:v>
      </x:c>
      <x:c r="C1134" s="38" t="str">
        <x:f>"900 000 000 000 324"</x:f>
        <x:v>900 000 000 000 324</x:v>
      </x:c>
      <x:c r="D1134" s="21" t="str">
        <x:v>SYN-0324-INV-01</x:v>
      </x:c>
      <x:c r="E1134" s="39" t="n">
        <x:v>46231</x:v>
      </x:c>
      <x:c r="F1134" s="42" t="n">
        <x:v>49505.93</x:v>
      </x:c>
      <x:c r="G1134" s="42" t="n">
        <x:v>2475.3</x:v>
      </x:c>
      <x:c r="H1134" s="42" t="n">
        <x:v>76862.12</x:v>
      </x:c>
      <x:c r="I1134" s="39" t="n">
        <x:v>45682</x:v>
      </x:c>
    </x:row>
    <x:row r="1135">
      <x:c r="A1135" s="21" t="str">
        <x:v>SYN-0324</x:v>
      </x:c>
      <x:c r="B1135" s="21" t="str">
        <x:v>Synthetic Supplier 0324 LLC</x:v>
      </x:c>
      <x:c r="C1135" s="38" t="str">
        <x:f>"900 000 000 000 324"</x:f>
        <x:v>900 000 000 000 324</x:v>
      </x:c>
      <x:c r="D1135" s="21" t="str">
        <x:v>SYN-0324-INV-02</x:v>
      </x:c>
      <x:c r="E1135" s="39" t="n">
        <x:v>46278</x:v>
      </x:c>
      <x:c r="F1135" s="42" t="n">
        <x:v>35896.42</x:v>
      </x:c>
      <x:c r="G1135" s="42" t="n">
        <x:v>1794.82</x:v>
      </x:c>
      <x:c r="H1135" s="42" t="n">
        <x:v>76862.12</x:v>
      </x:c>
      <x:c r="I1135" s="39" t="n">
        <x:v>45682</x:v>
      </x:c>
    </x:row>
    <x:row r="1136">
      <x:c r="A1136" s="21" t="str">
        <x:v>SYN-0325</x:v>
      </x:c>
      <x:c r="B1136" s="21" t="str">
        <x:v>Synthetic Supplier 0325 LLC</x:v>
      </x:c>
      <x:c r="C1136" s="38" t="str">
        <x:f>"900 000 000 000 325"</x:f>
        <x:v>900 000 000 000 325</x:v>
      </x:c>
      <x:c r="D1136" s="21" t="str">
        <x:v>SYN-0325-INV-01</x:v>
      </x:c>
      <x:c r="E1136" s="39" t="n">
        <x:v>46244</x:v>
      </x:c>
      <x:c r="F1136" s="42" t="n">
        <x:v>20652.62</x:v>
      </x:c>
      <x:c r="G1136" s="42" t="n">
        <x:v>1032.63</x:v>
      </x:c>
      <x:c r="H1136" s="42" t="n">
        <x:v>46905.06</x:v>
      </x:c>
      <x:c r="I1136" s="39"/>
    </x:row>
    <x:row r="1137">
      <x:c r="A1137" s="21" t="str">
        <x:v>SYN-0325</x:v>
      </x:c>
      <x:c r="B1137" s="21" t="str">
        <x:v>Synthetic Supplier 0325 LLC</x:v>
      </x:c>
      <x:c r="C1137" s="38" t="str">
        <x:f>"900 000 000 000 325"</x:f>
        <x:v>900 000 000 000 325</x:v>
      </x:c>
      <x:c r="D1137" s="21" t="str">
        <x:v>SYN-0325-INV-02</x:v>
      </x:c>
      <x:c r="E1137" s="39" t="n">
        <x:v>46291</x:v>
      </x:c>
      <x:c r="F1137" s="42" t="n">
        <x:v>12809.47</x:v>
      </x:c>
      <x:c r="G1137" s="42" t="n">
        <x:v>640.47</x:v>
      </x:c>
      <x:c r="H1137" s="42" t="n">
        <x:v>46905.06</x:v>
      </x:c>
      <x:c r="I1137" s="39"/>
    </x:row>
    <x:row r="1138">
      <x:c r="A1138" s="21" t="str">
        <x:v>SYN-0325</x:v>
      </x:c>
      <x:c r="B1138" s="21" t="str">
        <x:v>Synthetic Supplier 0325 LLC</x:v>
      </x:c>
      <x:c r="C1138" s="38" t="str">
        <x:f>"900 000 000 000 325"</x:f>
        <x:v>900 000 000 000 325</x:v>
      </x:c>
      <x:c r="D1138" s="21" t="str">
        <x:v>SYN-0325-INV-03</x:v>
      </x:c>
      <x:c r="E1138" s="39" t="n">
        <x:v>45978</x:v>
      </x:c>
      <x:c r="F1138" s="42" t="n">
        <x:v>18654.65</x:v>
      </x:c>
      <x:c r="G1138" s="42" t="n">
        <x:v>932.73</x:v>
      </x:c>
      <x:c r="H1138" s="42" t="n">
        <x:v>46905.06</x:v>
      </x:c>
      <x:c r="I1138" s="39"/>
    </x:row>
    <x:row r="1139">
      <x:c r="A1139" s="21" t="str">
        <x:v>SYN-0326</x:v>
      </x:c>
      <x:c r="B1139" s="21" t="str">
        <x:v>Synthetic Supplier 0326 LLC</x:v>
      </x:c>
      <x:c r="C1139" s="38" t="str">
        <x:f>"900 000 000 000 326"</x:f>
        <x:v>900 000 000 000 326</x:v>
      </x:c>
      <x:c r="D1139" s="21" t="str">
        <x:v>SYN-0326-INV-01</x:v>
      </x:c>
      <x:c r="E1139" s="39" t="n">
        <x:v>46257</x:v>
      </x:c>
      <x:c r="F1139" s="42" t="n">
        <x:v>18515.93</x:v>
      </x:c>
      <x:c r="G1139" s="42" t="n">
        <x:v>925.8</x:v>
      </x:c>
      <x:c r="H1139" s="42" t="n">
        <x:v>53015.08</x:v>
      </x:c>
      <x:c r="I1139" s="39" t="n">
        <x:v>45718</x:v>
      </x:c>
    </x:row>
    <x:row r="1140">
      <x:c r="A1140" s="21" t="str">
        <x:v>SYN-0326</x:v>
      </x:c>
      <x:c r="B1140" s="21" t="str">
        <x:v>Synthetic Supplier 0326 LLC</x:v>
      </x:c>
      <x:c r="C1140" s="38" t="str">
        <x:f>"900 000 000 000 326"</x:f>
        <x:v>900 000 000 000 326</x:v>
      </x:c>
      <x:c r="D1140" s="21" t="str">
        <x:v>SYN-0326-INV-02</x:v>
      </x:c>
      <x:c r="E1140" s="39" t="n">
        <x:v>45944</x:v>
      </x:c>
      <x:c r="F1140" s="42" t="n">
        <x:v>17061.9</x:v>
      </x:c>
      <x:c r="G1140" s="42" t="n">
        <x:v>853.09</x:v>
      </x:c>
      <x:c r="H1140" s="42" t="n">
        <x:v>53015.08</x:v>
      </x:c>
      <x:c r="I1140" s="39" t="n">
        <x:v>45718</x:v>
      </x:c>
    </x:row>
    <x:row r="1141">
      <x:c r="A1141" s="21" t="str">
        <x:v>SYN-0326</x:v>
      </x:c>
      <x:c r="B1141" s="21" t="str">
        <x:v>Synthetic Supplier 0326 LLC</x:v>
      </x:c>
      <x:c r="C1141" s="38" t="str">
        <x:f>"900 000 000 000 326"</x:f>
        <x:v>900 000 000 000 326</x:v>
      </x:c>
      <x:c r="D1141" s="21" t="str">
        <x:v>SYN-0326-INV-03</x:v>
      </x:c>
      <x:c r="E1141" s="39" t="n">
        <x:v>45991</x:v>
      </x:c>
      <x:c r="F1141" s="42" t="n">
        <x:v>9541.89</x:v>
      </x:c>
      <x:c r="G1141" s="42" t="n">
        <x:v>477.09</x:v>
      </x:c>
      <x:c r="H1141" s="42" t="n">
        <x:v>53015.08</x:v>
      </x:c>
      <x:c r="I1141" s="39" t="n">
        <x:v>45718</x:v>
      </x:c>
    </x:row>
    <x:row r="1142">
      <x:c r="A1142" s="21" t="str">
        <x:v>SYN-0326</x:v>
      </x:c>
      <x:c r="B1142" s="21" t="str">
        <x:v>Synthetic Supplier 0326 LLC</x:v>
      </x:c>
      <x:c r="C1142" s="38" t="str">
        <x:f>"900 000 000 000 326"</x:f>
        <x:v>900 000 000 000 326</x:v>
      </x:c>
      <x:c r="D1142" s="21" t="str">
        <x:v>SYN-0326-INV-04</x:v>
      </x:c>
      <x:c r="E1142" s="39" t="n">
        <x:v>46038</x:v>
      </x:c>
      <x:c r="F1142" s="42" t="n">
        <x:v>13785.94</x:v>
      </x:c>
      <x:c r="G1142" s="42" t="n">
        <x:v>689.3</x:v>
      </x:c>
      <x:c r="H1142" s="42" t="n">
        <x:v>53015.08</x:v>
      </x:c>
      <x:c r="I1142" s="39" t="n">
        <x:v>45718</x:v>
      </x:c>
    </x:row>
    <x:row r="1143">
      <x:c r="A1143" s="21" t="str">
        <x:v>SYN-0327</x:v>
      </x:c>
      <x:c r="B1143" s="21" t="str">
        <x:v>Synthetic Supplier 0327 LLC</x:v>
      </x:c>
      <x:c r="C1143" s="38" t="str">
        <x:f>"900 000 000 000 327"</x:f>
        <x:v>900 000 000 000 327</x:v>
      </x:c>
      <x:c r="D1143" s="21" t="str">
        <x:v>SYN-0327-INV-01</x:v>
      </x:c>
      <x:c r="E1143" s="39" t="n">
        <x:v>46270</x:v>
      </x:c>
      <x:c r="F1143" s="42" t="n">
        <x:v>18315.6</x:v>
      </x:c>
      <x:c r="G1143" s="42" t="n">
        <x:v>915.78</x:v>
      </x:c>
      <x:c r="H1143" s="42" t="n">
        <x:v>71348.83</x:v>
      </x:c>
      <x:c r="I1143" s="39" t="n">
        <x:v>46115</x:v>
      </x:c>
    </x:row>
    <x:row r="1144">
      <x:c r="A1144" s="21" t="str">
        <x:v>SYN-0327</x:v>
      </x:c>
      <x:c r="B1144" s="21" t="str">
        <x:v>Synthetic Supplier 0327 LLC</x:v>
      </x:c>
      <x:c r="C1144" s="38" t="str">
        <x:f>"900 000 000 000 327"</x:f>
        <x:v>900 000 000 000 327</x:v>
      </x:c>
      <x:c r="D1144" s="21" t="str">
        <x:v>SYN-0327-INV-02</x:v>
      </x:c>
      <x:c r="E1144" s="39" t="n">
        <x:v>45957</x:v>
      </x:c>
      <x:c r="F1144" s="42" t="n">
        <x:v>18637.55</x:v>
      </x:c>
      <x:c r="G1144" s="42" t="n">
        <x:v>931.88</x:v>
      </x:c>
      <x:c r="H1144" s="42" t="n">
        <x:v>71348.83</x:v>
      </x:c>
      <x:c r="I1144" s="39" t="n">
        <x:v>46115</x:v>
      </x:c>
    </x:row>
    <x:row r="1145">
      <x:c r="A1145" s="21" t="str">
        <x:v>SYN-0327</x:v>
      </x:c>
      <x:c r="B1145" s="21" t="str">
        <x:v>Synthetic Supplier 0327 LLC</x:v>
      </x:c>
      <x:c r="C1145" s="38" t="str">
        <x:f>"900 000 000 000 327"</x:f>
        <x:v>900 000 000 000 327</x:v>
      </x:c>
      <x:c r="D1145" s="21" t="str">
        <x:v>SYN-0327-INV-03</x:v>
      </x:c>
      <x:c r="E1145" s="39" t="n">
        <x:v>46004</x:v>
      </x:c>
      <x:c r="F1145" s="42" t="n">
        <x:v>10428.45</x:v>
      </x:c>
      <x:c r="G1145" s="42" t="n">
        <x:v>521.42</x:v>
      </x:c>
      <x:c r="H1145" s="42" t="n">
        <x:v>71348.83</x:v>
      </x:c>
      <x:c r="I1145" s="39" t="n">
        <x:v>46115</x:v>
      </x:c>
    </x:row>
    <x:row r="1146">
      <x:c r="A1146" s="21" t="str">
        <x:v>SYN-0327</x:v>
      </x:c>
      <x:c r="B1146" s="21" t="str">
        <x:v>Synthetic Supplier 0327 LLC</x:v>
      </x:c>
      <x:c r="C1146" s="38" t="str">
        <x:f>"900 000 000 000 327"</x:f>
        <x:v>900 000 000 000 327</x:v>
      </x:c>
      <x:c r="D1146" s="21" t="str">
        <x:v>SYN-0327-INV-04</x:v>
      </x:c>
      <x:c r="E1146" s="39" t="n">
        <x:v>46051</x:v>
      </x:c>
      <x:c r="F1146" s="42" t="n">
        <x:v>14686.35</x:v>
      </x:c>
      <x:c r="G1146" s="42" t="n">
        <x:v>734.32</x:v>
      </x:c>
      <x:c r="H1146" s="42" t="n">
        <x:v>71348.83</x:v>
      </x:c>
      <x:c r="I1146" s="39" t="n">
        <x:v>46115</x:v>
      </x:c>
    </x:row>
    <x:row r="1147">
      <x:c r="A1147" s="21" t="str">
        <x:v>SYN-0327</x:v>
      </x:c>
      <x:c r="B1147" s="21" t="str">
        <x:v>Synthetic Supplier 0327 LLC</x:v>
      </x:c>
      <x:c r="C1147" s="38" t="str">
        <x:f>"900 000 000 000 327"</x:f>
        <x:v>900 000 000 000 327</x:v>
      </x:c>
      <x:c r="D1147" s="21" t="str">
        <x:v>SYN-0327-INV-05</x:v>
      </x:c>
      <x:c r="E1147" s="39" t="n">
        <x:v>46098</x:v>
      </x:c>
      <x:c r="F1147" s="42" t="n">
        <x:v>17208.52</x:v>
      </x:c>
      <x:c r="G1147" s="42" t="n">
        <x:v>860.43</x:v>
      </x:c>
      <x:c r="H1147" s="42" t="n">
        <x:v>71348.83</x:v>
      </x:c>
      <x:c r="I1147" s="39" t="n">
        <x:v>46115</x:v>
      </x:c>
    </x:row>
    <x:row r="1148">
      <x:c r="A1148" s="21" t="str">
        <x:v>SYN-0328</x:v>
      </x:c>
      <x:c r="B1148" s="21" t="str">
        <x:v>Synthetic Supplier 0328 LLC</x:v>
      </x:c>
      <x:c r="C1148" s="38" t="str">
        <x:f>"900 000 000 000 328"</x:f>
        <x:v>900 000 000 000 328</x:v>
      </x:c>
      <x:c r="D1148" s="21" t="str">
        <x:v>SYN-0328-INV-01</x:v>
      </x:c>
      <x:c r="E1148" s="39" t="n">
        <x:v>46283</x:v>
      </x:c>
      <x:c r="F1148" s="42" t="n">
        <x:v>41505.67</x:v>
      </x:c>
      <x:c r="G1148" s="42" t="n">
        <x:v>2075.28</x:v>
      </x:c>
      <x:c r="H1148" s="42" t="n">
        <x:v>64405.64</x:v>
      </x:c>
      <x:c r="I1148" s="39" t="n">
        <x:v>45781</x:v>
      </x:c>
    </x:row>
    <x:row r="1149">
      <x:c r="A1149" s="21" t="str">
        <x:v>SYN-0328</x:v>
      </x:c>
      <x:c r="B1149" s="21" t="str">
        <x:v>Synthetic Supplier 0328 LLC</x:v>
      </x:c>
      <x:c r="C1149" s="38" t="str">
        <x:f>"900 000 000 000 328"</x:f>
        <x:v>900 000 000 000 328</x:v>
      </x:c>
      <x:c r="D1149" s="21" t="str">
        <x:v>SYN-0328-INV-02</x:v>
      </x:c>
      <x:c r="E1149" s="39" t="n">
        <x:v>45970</x:v>
      </x:c>
      <x:c r="F1149" s="42" t="n">
        <x:v>30056.15</x:v>
      </x:c>
      <x:c r="G1149" s="42" t="n">
        <x:v>1502.81</x:v>
      </x:c>
      <x:c r="H1149" s="42" t="n">
        <x:v>64405.64</x:v>
      </x:c>
      <x:c r="I1149" s="39" t="n">
        <x:v>45781</x:v>
      </x:c>
    </x:row>
    <x:row r="1150">
      <x:c r="A1150" s="21" t="str">
        <x:v>SYN-0329</x:v>
      </x:c>
      <x:c r="B1150" s="21" t="str">
        <x:v>Synthetic Supplier 0329 LLC</x:v>
      </x:c>
      <x:c r="C1150" s="38" t="str">
        <x:f>"900 000 000 000 329"</x:f>
        <x:v>900 000 000 000 329</x:v>
      </x:c>
      <x:c r="D1150" s="21" t="str">
        <x:v>SYN-0329-INV-01</x:v>
      </x:c>
      <x:c r="E1150" s="39" t="n">
        <x:v>45936</x:v>
      </x:c>
      <x:c r="F1150" s="42" t="n">
        <x:v>20527.57</x:v>
      </x:c>
      <x:c r="G1150" s="42" t="n">
        <x:v>1026.38</x:v>
      </x:c>
      <x:c r="H1150" s="42" t="n">
        <x:v>84176.72</x:v>
      </x:c>
      <x:c r="I1150" s="39" t="n">
        <x:v>46178</x:v>
      </x:c>
    </x:row>
    <x:row r="1151">
      <x:c r="A1151" s="21" t="str">
        <x:v>SYN-0329</x:v>
      </x:c>
      <x:c r="B1151" s="21" t="str">
        <x:v>Synthetic Supplier 0329 LLC</x:v>
      </x:c>
      <x:c r="C1151" s="38" t="str">
        <x:f>"900 000 000 000 329"</x:f>
        <x:v>900 000 000 000 329</x:v>
      </x:c>
      <x:c r="D1151" s="21" t="str">
        <x:v>SYN-0329-INV-02</x:v>
      </x:c>
      <x:c r="E1151" s="39" t="n">
        <x:v>45983</x:v>
      </x:c>
      <x:c r="F1151" s="42" t="n">
        <x:v>20844.67</x:v>
      </x:c>
      <x:c r="G1151" s="42" t="n">
        <x:v>1042.23</x:v>
      </x:c>
      <x:c r="H1151" s="42" t="n">
        <x:v>84176.72</x:v>
      </x:c>
      <x:c r="I1151" s="39" t="n">
        <x:v>46178</x:v>
      </x:c>
    </x:row>
    <x:row r="1152">
      <x:c r="A1152" s="21" t="str">
        <x:v>SYN-0329</x:v>
      </x:c>
      <x:c r="B1152" s="21" t="str">
        <x:v>Synthetic Supplier 0329 LLC</x:v>
      </x:c>
      <x:c r="C1152" s="38" t="str">
        <x:f>"900 000 000 000 329"</x:f>
        <x:v>900 000 000 000 329</x:v>
      </x:c>
      <x:c r="D1152" s="21" t="str">
        <x:v>SYN-0329-INV-03</x:v>
      </x:c>
      <x:c r="E1152" s="39" t="n">
        <x:v>46030</x:v>
      </x:c>
      <x:c r="F1152" s="42" t="n">
        <x:v>31824.92</x:v>
      </x:c>
      <x:c r="G1152" s="42" t="n">
        <x:v>1591.25</x:v>
      </x:c>
      <x:c r="H1152" s="42" t="n">
        <x:v>84176.72</x:v>
      </x:c>
      <x:c r="I1152" s="39" t="n">
        <x:v>46178</x:v>
      </x:c>
    </x:row>
    <x:row r="1153">
      <x:c r="A1153" s="21" t="str">
        <x:v>SYN-0330</x:v>
      </x:c>
      <x:c r="B1153" s="21" t="str">
        <x:v>Synthetic Supplier 0330 LLC</x:v>
      </x:c>
      <x:c r="C1153" s="38" t="str">
        <x:f>"900 000 000 000 330"</x:f>
        <x:v>900 000 000 000 330</x:v>
      </x:c>
      <x:c r="D1153" s="21" t="str">
        <x:v>SYN-0330-INV-01</x:v>
      </x:c>
      <x:c r="E1153" s="39" t="n">
        <x:v>45949</x:v>
      </x:c>
      <x:c r="F1153" s="42" t="n">
        <x:v>13483.09</x:v>
      </x:c>
      <x:c r="G1153" s="42" t="n">
        <x:v>674.15</x:v>
      </x:c>
      <x:c r="H1153" s="42" t="n">
        <x:v>47988.72</x:v>
      </x:c>
      <x:c r="I1153" s="39"/>
    </x:row>
    <x:row r="1154">
      <x:c r="A1154" s="21" t="str">
        <x:v>SYN-0330</x:v>
      </x:c>
      <x:c r="B1154" s="21" t="str">
        <x:v>Synthetic Supplier 0330 LLC</x:v>
      </x:c>
      <x:c r="C1154" s="38" t="str">
        <x:f>"900 000 000 000 330"</x:f>
        <x:v>900 000 000 000 330</x:v>
      </x:c>
      <x:c r="D1154" s="21" t="str">
        <x:v>SYN-0330-INV-02</x:v>
      </x:c>
      <x:c r="E1154" s="39" t="n">
        <x:v>45996</x:v>
      </x:c>
      <x:c r="F1154" s="42" t="n">
        <x:v>13160.18</x:v>
      </x:c>
      <x:c r="G1154" s="42" t="n">
        <x:v>658.01</x:v>
      </x:c>
      <x:c r="H1154" s="42" t="n">
        <x:v>47988.72</x:v>
      </x:c>
      <x:c r="I1154" s="39"/>
    </x:row>
    <x:row r="1155">
      <x:c r="A1155" s="21" t="str">
        <x:v>SYN-0330</x:v>
      </x:c>
      <x:c r="B1155" s="21" t="str">
        <x:v>Synthetic Supplier 0330 LLC</x:v>
      </x:c>
      <x:c r="C1155" s="38" t="str">
        <x:f>"900 000 000 000 330"</x:f>
        <x:v>900 000 000 000 330</x:v>
      </x:c>
      <x:c r="D1155" s="21" t="str">
        <x:v>SYN-0330-INV-03</x:v>
      </x:c>
      <x:c r="E1155" s="39" t="n">
        <x:v>46043</x:v>
      </x:c>
      <x:c r="F1155" s="42" t="n">
        <x:v>17677.09</x:v>
      </x:c>
      <x:c r="G1155" s="42" t="n">
        <x:v>883.85</x:v>
      </x:c>
      <x:c r="H1155" s="42" t="n">
        <x:v>47988.72</x:v>
      </x:c>
      <x:c r="I1155" s="39"/>
    </x:row>
    <x:row r="1156">
      <x:c r="A1156" s="21" t="str">
        <x:v>SYN-0330</x:v>
      </x:c>
      <x:c r="B1156" s="21" t="str">
        <x:v>Synthetic Supplier 0330 LLC</x:v>
      </x:c>
      <x:c r="C1156" s="38" t="str">
        <x:f>"900 000 000 000 330"</x:f>
        <x:v>900 000 000 000 330</x:v>
      </x:c>
      <x:c r="D1156" s="21" t="str">
        <x:v>SYN-0330-INV-04</x:v>
      </x:c>
      <x:c r="E1156" s="39" t="n">
        <x:v>46090</x:v>
      </x:c>
      <x:c r="F1156" s="42" t="n">
        <x:v>9000.43</x:v>
      </x:c>
      <x:c r="G1156" s="42" t="n">
        <x:v>450.02</x:v>
      </x:c>
      <x:c r="H1156" s="42" t="n">
        <x:v>47988.72</x:v>
      </x:c>
      <x:c r="I1156" s="39"/>
    </x:row>
    <x:row r="1157">
      <x:c r="A1157" s="21" t="str">
        <x:v>SYN-0331</x:v>
      </x:c>
      <x:c r="B1157" s="21" t="str">
        <x:v>Synthetic Supplier 0331 LLC</x:v>
      </x:c>
      <x:c r="C1157" s="38" t="str">
        <x:f>"900 000 000 000 331"</x:f>
        <x:v>900 000 000 000 331</x:v>
      </x:c>
      <x:c r="D1157" s="21" t="str">
        <x:v>SYN-0331-INV-01</x:v>
      </x:c>
      <x:c r="E1157" s="39" t="n">
        <x:v>45962</x:v>
      </x:c>
      <x:c r="F1157" s="42" t="n">
        <x:v>17452.84</x:v>
      </x:c>
      <x:c r="G1157" s="42" t="n">
        <x:v>872.64</x:v>
      </x:c>
      <x:c r="H1157" s="42" t="n">
        <x:v>65176.64</x:v>
      </x:c>
      <x:c r="I1157" s="39" t="n">
        <x:v>46241</x:v>
      </x:c>
    </x:row>
    <x:row r="1158">
      <x:c r="A1158" s="21" t="str">
        <x:v>SYN-0331</x:v>
      </x:c>
      <x:c r="B1158" s="21" t="str">
        <x:v>Synthetic Supplier 0331 LLC</x:v>
      </x:c>
      <x:c r="C1158" s="38" t="str">
        <x:f>"900 000 000 000 331"</x:f>
        <x:v>900 000 000 000 331</x:v>
      </x:c>
      <x:c r="D1158" s="21" t="str">
        <x:v>SYN-0331-INV-02</x:v>
      </x:c>
      <x:c r="E1158" s="39" t="n">
        <x:v>46009</x:v>
      </x:c>
      <x:c r="F1158" s="42" t="n">
        <x:v>7915.17</x:v>
      </x:c>
      <x:c r="G1158" s="42" t="n">
        <x:v>395.76</x:v>
      </x:c>
      <x:c r="H1158" s="42" t="n">
        <x:v>65176.64</x:v>
      </x:c>
      <x:c r="I1158" s="39" t="n">
        <x:v>46241</x:v>
      </x:c>
    </x:row>
    <x:row r="1159">
      <x:c r="A1159" s="21" t="str">
        <x:v>SYN-0331</x:v>
      </x:c>
      <x:c r="B1159" s="21" t="str">
        <x:v>Synthetic Supplier 0331 LLC</x:v>
      </x:c>
      <x:c r="C1159" s="38" t="str">
        <x:f>"900 000 000 000 331"</x:f>
        <x:v>900 000 000 000 331</x:v>
      </x:c>
      <x:c r="D1159" s="21" t="str">
        <x:v>SYN-0331-INV-03</x:v>
      </x:c>
      <x:c r="E1159" s="39" t="n">
        <x:v>46056</x:v>
      </x:c>
      <x:c r="F1159" s="42" t="n">
        <x:v>16948.16</x:v>
      </x:c>
      <x:c r="G1159" s="42" t="n">
        <x:v>847.41</x:v>
      </x:c>
      <x:c r="H1159" s="42" t="n">
        <x:v>65176.64</x:v>
      </x:c>
      <x:c r="I1159" s="39" t="n">
        <x:v>46241</x:v>
      </x:c>
    </x:row>
    <x:row r="1160">
      <x:c r="A1160" s="21" t="str">
        <x:v>SYN-0331</x:v>
      </x:c>
      <x:c r="B1160" s="21" t="str">
        <x:v>Synthetic Supplier 0331 LLC</x:v>
      </x:c>
      <x:c r="C1160" s="38" t="str">
        <x:f>"900 000 000 000 331"</x:f>
        <x:v>900 000 000 000 331</x:v>
      </x:c>
      <x:c r="D1160" s="21" t="str">
        <x:v>SYN-0331-INV-04</x:v>
      </x:c>
      <x:c r="E1160" s="39" t="n">
        <x:v>46103</x:v>
      </x:c>
      <x:c r="F1160" s="42" t="n">
        <x:v>13431.1</x:v>
      </x:c>
      <x:c r="G1160" s="42" t="n">
        <x:v>671.55</x:v>
      </x:c>
      <x:c r="H1160" s="42" t="n">
        <x:v>65176.64</x:v>
      </x:c>
      <x:c r="I1160" s="39" t="n">
        <x:v>46241</x:v>
      </x:c>
    </x:row>
    <x:row r="1161">
      <x:c r="A1161" s="21" t="str">
        <x:v>SYN-0331</x:v>
      </x:c>
      <x:c r="B1161" s="21" t="str">
        <x:v>Synthetic Supplier 0331 LLC</x:v>
      </x:c>
      <x:c r="C1161" s="38" t="str">
        <x:f>"900 000 000 000 331"</x:f>
        <x:v>900 000 000 000 331</x:v>
      </x:c>
      <x:c r="D1161" s="21" t="str">
        <x:v>SYN-0331-INV-05</x:v>
      </x:c>
      <x:c r="E1161" s="39" t="n">
        <x:v>46150</x:v>
      </x:c>
      <x:c r="F1161" s="42" t="n">
        <x:v>16671.22</x:v>
      </x:c>
      <x:c r="G1161" s="42" t="n">
        <x:v>833.56</x:v>
      </x:c>
      <x:c r="H1161" s="42" t="n">
        <x:v>65176.64</x:v>
      </x:c>
      <x:c r="I1161" s="39" t="n">
        <x:v>46241</x:v>
      </x:c>
    </x:row>
    <x:row r="1162">
      <x:c r="A1162" s="21" t="str">
        <x:v>SYN-0332</x:v>
      </x:c>
      <x:c r="B1162" s="21" t="str">
        <x:v>Synthetic Supplier 0332 LLC</x:v>
      </x:c>
      <x:c r="C1162" s="38" t="str">
        <x:f>"900 000 000 000 332"</x:f>
        <x:v>900 000 000 000 332</x:v>
      </x:c>
      <x:c r="D1162" s="21" t="str">
        <x:v>SYN-0332-INV-01</x:v>
      </x:c>
      <x:c r="E1162" s="39" t="n">
        <x:v>45975</x:v>
      </x:c>
      <x:c r="F1162" s="42" t="n">
        <x:v>19473.81</x:v>
      </x:c>
      <x:c r="G1162" s="42" t="n">
        <x:v>973.69</x:v>
      </x:c>
      <x:c r="H1162" s="42" t="n">
        <x:v>34085.68</x:v>
      </x:c>
      <x:c r="I1162" s="39" t="n">
        <x:v>45908</x:v>
      </x:c>
    </x:row>
    <x:row r="1163">
      <x:c r="A1163" s="21" t="str">
        <x:v>SYN-0332</x:v>
      </x:c>
      <x:c r="B1163" s="21" t="str">
        <x:v>Synthetic Supplier 0332 LLC</x:v>
      </x:c>
      <x:c r="C1163" s="38" t="str">
        <x:f>"900 000 000 000 332"</x:f>
        <x:v>900 000 000 000 332</x:v>
      </x:c>
      <x:c r="D1163" s="21" t="str">
        <x:v>SYN-0332-INV-02</x:v>
      </x:c>
      <x:c r="E1163" s="39" t="n">
        <x:v>46022</x:v>
      </x:c>
      <x:c r="F1163" s="42" t="n">
        <x:v>18399.18</x:v>
      </x:c>
      <x:c r="G1163" s="42" t="n">
        <x:v>919.96</x:v>
      </x:c>
      <x:c r="H1163" s="42" t="n">
        <x:v>34085.68</x:v>
      </x:c>
      <x:c r="I1163" s="39" t="n">
        <x:v>45908</x:v>
      </x:c>
    </x:row>
    <x:row r="1164">
      <x:c r="A1164" s="21" t="str">
        <x:v>SYN-0333</x:v>
      </x:c>
      <x:c r="B1164" s="21" t="str">
        <x:v>Synthetic Supplier 0333 LLC</x:v>
      </x:c>
      <x:c r="C1164" s="38" t="str">
        <x:f>"900 000 000 000 333"</x:f>
        <x:v>900 000 000 000 333</x:v>
      </x:c>
      <x:c r="D1164" s="21" t="str">
        <x:v>SYN-0333-INV-01</x:v>
      </x:c>
      <x:c r="E1164" s="39" t="n">
        <x:v>45988</x:v>
      </x:c>
      <x:c r="F1164" s="42" t="n">
        <x:v>20257.34</x:v>
      </x:c>
      <x:c r="G1164" s="42" t="n">
        <x:v>1012.87</x:v>
      </x:c>
      <x:c r="H1164" s="42" t="n">
        <x:v>53944.15</x:v>
      </x:c>
      <x:c r="I1164" s="39" t="n">
        <x:v>46031</x:v>
      </x:c>
    </x:row>
    <x:row r="1165">
      <x:c r="A1165" s="21" t="str">
        <x:v>SYN-0333</x:v>
      </x:c>
      <x:c r="B1165" s="21" t="str">
        <x:v>Synthetic Supplier 0333 LLC</x:v>
      </x:c>
      <x:c r="C1165" s="38" t="str">
        <x:f>"900 000 000 000 333"</x:f>
        <x:v>900 000 000 000 333</x:v>
      </x:c>
      <x:c r="D1165" s="21" t="str">
        <x:v>SYN-0333-INV-02</x:v>
      </x:c>
      <x:c r="E1165" s="39" t="n">
        <x:v>46035</x:v>
      </x:c>
      <x:c r="F1165" s="42" t="n">
        <x:v>21889.01</x:v>
      </x:c>
      <x:c r="G1165" s="42" t="n">
        <x:v>1094.45</x:v>
      </x:c>
      <x:c r="H1165" s="42" t="n">
        <x:v>53944.15</x:v>
      </x:c>
      <x:c r="I1165" s="39" t="n">
        <x:v>46031</x:v>
      </x:c>
    </x:row>
    <x:row r="1166">
      <x:c r="A1166" s="21" t="str">
        <x:v>SYN-0333</x:v>
      </x:c>
      <x:c r="B1166" s="21" t="str">
        <x:v>Synthetic Supplier 0333 LLC</x:v>
      </x:c>
      <x:c r="C1166" s="38" t="str">
        <x:f>"900 000 000 000 333"</x:f>
        <x:v>900 000 000 000 333</x:v>
      </x:c>
      <x:c r="D1166" s="21" t="str">
        <x:v>SYN-0333-INV-03</x:v>
      </x:c>
      <x:c r="E1166" s="39" t="n">
        <x:v>46082</x:v>
      </x:c>
      <x:c r="F1166" s="42" t="n">
        <x:v>17791.6</x:v>
      </x:c>
      <x:c r="G1166" s="42" t="n">
        <x:v>889.58</x:v>
      </x:c>
      <x:c r="H1166" s="42" t="n">
        <x:v>53944.15</x:v>
      </x:c>
      <x:c r="I1166" s="39" t="n">
        <x:v>46031</x:v>
      </x:c>
    </x:row>
    <x:row r="1167">
      <x:c r="A1167" s="21" t="str">
        <x:v>SYN-0334</x:v>
      </x:c>
      <x:c r="B1167" s="21" t="str">
        <x:v>Synthetic Supplier 0334 LLC</x:v>
      </x:c>
      <x:c r="C1167" s="38" t="str">
        <x:f>"900 000 000 000 334"</x:f>
        <x:v>900 000 000 000 334</x:v>
      </x:c>
      <x:c r="D1167" s="21" t="str">
        <x:v>SYN-0334-INV-01</x:v>
      </x:c>
      <x:c r="E1167" s="39" t="n">
        <x:v>46001</x:v>
      </x:c>
      <x:c r="F1167" s="42" t="n">
        <x:v>11898.6</x:v>
      </x:c>
      <x:c r="G1167" s="42" t="n">
        <x:v>594.93</x:v>
      </x:c>
      <x:c r="H1167" s="42" t="n">
        <x:v>32662.78</x:v>
      </x:c>
      <x:c r="I1167" s="39" t="n">
        <x:v>45698</x:v>
      </x:c>
    </x:row>
    <x:row r="1168">
      <x:c r="A1168" s="21" t="str">
        <x:v>SYN-0334</x:v>
      </x:c>
      <x:c r="B1168" s="21" t="str">
        <x:v>Synthetic Supplier 0334 LLC</x:v>
      </x:c>
      <x:c r="C1168" s="38" t="str">
        <x:f>"900 000 000 000 334"</x:f>
        <x:v>900 000 000 000 334</x:v>
      </x:c>
      <x:c r="D1168" s="21" t="str">
        <x:v>SYN-0334-INV-02</x:v>
      </x:c>
      <x:c r="E1168" s="39" t="n">
        <x:v>46048</x:v>
      </x:c>
      <x:c r="F1168" s="42" t="n">
        <x:v>6619.92</x:v>
      </x:c>
      <x:c r="G1168" s="42" t="n">
        <x:v>331</x:v>
      </x:c>
      <x:c r="H1168" s="42" t="n">
        <x:v>32662.78</x:v>
      </x:c>
      <x:c r="I1168" s="39" t="n">
        <x:v>45698</x:v>
      </x:c>
    </x:row>
    <x:row r="1169">
      <x:c r="A1169" s="21" t="str">
        <x:v>SYN-0334</x:v>
      </x:c>
      <x:c r="B1169" s="21" t="str">
        <x:v>Synthetic Supplier 0334 LLC</x:v>
      </x:c>
      <x:c r="C1169" s="38" t="str">
        <x:f>"900 000 000 000 334"</x:f>
        <x:v>900 000 000 000 334</x:v>
      </x:c>
      <x:c r="D1169" s="21" t="str">
        <x:v>SYN-0334-INV-03</x:v>
      </x:c>
      <x:c r="E1169" s="39" t="n">
        <x:v>46095</x:v>
      </x:c>
      <x:c r="F1169" s="42" t="n">
        <x:v>8724.45</x:v>
      </x:c>
      <x:c r="G1169" s="42" t="n">
        <x:v>436.22</x:v>
      </x:c>
      <x:c r="H1169" s="42" t="n">
        <x:v>32662.78</x:v>
      </x:c>
      <x:c r="I1169" s="39" t="n">
        <x:v>45698</x:v>
      </x:c>
    </x:row>
    <x:row r="1170">
      <x:c r="A1170" s="21" t="str">
        <x:v>SYN-0334</x:v>
      </x:c>
      <x:c r="B1170" s="21" t="str">
        <x:v>Synthetic Supplier 0334 LLC</x:v>
      </x:c>
      <x:c r="C1170" s="38" t="str">
        <x:f>"900 000 000 000 334"</x:f>
        <x:v>900 000 000 000 334</x:v>
      </x:c>
      <x:c r="D1170" s="21" t="str">
        <x:v>SYN-0334-INV-04</x:v>
      </x:c>
      <x:c r="E1170" s="39" t="n">
        <x:v>46142</x:v>
      </x:c>
      <x:c r="F1170" s="42" t="n">
        <x:v>9049.01</x:v>
      </x:c>
      <x:c r="G1170" s="42" t="n">
        <x:v>452.45</x:v>
      </x:c>
      <x:c r="H1170" s="42" t="n">
        <x:v>32662.78</x:v>
      </x:c>
      <x:c r="I1170" s="39" t="n">
        <x:v>45698</x:v>
      </x:c>
    </x:row>
    <x:row r="1171">
      <x:c r="A1171" s="21" t="str">
        <x:v>SYN-0335</x:v>
      </x:c>
      <x:c r="B1171" s="21" t="str">
        <x:v>Synthetic Supplier 0335 LLC</x:v>
      </x:c>
      <x:c r="C1171" s="38" t="str">
        <x:f>"900 000 000 000 335"</x:f>
        <x:v>900 000 000 000 335</x:v>
      </x:c>
      <x:c r="D1171" s="21" t="str">
        <x:v>SYN-0335-INV-01</x:v>
      </x:c>
      <x:c r="E1171" s="39" t="n">
        <x:v>46014</x:v>
      </x:c>
      <x:c r="F1171" s="42" t="n">
        <x:v>17308.75</x:v>
      </x:c>
      <x:c r="G1171" s="42" t="n">
        <x:v>865.44</x:v>
      </x:c>
      <x:c r="H1171" s="42" t="n">
        <x:v>79799.65</x:v>
      </x:c>
      <x:c r="I1171" s="39"/>
    </x:row>
    <x:row r="1172">
      <x:c r="A1172" s="21" t="str">
        <x:v>SYN-0335</x:v>
      </x:c>
      <x:c r="B1172" s="21" t="str">
        <x:v>Synthetic Supplier 0335 LLC</x:v>
      </x:c>
      <x:c r="C1172" s="38" t="str">
        <x:f>"900 000 000 000 335"</x:f>
        <x:v>900 000 000 000 335</x:v>
      </x:c>
      <x:c r="D1172" s="21" t="str">
        <x:v>SYN-0335-INV-02</x:v>
      </x:c>
      <x:c r="E1172" s="39" t="n">
        <x:v>46061</x:v>
      </x:c>
      <x:c r="F1172" s="42" t="n">
        <x:v>22740.83</x:v>
      </x:c>
      <x:c r="G1172" s="42" t="n">
        <x:v>1137.04</x:v>
      </x:c>
      <x:c r="H1172" s="42" t="n">
        <x:v>79799.65</x:v>
      </x:c>
      <x:c r="I1172" s="39"/>
    </x:row>
    <x:row r="1173">
      <x:c r="A1173" s="21" t="str">
        <x:v>SYN-0335</x:v>
      </x:c>
      <x:c r="B1173" s="21" t="str">
        <x:v>Synthetic Supplier 0335 LLC</x:v>
      </x:c>
      <x:c r="C1173" s="38" t="str">
        <x:f>"900 000 000 000 335"</x:f>
        <x:v>900 000 000 000 335</x:v>
      </x:c>
      <x:c r="D1173" s="21" t="str">
        <x:v>SYN-0335-INV-03</x:v>
      </x:c>
      <x:c r="E1173" s="39" t="n">
        <x:v>46108</x:v>
      </x:c>
      <x:c r="F1173" s="42" t="n">
        <x:v>14702.3</x:v>
      </x:c>
      <x:c r="G1173" s="42" t="n">
        <x:v>735.12</x:v>
      </x:c>
      <x:c r="H1173" s="42" t="n">
        <x:v>79799.65</x:v>
      </x:c>
      <x:c r="I1173" s="39"/>
    </x:row>
    <x:row r="1174">
      <x:c r="A1174" s="21" t="str">
        <x:v>SYN-0335</x:v>
      </x:c>
      <x:c r="B1174" s="21" t="str">
        <x:v>Synthetic Supplier 0335 LLC</x:v>
      </x:c>
      <x:c r="C1174" s="38" t="str">
        <x:f>"900 000 000 000 335"</x:f>
        <x:v>900 000 000 000 335</x:v>
      </x:c>
      <x:c r="D1174" s="21" t="str">
        <x:v>SYN-0335-INV-04</x:v>
      </x:c>
      <x:c r="E1174" s="39" t="n">
        <x:v>46155</x:v>
      </x:c>
      <x:c r="F1174" s="42" t="n">
        <x:v>18040.67</x:v>
      </x:c>
      <x:c r="G1174" s="42" t="n">
        <x:v>902.03</x:v>
      </x:c>
      <x:c r="H1174" s="42" t="n">
        <x:v>79799.65</x:v>
      </x:c>
      <x:c r="I1174" s="39"/>
    </x:row>
    <x:row r="1175">
      <x:c r="A1175" s="21" t="str">
        <x:v>SYN-0335</x:v>
      </x:c>
      <x:c r="B1175" s="21" t="str">
        <x:v>Synthetic Supplier 0335 LLC</x:v>
      </x:c>
      <x:c r="C1175" s="38" t="str">
        <x:f>"900 000 000 000 335"</x:f>
        <x:v>900 000 000 000 335</x:v>
      </x:c>
      <x:c r="D1175" s="21" t="str">
        <x:v>SYN-0335-INV-05</x:v>
      </x:c>
      <x:c r="E1175" s="39" t="n">
        <x:v>46202</x:v>
      </x:c>
      <x:c r="F1175" s="42" t="n">
        <x:v>15873.73</x:v>
      </x:c>
      <x:c r="G1175" s="42" t="n">
        <x:v>793.69</x:v>
      </x:c>
      <x:c r="H1175" s="42" t="n">
        <x:v>79799.65</x:v>
      </x:c>
      <x:c r="I1175" s="39"/>
    </x:row>
    <x:row r="1176">
      <x:c r="A1176" s="21" t="str">
        <x:v>SYN-0336</x:v>
      </x:c>
      <x:c r="B1176" s="21" t="str">
        <x:v>Synthetic Supplier 0336 LLC</x:v>
      </x:c>
      <x:c r="C1176" s="38" t="str">
        <x:f>"900 000 000 000 336"</x:f>
        <x:v>900 000 000 000 336</x:v>
      </x:c>
      <x:c r="D1176" s="21" t="str">
        <x:v>SYN-0336-INV-01</x:v>
      </x:c>
      <x:c r="E1176" s="39" t="n">
        <x:v>46027</x:v>
      </x:c>
      <x:c r="F1176" s="42" t="n">
        <x:v>31320.47</x:v>
      </x:c>
      <x:c r="G1176" s="42" t="n">
        <x:v>1566.02</x:v>
      </x:c>
      <x:c r="H1176" s="42" t="n">
        <x:v>58008.73</x:v>
      </x:c>
      <x:c r="I1176" s="39" t="n">
        <x:v>45759</x:v>
      </x:c>
    </x:row>
    <x:row r="1177">
      <x:c r="A1177" s="21" t="str">
        <x:v>SYN-0336</x:v>
      </x:c>
      <x:c r="B1177" s="21" t="str">
        <x:v>Synthetic Supplier 0336 LLC</x:v>
      </x:c>
      <x:c r="C1177" s="38" t="str">
        <x:f>"900 000 000 000 336"</x:f>
        <x:v>900 000 000 000 336</x:v>
      </x:c>
      <x:c r="D1177" s="21" t="str">
        <x:v>SYN-0336-INV-02</x:v>
      </x:c>
      <x:c r="E1177" s="39" t="n">
        <x:v>46074</x:v>
      </x:c>
      <x:c r="F1177" s="42" t="n">
        <x:v>19121.9</x:v>
      </x:c>
      <x:c r="G1177" s="42" t="n">
        <x:v>956.09</x:v>
      </x:c>
      <x:c r="H1177" s="42" t="n">
        <x:v>58008.73</x:v>
      </x:c>
      <x:c r="I1177" s="39" t="n">
        <x:v>45759</x:v>
      </x:c>
    </x:row>
    <x:row r="1178">
      <x:c r="A1178" s="21" t="str">
        <x:v>SYN-0337</x:v>
      </x:c>
      <x:c r="B1178" s="21" t="str">
        <x:v>Synthetic Supplier 0337 LLC</x:v>
      </x:c>
      <x:c r="C1178" s="38" t="str">
        <x:f>"900 000 000 000 337"</x:f>
        <x:v>900 000 000 000 337</x:v>
      </x:c>
      <x:c r="D1178" s="21" t="str">
        <x:v>SYN-0337-INV-01</x:v>
      </x:c>
      <x:c r="E1178" s="39" t="n">
        <x:v>46040</x:v>
      </x:c>
      <x:c r="F1178" s="42" t="n">
        <x:v>33093.43</x:v>
      </x:c>
      <x:c r="G1178" s="42" t="n">
        <x:v>1654.67</x:v>
      </x:c>
      <x:c r="H1178" s="42" t="n">
        <x:v>65395.81</x:v>
      </x:c>
      <x:c r="I1178" s="39" t="n">
        <x:v>46155</x:v>
      </x:c>
    </x:row>
    <x:row r="1179">
      <x:c r="A1179" s="21" t="str">
        <x:v>SYN-0337</x:v>
      </x:c>
      <x:c r="B1179" s="21" t="str">
        <x:v>Synthetic Supplier 0337 LLC</x:v>
      </x:c>
      <x:c r="C1179" s="38" t="str">
        <x:f>"900 000 000 000 337"</x:f>
        <x:v>900 000 000 000 337</x:v>
      </x:c>
      <x:c r="D1179" s="21" t="str">
        <x:v>SYN-0337-INV-02</x:v>
      </x:c>
      <x:c r="E1179" s="39" t="n">
        <x:v>46087</x:v>
      </x:c>
      <x:c r="F1179" s="42" t="n">
        <x:v>17276.55</x:v>
      </x:c>
      <x:c r="G1179" s="42" t="n">
        <x:v>863.83</x:v>
      </x:c>
      <x:c r="H1179" s="42" t="n">
        <x:v>65395.81</x:v>
      </x:c>
      <x:c r="I1179" s="39" t="n">
        <x:v>46155</x:v>
      </x:c>
    </x:row>
    <x:row r="1180">
      <x:c r="A1180" s="21" t="str">
        <x:v>SYN-0337</x:v>
      </x:c>
      <x:c r="B1180" s="21" t="str">
        <x:v>Synthetic Supplier 0337 LLC</x:v>
      </x:c>
      <x:c r="C1180" s="38" t="str">
        <x:f>"900 000 000 000 337"</x:f>
        <x:v>900 000 000 000 337</x:v>
      </x:c>
      <x:c r="D1180" s="21" t="str">
        <x:v>SYN-0337-INV-03</x:v>
      </x:c>
      <x:c r="E1180" s="39" t="n">
        <x:v>46134</x:v>
      </x:c>
      <x:c r="F1180" s="42" t="n">
        <x:v>22292.03</x:v>
      </x:c>
      <x:c r="G1180" s="42" t="n">
        <x:v>1114.6</x:v>
      </x:c>
      <x:c r="H1180" s="42" t="n">
        <x:v>65395.81</x:v>
      </x:c>
      <x:c r="I1180" s="39" t="n">
        <x:v>46155</x:v>
      </x:c>
    </x:row>
    <x:row r="1181">
      <x:c r="A1181" s="21" t="str">
        <x:v>SYN-0338</x:v>
      </x:c>
      <x:c r="B1181" s="21" t="str">
        <x:v>Synthetic Supplier 0338 LLC</x:v>
      </x:c>
      <x:c r="C1181" s="38" t="str">
        <x:f>"900 000 000 000 338"</x:f>
        <x:v>900 000 000 000 338</x:v>
      </x:c>
      <x:c r="D1181" s="21" t="str">
        <x:v>SYN-0338-INV-01</x:v>
      </x:c>
      <x:c r="E1181" s="39" t="n">
        <x:v>46053</x:v>
      </x:c>
      <x:c r="F1181" s="42" t="n">
        <x:v>16151.23</x:v>
      </x:c>
      <x:c r="G1181" s="42" t="n">
        <x:v>807.56</x:v>
      </x:c>
      <x:c r="H1181" s="42" t="n">
        <x:v>54442.39</x:v>
      </x:c>
      <x:c r="I1181" s="39" t="n">
        <x:v>45822</x:v>
      </x:c>
    </x:row>
    <x:row r="1182">
      <x:c r="A1182" s="21" t="str">
        <x:v>SYN-0338</x:v>
      </x:c>
      <x:c r="B1182" s="21" t="str">
        <x:v>Synthetic Supplier 0338 LLC</x:v>
      </x:c>
      <x:c r="C1182" s="38" t="str">
        <x:f>"900 000 000 000 338"</x:f>
        <x:v>900 000 000 000 338</x:v>
      </x:c>
      <x:c r="D1182" s="21" t="str">
        <x:v>SYN-0338-INV-02</x:v>
      </x:c>
      <x:c r="E1182" s="39" t="n">
        <x:v>46100</x:v>
      </x:c>
      <x:c r="F1182" s="42" t="n">
        <x:v>17948.93</x:v>
      </x:c>
      <x:c r="G1182" s="42" t="n">
        <x:v>897.45</x:v>
      </x:c>
      <x:c r="H1182" s="42" t="n">
        <x:v>54442.39</x:v>
      </x:c>
      <x:c r="I1182" s="39" t="n">
        <x:v>45822</x:v>
      </x:c>
    </x:row>
    <x:row r="1183">
      <x:c r="A1183" s="21" t="str">
        <x:v>SYN-0338</x:v>
      </x:c>
      <x:c r="B1183" s="21" t="str">
        <x:v>Synthetic Supplier 0338 LLC</x:v>
      </x:c>
      <x:c r="C1183" s="38" t="str">
        <x:f>"900 000 000 000 338"</x:f>
        <x:v>900 000 000 000 338</x:v>
      </x:c>
      <x:c r="D1183" s="21" t="str">
        <x:v>SYN-0338-INV-03</x:v>
      </x:c>
      <x:c r="E1183" s="39" t="n">
        <x:v>46147</x:v>
      </x:c>
      <x:c r="F1183" s="42" t="n">
        <x:v>9736.75</x:v>
      </x:c>
      <x:c r="G1183" s="42" t="n">
        <x:v>486.84</x:v>
      </x:c>
      <x:c r="H1183" s="42" t="n">
        <x:v>54442.39</x:v>
      </x:c>
      <x:c r="I1183" s="39" t="n">
        <x:v>45822</x:v>
      </x:c>
    </x:row>
    <x:row r="1184">
      <x:c r="A1184" s="21" t="str">
        <x:v>SYN-0338</x:v>
      </x:c>
      <x:c r="B1184" s="21" t="str">
        <x:v>Synthetic Supplier 0338 LLC</x:v>
      </x:c>
      <x:c r="C1184" s="38" t="str">
        <x:f>"900 000 000 000 338"</x:f>
        <x:v>900 000 000 000 338</x:v>
      </x:c>
      <x:c r="D1184" s="21" t="str">
        <x:v>SYN-0338-INV-04</x:v>
      </x:c>
      <x:c r="E1184" s="39" t="n">
        <x:v>46194</x:v>
      </x:c>
      <x:c r="F1184" s="42" t="n">
        <x:v>16654.63</x:v>
      </x:c>
      <x:c r="G1184" s="42" t="n">
        <x:v>832.73</x:v>
      </x:c>
      <x:c r="H1184" s="42" t="n">
        <x:v>54442.39</x:v>
      </x:c>
      <x:c r="I1184" s="39" t="n">
        <x:v>45822</x:v>
      </x:c>
    </x:row>
    <x:row r="1185">
      <x:c r="A1185" s="21" t="str">
        <x:v>SYN-0339</x:v>
      </x:c>
      <x:c r="B1185" s="21" t="str">
        <x:v>Synthetic Supplier 0339 LLC</x:v>
      </x:c>
      <x:c r="C1185" s="38" t="str">
        <x:f>"900 000 000 000 339"</x:f>
        <x:v>900 000 000 000 339</x:v>
      </x:c>
      <x:c r="D1185" s="21" t="str">
        <x:v>SYN-0339-INV-01</x:v>
      </x:c>
      <x:c r="E1185" s="39" t="n">
        <x:v>46066</x:v>
      </x:c>
      <x:c r="F1185" s="42" t="n">
        <x:v>12111.33</x:v>
      </x:c>
      <x:c r="G1185" s="42" t="n">
        <x:v>605.57</x:v>
      </x:c>
      <x:c r="H1185" s="42" t="n">
        <x:v>53731.47</x:v>
      </x:c>
      <x:c r="I1185" s="39" t="n">
        <x:v>46218</x:v>
      </x:c>
    </x:row>
    <x:row r="1186">
      <x:c r="A1186" s="21" t="str">
        <x:v>SYN-0339</x:v>
      </x:c>
      <x:c r="B1186" s="21" t="str">
        <x:v>Synthetic Supplier 0339 LLC</x:v>
      </x:c>
      <x:c r="C1186" s="38" t="str">
        <x:f>"900 000 000 000 339"</x:f>
        <x:v>900 000 000 000 339</x:v>
      </x:c>
      <x:c r="D1186" s="21" t="str">
        <x:v>SYN-0339-INV-02</x:v>
      </x:c>
      <x:c r="E1186" s="39" t="n">
        <x:v>46113</x:v>
      </x:c>
      <x:c r="F1186" s="42" t="n">
        <x:v>12051.48</x:v>
      </x:c>
      <x:c r="G1186" s="42" t="n">
        <x:v>602.57</x:v>
      </x:c>
      <x:c r="H1186" s="42" t="n">
        <x:v>53731.47</x:v>
      </x:c>
      <x:c r="I1186" s="39" t="n">
        <x:v>46218</x:v>
      </x:c>
    </x:row>
    <x:row r="1187">
      <x:c r="A1187" s="21" t="str">
        <x:v>SYN-0339</x:v>
      </x:c>
      <x:c r="B1187" s="21" t="str">
        <x:v>Synthetic Supplier 0339 LLC</x:v>
      </x:c>
      <x:c r="C1187" s="38" t="str">
        <x:f>"900 000 000 000 339"</x:f>
        <x:v>900 000 000 000 339</x:v>
      </x:c>
      <x:c r="D1187" s="21" t="str">
        <x:v>SYN-0339-INV-03</x:v>
      </x:c>
      <x:c r="E1187" s="39" t="n">
        <x:v>46160</x:v>
      </x:c>
      <x:c r="F1187" s="42" t="n">
        <x:v>10580.3</x:v>
      </x:c>
      <x:c r="G1187" s="42" t="n">
        <x:v>529.01</x:v>
      </x:c>
      <x:c r="H1187" s="42" t="n">
        <x:v>53731.47</x:v>
      </x:c>
      <x:c r="I1187" s="39" t="n">
        <x:v>46218</x:v>
      </x:c>
    </x:row>
    <x:row r="1188">
      <x:c r="A1188" s="21" t="str">
        <x:v>SYN-0339</x:v>
      </x:c>
      <x:c r="B1188" s="21" t="str">
        <x:v>Synthetic Supplier 0339 LLC</x:v>
      </x:c>
      <x:c r="C1188" s="38" t="str">
        <x:f>"900 000 000 000 339"</x:f>
        <x:v>900 000 000 000 339</x:v>
      </x:c>
      <x:c r="D1188" s="21" t="str">
        <x:v>SYN-0339-INV-04</x:v>
      </x:c>
      <x:c r="E1188" s="39" t="n">
        <x:v>46207</x:v>
      </x:c>
      <x:c r="F1188" s="42" t="n">
        <x:v>12237.78</x:v>
      </x:c>
      <x:c r="G1188" s="42" t="n">
        <x:v>611.89</x:v>
      </x:c>
      <x:c r="H1188" s="42" t="n">
        <x:v>53731.47</x:v>
      </x:c>
      <x:c r="I1188" s="39" t="n">
        <x:v>46218</x:v>
      </x:c>
    </x:row>
    <x:row r="1189">
      <x:c r="A1189" s="21" t="str">
        <x:v>SYN-0339</x:v>
      </x:c>
      <x:c r="B1189" s="21" t="str">
        <x:v>Synthetic Supplier 0339 LLC</x:v>
      </x:c>
      <x:c r="C1189" s="38" t="str">
        <x:f>"900 000 000 000 339"</x:f>
        <x:v>900 000 000 000 339</x:v>
      </x:c>
      <x:c r="D1189" s="21" t="str">
        <x:v>SYN-0339-INV-05</x:v>
      </x:c>
      <x:c r="E1189" s="39" t="n">
        <x:v>46254</x:v>
      </x:c>
      <x:c r="F1189" s="42" t="n">
        <x:v>12720.73</x:v>
      </x:c>
      <x:c r="G1189" s="42" t="n">
        <x:v>636.04</x:v>
      </x:c>
      <x:c r="H1189" s="42" t="n">
        <x:v>53731.47</x:v>
      </x:c>
      <x:c r="I1189" s="39" t="n">
        <x:v>46218</x:v>
      </x:c>
    </x:row>
    <x:row r="1190">
      <x:c r="A1190" s="21" t="str">
        <x:v>SYN-0340</x:v>
      </x:c>
      <x:c r="B1190" s="21" t="str">
        <x:v>Synthetic Supplier 0340 LLC</x:v>
      </x:c>
      <x:c r="C1190" s="38" t="str">
        <x:f>"900 000 000 000 340"</x:f>
        <x:v>900 000 000 000 340</x:v>
      </x:c>
      <x:c r="D1190" s="21" t="str">
        <x:v>SYN-0340-INV-01</x:v>
      </x:c>
      <x:c r="E1190" s="39" t="n">
        <x:v>46079</x:v>
      </x:c>
      <x:c r="F1190" s="42" t="n">
        <x:v>29782.16</x:v>
      </x:c>
      <x:c r="G1190" s="42" t="n">
        <x:v>1489.11</x:v>
      </x:c>
      <x:c r="H1190" s="42" t="n">
        <x:v>41455.95</x:v>
      </x:c>
      <x:c r="I1190" s="39"/>
    </x:row>
    <x:row r="1191">
      <x:c r="A1191" s="21" t="str">
        <x:v>SYN-0340</x:v>
      </x:c>
      <x:c r="B1191" s="21" t="str">
        <x:v>Synthetic Supplier 0340 LLC</x:v>
      </x:c>
      <x:c r="C1191" s="38" t="str">
        <x:f>"900 000 000 000 340"</x:f>
        <x:v>900 000 000 000 340</x:v>
      </x:c>
      <x:c r="D1191" s="21" t="str">
        <x:v>SYN-0340-INV-02</x:v>
      </x:c>
      <x:c r="E1191" s="39" t="n">
        <x:v>46126</x:v>
      </x:c>
      <x:c r="F1191" s="42" t="n">
        <x:v>16280.01</x:v>
      </x:c>
      <x:c r="G1191" s="42" t="n">
        <x:v>814</x:v>
      </x:c>
      <x:c r="H1191" s="42" t="n">
        <x:v>41455.95</x:v>
      </x:c>
      <x:c r="I1191" s="39"/>
    </x:row>
    <x:row r="1192">
      <x:c r="A1192" s="21" t="str">
        <x:v>SYN-0341</x:v>
      </x:c>
      <x:c r="B1192" s="21" t="str">
        <x:v>Synthetic Supplier 0341 LLC</x:v>
      </x:c>
      <x:c r="C1192" s="38" t="str">
        <x:f>"900 000 000 000 341"</x:f>
        <x:v>900 000 000 000 341</x:v>
      </x:c>
      <x:c r="D1192" s="21" t="str">
        <x:v>SYN-0341-INV-01</x:v>
      </x:c>
      <x:c r="E1192" s="39" t="n">
        <x:v>46092</x:v>
      </x:c>
      <x:c r="F1192" s="42" t="n">
        <x:v>18869.53</x:v>
      </x:c>
      <x:c r="G1192" s="42" t="n">
        <x:v>943.48</x:v>
      </x:c>
      <x:c r="H1192" s="42" t="n">
        <x:v>55908.05</x:v>
      </x:c>
      <x:c r="I1192" s="39" t="n">
        <x:v>46282</x:v>
      </x:c>
    </x:row>
    <x:row r="1193">
      <x:c r="A1193" s="21" t="str">
        <x:v>SYN-0341</x:v>
      </x:c>
      <x:c r="B1193" s="21" t="str">
        <x:v>Synthetic Supplier 0341 LLC</x:v>
      </x:c>
      <x:c r="C1193" s="38" t="str">
        <x:f>"900 000 000 000 341"</x:f>
        <x:v>900 000 000 000 341</x:v>
      </x:c>
      <x:c r="D1193" s="21" t="str">
        <x:v>SYN-0341-INV-02</x:v>
      </x:c>
      <x:c r="E1193" s="39" t="n">
        <x:v>46139</x:v>
      </x:c>
      <x:c r="F1193" s="42" t="n">
        <x:v>25228.77</x:v>
      </x:c>
      <x:c r="G1193" s="42" t="n">
        <x:v>1261.44</x:v>
      </x:c>
      <x:c r="H1193" s="42" t="n">
        <x:v>55908.05</x:v>
      </x:c>
      <x:c r="I1193" s="39" t="n">
        <x:v>46282</x:v>
      </x:c>
    </x:row>
    <x:row r="1194">
      <x:c r="A1194" s="21" t="str">
        <x:v>SYN-0341</x:v>
      </x:c>
      <x:c r="B1194" s="21" t="str">
        <x:v>Synthetic Supplier 0341 LLC</x:v>
      </x:c>
      <x:c r="C1194" s="38" t="str">
        <x:f>"900 000 000 000 341"</x:f>
        <x:v>900 000 000 000 341</x:v>
      </x:c>
      <x:c r="D1194" s="21" t="str">
        <x:v>SYN-0341-INV-03</x:v>
      </x:c>
      <x:c r="E1194" s="39" t="n">
        <x:v>46186</x:v>
      </x:c>
      <x:c r="F1194" s="42" t="n">
        <x:v>18021.75</x:v>
      </x:c>
      <x:c r="G1194" s="42" t="n">
        <x:v>901.09</x:v>
      </x:c>
      <x:c r="H1194" s="42" t="n">
        <x:v>55908.05</x:v>
      </x:c>
      <x:c r="I1194" s="39" t="n">
        <x:v>46282</x:v>
      </x:c>
    </x:row>
    <x:row r="1195">
      <x:c r="A1195" s="21" t="str">
        <x:v>SYN-0342</x:v>
      </x:c>
      <x:c r="B1195" s="21" t="str">
        <x:v>Synthetic Supplier 0342 LLC</x:v>
      </x:c>
      <x:c r="C1195" s="38" t="str">
        <x:f>"900 000 000 000 342"</x:f>
        <x:v>900 000 000 000 342</x:v>
      </x:c>
      <x:c r="D1195" s="21" t="str">
        <x:v>SYN-0342-INV-01</x:v>
      </x:c>
      <x:c r="E1195" s="39" t="n">
        <x:v>46105</x:v>
      </x:c>
      <x:c r="F1195" s="42" t="n">
        <x:v>18487.34</x:v>
      </x:c>
      <x:c r="G1195" s="42" t="n">
        <x:v>924.37</x:v>
      </x:c>
      <x:c r="H1195" s="42" t="n">
        <x:v>49472.52</x:v>
      </x:c>
      <x:c r="I1195" s="39" t="n">
        <x:v>45675</x:v>
      </x:c>
    </x:row>
    <x:row r="1196">
      <x:c r="A1196" s="21" t="str">
        <x:v>SYN-0342</x:v>
      </x:c>
      <x:c r="B1196" s="21" t="str">
        <x:v>Synthetic Supplier 0342 LLC</x:v>
      </x:c>
      <x:c r="C1196" s="38" t="str">
        <x:f>"900 000 000 000 342"</x:f>
        <x:v>900 000 000 000 342</x:v>
      </x:c>
      <x:c r="D1196" s="21" t="str">
        <x:v>SYN-0342-INV-02</x:v>
      </x:c>
      <x:c r="E1196" s="39" t="n">
        <x:v>46152</x:v>
      </x:c>
      <x:c r="F1196" s="42" t="n">
        <x:v>10920.02</x:v>
      </x:c>
      <x:c r="G1196" s="42" t="n">
        <x:v>546</x:v>
      </x:c>
      <x:c r="H1196" s="42" t="n">
        <x:v>49472.52</x:v>
      </x:c>
      <x:c r="I1196" s="39" t="n">
        <x:v>45675</x:v>
      </x:c>
    </x:row>
    <x:row r="1197">
      <x:c r="A1197" s="21" t="str">
        <x:v>SYN-0342</x:v>
      </x:c>
      <x:c r="B1197" s="21" t="str">
        <x:v>Synthetic Supplier 0342 LLC</x:v>
      </x:c>
      <x:c r="C1197" s="38" t="str">
        <x:f>"900 000 000 000 342"</x:f>
        <x:v>900 000 000 000 342</x:v>
      </x:c>
      <x:c r="D1197" s="21" t="str">
        <x:v>SYN-0342-INV-03</x:v>
      </x:c>
      <x:c r="E1197" s="39" t="n">
        <x:v>46199</x:v>
      </x:c>
      <x:c r="F1197" s="42" t="n">
        <x:v>13692.26</x:v>
      </x:c>
      <x:c r="G1197" s="42" t="n">
        <x:v>684.61</x:v>
      </x:c>
      <x:c r="H1197" s="42" t="n">
        <x:v>49472.52</x:v>
      </x:c>
      <x:c r="I1197" s="39" t="n">
        <x:v>45675</x:v>
      </x:c>
    </x:row>
    <x:row r="1198">
      <x:c r="A1198" s="21" t="str">
        <x:v>SYN-0342</x:v>
      </x:c>
      <x:c r="B1198" s="21" t="str">
        <x:v>Synthetic Supplier 0342 LLC</x:v>
      </x:c>
      <x:c r="C1198" s="38" t="str">
        <x:f>"900 000 000 000 342"</x:f>
        <x:v>900 000 000 000 342</x:v>
      </x:c>
      <x:c r="D1198" s="21" t="str">
        <x:v>SYN-0342-INV-04</x:v>
      </x:c>
      <x:c r="E1198" s="39" t="n">
        <x:v>46246</x:v>
      </x:c>
      <x:c r="F1198" s="42" t="n">
        <x:v>11869.84</x:v>
      </x:c>
      <x:c r="G1198" s="42" t="n">
        <x:v>593.49</x:v>
      </x:c>
      <x:c r="H1198" s="42" t="n">
        <x:v>49472.52</x:v>
      </x:c>
      <x:c r="I1198" s="39" t="n">
        <x:v>45675</x:v>
      </x:c>
    </x:row>
    <x:row r="1199">
      <x:c r="A1199" s="21" t="str">
        <x:v>SYN-0343</x:v>
      </x:c>
      <x:c r="B1199" s="21" t="str">
        <x:v>Synthetic Supplier 0343 LLC</x:v>
      </x:c>
      <x:c r="C1199" s="38" t="str">
        <x:f>"900 000 000 000 343"</x:f>
        <x:v>900 000 000 000 343</x:v>
      </x:c>
      <x:c r="D1199" s="21" t="str">
        <x:v>SYN-0343-INV-01</x:v>
      </x:c>
      <x:c r="E1199" s="39" t="n">
        <x:v>46118</x:v>
      </x:c>
      <x:c r="F1199" s="42" t="n">
        <x:v>10045.3</x:v>
      </x:c>
      <x:c r="G1199" s="42" t="n">
        <x:v>502.27</x:v>
      </x:c>
      <x:c r="H1199" s="42" t="n">
        <x:v>42491.77</x:v>
      </x:c>
      <x:c r="I1199" s="39" t="n">
        <x:v>46072</x:v>
      </x:c>
    </x:row>
    <x:row r="1200">
      <x:c r="A1200" s="21" t="str">
        <x:v>SYN-0343</x:v>
      </x:c>
      <x:c r="B1200" s="21" t="str">
        <x:v>Synthetic Supplier 0343 LLC</x:v>
      </x:c>
      <x:c r="C1200" s="38" t="str">
        <x:f>"900 000 000 000 343"</x:f>
        <x:v>900 000 000 000 343</x:v>
      </x:c>
      <x:c r="D1200" s="21" t="str">
        <x:v>SYN-0343-INV-02</x:v>
      </x:c>
      <x:c r="E1200" s="39" t="n">
        <x:v>46165</x:v>
      </x:c>
      <x:c r="F1200" s="42" t="n">
        <x:v>6187.52</x:v>
      </x:c>
      <x:c r="G1200" s="42" t="n">
        <x:v>309.38</x:v>
      </x:c>
      <x:c r="H1200" s="42" t="n">
        <x:v>42491.77</x:v>
      </x:c>
      <x:c r="I1200" s="39" t="n">
        <x:v>46072</x:v>
      </x:c>
    </x:row>
    <x:row r="1201">
      <x:c r="A1201" s="21" t="str">
        <x:v>SYN-0343</x:v>
      </x:c>
      <x:c r="B1201" s="21" t="str">
        <x:v>Synthetic Supplier 0343 LLC</x:v>
      </x:c>
      <x:c r="C1201" s="38" t="str">
        <x:f>"900 000 000 000 343"</x:f>
        <x:v>900 000 000 000 343</x:v>
      </x:c>
      <x:c r="D1201" s="21" t="str">
        <x:v>SYN-0343-INV-03</x:v>
      </x:c>
      <x:c r="E1201" s="39" t="n">
        <x:v>46212</x:v>
      </x:c>
      <x:c r="F1201" s="42" t="n">
        <x:v>6760.96</x:v>
      </x:c>
      <x:c r="G1201" s="42" t="n">
        <x:v>338.05</x:v>
      </x:c>
      <x:c r="H1201" s="42" t="n">
        <x:v>42491.77</x:v>
      </x:c>
      <x:c r="I1201" s="39" t="n">
        <x:v>46072</x:v>
      </x:c>
    </x:row>
    <x:row r="1202">
      <x:c r="A1202" s="21" t="str">
        <x:v>SYN-0343</x:v>
      </x:c>
      <x:c r="B1202" s="21" t="str">
        <x:v>Synthetic Supplier 0343 LLC</x:v>
      </x:c>
      <x:c r="C1202" s="38" t="str">
        <x:f>"900 000 000 000 343"</x:f>
        <x:v>900 000 000 000 343</x:v>
      </x:c>
      <x:c r="D1202" s="21" t="str">
        <x:v>SYN-0343-INV-04</x:v>
      </x:c>
      <x:c r="E1202" s="39" t="n">
        <x:v>46259</x:v>
      </x:c>
      <x:c r="F1202" s="42" t="n">
        <x:v>6845.1</x:v>
      </x:c>
      <x:c r="G1202" s="42" t="n">
        <x:v>342.25</x:v>
      </x:c>
      <x:c r="H1202" s="42" t="n">
        <x:v>42491.77</x:v>
      </x:c>
      <x:c r="I1202" s="39" t="n">
        <x:v>46072</x:v>
      </x:c>
    </x:row>
    <x:row r="1203">
      <x:c r="A1203" s="21" t="str">
        <x:v>SYN-0343</x:v>
      </x:c>
      <x:c r="B1203" s="21" t="str">
        <x:v>Synthetic Supplier 0343 LLC</x:v>
      </x:c>
      <x:c r="C1203" s="38" t="str">
        <x:f>"900 000 000 000 343"</x:f>
        <x:v>900 000 000 000 343</x:v>
      </x:c>
      <x:c r="D1203" s="21" t="str">
        <x:v>SYN-0343-INV-05</x:v>
      </x:c>
      <x:c r="E1203" s="39" t="n">
        <x:v>45946</x:v>
      </x:c>
      <x:c r="F1203" s="42" t="n">
        <x:v>7110.49</x:v>
      </x:c>
      <x:c r="G1203" s="42" t="n">
        <x:v>355.52</x:v>
      </x:c>
      <x:c r="H1203" s="42" t="n">
        <x:v>42491.77</x:v>
      </x:c>
      <x:c r="I1203" s="39" t="n">
        <x:v>46072</x:v>
      </x:c>
    </x:row>
    <x:row r="1204">
      <x:c r="A1204" s="21" t="str">
        <x:v>SYN-0344</x:v>
      </x:c>
      <x:c r="B1204" s="21" t="str">
        <x:v>Synthetic Supplier 0344 LLC</x:v>
      </x:c>
      <x:c r="C1204" s="38" t="str">
        <x:f>"900 000 000 000 344"</x:f>
        <x:v>900 000 000 000 344</x:v>
      </x:c>
      <x:c r="D1204" s="21" t="str">
        <x:v>SYN-0344-INV-01</x:v>
      </x:c>
      <x:c r="E1204" s="39" t="n">
        <x:v>46131</x:v>
      </x:c>
      <x:c r="F1204" s="42" t="n">
        <x:v>28343.55</x:v>
      </x:c>
      <x:c r="G1204" s="42" t="n">
        <x:v>1417.18</x:v>
      </x:c>
      <x:c r="H1204" s="42" t="n">
        <x:v>49855.68</x:v>
      </x:c>
      <x:c r="I1204" s="39" t="n">
        <x:v>45736</x:v>
      </x:c>
    </x:row>
    <x:row r="1205">
      <x:c r="A1205" s="21" t="str">
        <x:v>SYN-0344</x:v>
      </x:c>
      <x:c r="B1205" s="21" t="str">
        <x:v>Synthetic Supplier 0344 LLC</x:v>
      </x:c>
      <x:c r="C1205" s="38" t="str">
        <x:f>"900 000 000 000 344"</x:f>
        <x:v>900 000 000 000 344</x:v>
      </x:c>
      <x:c r="D1205" s="21" t="str">
        <x:v>SYN-0344-INV-02</x:v>
      </x:c>
      <x:c r="E1205" s="39" t="n">
        <x:v>46178</x:v>
      </x:c>
      <x:c r="F1205" s="42" t="n">
        <x:v>27051.65</x:v>
      </x:c>
      <x:c r="G1205" s="42" t="n">
        <x:v>1352.58</x:v>
      </x:c>
      <x:c r="H1205" s="42" t="n">
        <x:v>49855.68</x:v>
      </x:c>
      <x:c r="I1205" s="39" t="n">
        <x:v>45736</x:v>
      </x:c>
    </x:row>
    <x:row r="1206">
      <x:c r="A1206" s="21" t="str">
        <x:v>SYN-0345</x:v>
      </x:c>
      <x:c r="B1206" s="21" t="str">
        <x:v>Synthetic Supplier 0345 LLC</x:v>
      </x:c>
      <x:c r="C1206" s="38" t="str">
        <x:f>"900 000 000 000 345"</x:f>
        <x:v>900 000 000 000 345</x:v>
      </x:c>
      <x:c r="D1206" s="21" t="str">
        <x:v>SYN-0345-INV-01</x:v>
      </x:c>
      <x:c r="E1206" s="39" t="n">
        <x:v>46144</x:v>
      </x:c>
      <x:c r="F1206" s="42" t="n">
        <x:v>30466.58</x:v>
      </x:c>
      <x:c r="G1206" s="42" t="n">
        <x:v>1523.33</x:v>
      </x:c>
      <x:c r="H1206" s="42" t="n">
        <x:v>80566.95</x:v>
      </x:c>
      <x:c r="I1206" s="39"/>
    </x:row>
    <x:row r="1207">
      <x:c r="A1207" s="21" t="str">
        <x:v>SYN-0345</x:v>
      </x:c>
      <x:c r="B1207" s="21" t="str">
        <x:v>Synthetic Supplier 0345 LLC</x:v>
      </x:c>
      <x:c r="C1207" s="38" t="str">
        <x:f>"900 000 000 000 345"</x:f>
        <x:v>900 000 000 000 345</x:v>
      </x:c>
      <x:c r="D1207" s="21" t="str">
        <x:v>SYN-0345-INV-02</x:v>
      </x:c>
      <x:c r="E1207" s="39" t="n">
        <x:v>46191</x:v>
      </x:c>
      <x:c r="F1207" s="42" t="n">
        <x:v>24318.41</x:v>
      </x:c>
      <x:c r="G1207" s="42" t="n">
        <x:v>1215.92</x:v>
      </x:c>
      <x:c r="H1207" s="42" t="n">
        <x:v>80566.95</x:v>
      </x:c>
      <x:c r="I1207" s="39"/>
    </x:row>
    <x:row r="1208">
      <x:c r="A1208" s="21" t="str">
        <x:v>SYN-0345</x:v>
      </x:c>
      <x:c r="B1208" s="21" t="str">
        <x:v>Synthetic Supplier 0345 LLC</x:v>
      </x:c>
      <x:c r="C1208" s="38" t="str">
        <x:f>"900 000 000 000 345"</x:f>
        <x:v>900 000 000 000 345</x:v>
      </x:c>
      <x:c r="D1208" s="21" t="str">
        <x:v>SYN-0345-INV-03</x:v>
      </x:c>
      <x:c r="E1208" s="39" t="n">
        <x:v>46238</x:v>
      </x:c>
      <x:c r="F1208" s="42" t="n">
        <x:v>34733.84</x:v>
      </x:c>
      <x:c r="G1208" s="42" t="n">
        <x:v>1736.69</x:v>
      </x:c>
      <x:c r="H1208" s="42" t="n">
        <x:v>80566.95</x:v>
      </x:c>
      <x:c r="I1208" s="39"/>
    </x:row>
    <x:row r="1209">
      <x:c r="A1209" s="21" t="str">
        <x:v>SYN-0346</x:v>
      </x:c>
      <x:c r="B1209" s="21" t="str">
        <x:v>Synthetic Supplier 0346 LLC</x:v>
      </x:c>
      <x:c r="C1209" s="38" t="str">
        <x:f>"900 000 000 000 346"</x:f>
        <x:v>900 000 000 000 346</x:v>
      </x:c>
      <x:c r="D1209" s="21" t="str">
        <x:v>SYN-0346-INV-01</x:v>
      </x:c>
      <x:c r="E1209" s="39" t="n">
        <x:v>46157</x:v>
      </x:c>
      <x:c r="F1209" s="42" t="n">
        <x:v>16970.69</x:v>
      </x:c>
      <x:c r="G1209" s="42" t="n">
        <x:v>848.53</x:v>
      </x:c>
      <x:c r="H1209" s="42" t="n">
        <x:v>42652.8</x:v>
      </x:c>
      <x:c r="I1209" s="39" t="n">
        <x:v>45799</x:v>
      </x:c>
    </x:row>
    <x:row r="1210">
      <x:c r="A1210" s="21" t="str">
        <x:v>SYN-0346</x:v>
      </x:c>
      <x:c r="B1210" s="21" t="str">
        <x:v>Synthetic Supplier 0346 LLC</x:v>
      </x:c>
      <x:c r="C1210" s="38" t="str">
        <x:f>"900 000 000 000 346"</x:f>
        <x:v>900 000 000 000 346</x:v>
      </x:c>
      <x:c r="D1210" s="21" t="str">
        <x:v>SYN-0346-INV-02</x:v>
      </x:c>
      <x:c r="E1210" s="39" t="n">
        <x:v>46204</x:v>
      </x:c>
      <x:c r="F1210" s="42" t="n">
        <x:v>9284.01</x:v>
      </x:c>
      <x:c r="G1210" s="42" t="n">
        <x:v>464.2</x:v>
      </x:c>
      <x:c r="H1210" s="42" t="n">
        <x:v>42652.8</x:v>
      </x:c>
      <x:c r="I1210" s="39" t="n">
        <x:v>45799</x:v>
      </x:c>
    </x:row>
    <x:row r="1211">
      <x:c r="A1211" s="21" t="str">
        <x:v>SYN-0346</x:v>
      </x:c>
      <x:c r="B1211" s="21" t="str">
        <x:v>Synthetic Supplier 0346 LLC</x:v>
      </x:c>
      <x:c r="C1211" s="38" t="str">
        <x:f>"900 000 000 000 346"</x:f>
        <x:v>900 000 000 000 346</x:v>
      </x:c>
      <x:c r="D1211" s="21" t="str">
        <x:v>SYN-0346-INV-03</x:v>
      </x:c>
      <x:c r="E1211" s="39" t="n">
        <x:v>46251</x:v>
      </x:c>
      <x:c r="F1211" s="42" t="n">
        <x:v>10072.12</x:v>
      </x:c>
      <x:c r="G1211" s="42" t="n">
        <x:v>503.61</x:v>
      </x:c>
      <x:c r="H1211" s="42" t="n">
        <x:v>42652.8</x:v>
      </x:c>
      <x:c r="I1211" s="39" t="n">
        <x:v>45799</x:v>
      </x:c>
    </x:row>
    <x:row r="1212">
      <x:c r="A1212" s="21" t="str">
        <x:v>SYN-0346</x:v>
      </x:c>
      <x:c r="B1212" s="21" t="str">
        <x:v>Synthetic Supplier 0346 LLC</x:v>
      </x:c>
      <x:c r="C1212" s="38" t="str">
        <x:f>"900 000 000 000 346"</x:f>
        <x:v>900 000 000 000 346</x:v>
      </x:c>
      <x:c r="D1212" s="21" t="str">
        <x:v>SYN-0346-INV-04</x:v>
      </x:c>
      <x:c r="E1212" s="39" t="n">
        <x:v>45938</x:v>
      </x:c>
      <x:c r="F1212" s="42" t="n">
        <x:v>11065.18</x:v>
      </x:c>
      <x:c r="G1212" s="42" t="n">
        <x:v>553.26</x:v>
      </x:c>
      <x:c r="H1212" s="42" t="n">
        <x:v>42652.8</x:v>
      </x:c>
      <x:c r="I1212" s="39" t="n">
        <x:v>45799</x:v>
      </x:c>
    </x:row>
    <x:row r="1213">
      <x:c r="A1213" s="21" t="str">
        <x:v>SYN-0347</x:v>
      </x:c>
      <x:c r="B1213" s="21" t="str">
        <x:v>Synthetic Supplier 0347 LLC</x:v>
      </x:c>
      <x:c r="C1213" s="38" t="str">
        <x:f>"900 000 000 000 347"</x:f>
        <x:v>900 000 000 000 347</x:v>
      </x:c>
      <x:c r="D1213" s="21" t="str">
        <x:v>SYN-0347-INV-01</x:v>
      </x:c>
      <x:c r="E1213" s="39" t="n">
        <x:v>46170</x:v>
      </x:c>
      <x:c r="F1213" s="42" t="n">
        <x:v>22913.21</x:v>
      </x:c>
      <x:c r="G1213" s="42" t="n">
        <x:v>1145.66</x:v>
      </x:c>
      <x:c r="H1213" s="42" t="n">
        <x:v>77692.5</x:v>
      </x:c>
      <x:c r="I1213" s="39" t="n">
        <x:v>46196</x:v>
      </x:c>
    </x:row>
    <x:row r="1214">
      <x:c r="A1214" s="21" t="str">
        <x:v>SYN-0347</x:v>
      </x:c>
      <x:c r="B1214" s="21" t="str">
        <x:v>Synthetic Supplier 0347 LLC</x:v>
      </x:c>
      <x:c r="C1214" s="38" t="str">
        <x:f>"900 000 000 000 347"</x:f>
        <x:v>900 000 000 000 347</x:v>
      </x:c>
      <x:c r="D1214" s="21" t="str">
        <x:v>SYN-0347-INV-02</x:v>
      </x:c>
      <x:c r="E1214" s="39" t="n">
        <x:v>46217</x:v>
      </x:c>
      <x:c r="F1214" s="42" t="n">
        <x:v>13236.47</x:v>
      </x:c>
      <x:c r="G1214" s="42" t="n">
        <x:v>661.82</x:v>
      </x:c>
      <x:c r="H1214" s="42" t="n">
        <x:v>77692.5</x:v>
      </x:c>
      <x:c r="I1214" s="39" t="n">
        <x:v>46196</x:v>
      </x:c>
    </x:row>
    <x:row r="1215">
      <x:c r="A1215" s="21" t="str">
        <x:v>SYN-0347</x:v>
      </x:c>
      <x:c r="B1215" s="21" t="str">
        <x:v>Synthetic Supplier 0347 LLC</x:v>
      </x:c>
      <x:c r="C1215" s="38" t="str">
        <x:f>"900 000 000 000 347"</x:f>
        <x:v>900 000 000 000 347</x:v>
      </x:c>
      <x:c r="D1215" s="21" t="str">
        <x:v>SYN-0347-INV-03</x:v>
      </x:c>
      <x:c r="E1215" s="39" t="n">
        <x:v>46264</x:v>
      </x:c>
      <x:c r="F1215" s="42" t="n">
        <x:v>15659.81</x:v>
      </x:c>
      <x:c r="G1215" s="42" t="n">
        <x:v>782.99</x:v>
      </x:c>
      <x:c r="H1215" s="42" t="n">
        <x:v>77692.5</x:v>
      </x:c>
      <x:c r="I1215" s="39" t="n">
        <x:v>46196</x:v>
      </x:c>
    </x:row>
    <x:row r="1216">
      <x:c r="A1216" s="21" t="str">
        <x:v>SYN-0347</x:v>
      </x:c>
      <x:c r="B1216" s="21" t="str">
        <x:v>Synthetic Supplier 0347 LLC</x:v>
      </x:c>
      <x:c r="C1216" s="38" t="str">
        <x:f>"900 000 000 000 347"</x:f>
        <x:v>900 000 000 000 347</x:v>
      </x:c>
      <x:c r="D1216" s="21" t="str">
        <x:v>SYN-0347-INV-04</x:v>
      </x:c>
      <x:c r="E1216" s="39" t="n">
        <x:v>45951</x:v>
      </x:c>
      <x:c r="F1216" s="42" t="n">
        <x:v>13022.13</x:v>
      </x:c>
      <x:c r="G1216" s="42" t="n">
        <x:v>651.11</x:v>
      </x:c>
      <x:c r="H1216" s="42" t="n">
        <x:v>77692.5</x:v>
      </x:c>
      <x:c r="I1216" s="39" t="n">
        <x:v>46196</x:v>
      </x:c>
    </x:row>
    <x:row r="1217">
      <x:c r="A1217" s="21" t="str">
        <x:v>SYN-0347</x:v>
      </x:c>
      <x:c r="B1217" s="21" t="str">
        <x:v>Synthetic Supplier 0347 LLC</x:v>
      </x:c>
      <x:c r="C1217" s="38" t="str">
        <x:f>"900 000 000 000 347"</x:f>
        <x:v>900 000 000 000 347</x:v>
      </x:c>
      <x:c r="D1217" s="21" t="str">
        <x:v>SYN-0347-INV-05</x:v>
      </x:c>
      <x:c r="E1217" s="39" t="n">
        <x:v>45998</x:v>
      </x:c>
      <x:c r="F1217" s="42" t="n">
        <x:v>21493.39</x:v>
      </x:c>
      <x:c r="G1217" s="42" t="n">
        <x:v>1074.67</x:v>
      </x:c>
      <x:c r="H1217" s="42" t="n">
        <x:v>77692.5</x:v>
      </x:c>
      <x:c r="I1217" s="39" t="n">
        <x:v>46196</x:v>
      </x:c>
    </x:row>
    <x:row r="1218">
      <x:c r="A1218" s="21" t="str">
        <x:v>SYN-0348</x:v>
      </x:c>
      <x:c r="B1218" s="21" t="str">
        <x:v>Synthetic Supplier 0348 LLC</x:v>
      </x:c>
      <x:c r="C1218" s="38" t="str">
        <x:f>"900 000 000 000 348"</x:f>
        <x:v>900 000 000 000 348</x:v>
      </x:c>
      <x:c r="D1218" s="21" t="str">
        <x:v>SYN-0348-INV-01</x:v>
      </x:c>
      <x:c r="E1218" s="39" t="n">
        <x:v>46183</x:v>
      </x:c>
      <x:c r="F1218" s="42" t="n">
        <x:v>38330.05</x:v>
      </x:c>
      <x:c r="G1218" s="42" t="n">
        <x:v>1916.5</x:v>
      </x:c>
      <x:c r="H1218" s="42" t="n">
        <x:v>65386.9</x:v>
      </x:c>
      <x:c r="I1218" s="39" t="n">
        <x:v>45862</x:v>
      </x:c>
    </x:row>
    <x:row r="1219">
      <x:c r="A1219" s="21" t="str">
        <x:v>SYN-0348</x:v>
      </x:c>
      <x:c r="B1219" s="21" t="str">
        <x:v>Synthetic Supplier 0348 LLC</x:v>
      </x:c>
      <x:c r="C1219" s="38" t="str">
        <x:f>"900 000 000 000 348"</x:f>
        <x:v>900 000 000 000 348</x:v>
      </x:c>
      <x:c r="D1219" s="21" t="str">
        <x:v>SYN-0348-INV-02</x:v>
      </x:c>
      <x:c r="E1219" s="39" t="n">
        <x:v>46230</x:v>
      </x:c>
      <x:c r="F1219" s="42" t="n">
        <x:v>34322.06</x:v>
      </x:c>
      <x:c r="G1219" s="42" t="n">
        <x:v>1716.1</x:v>
      </x:c>
      <x:c r="H1219" s="42" t="n">
        <x:v>65386.9</x:v>
      </x:c>
      <x:c r="I1219" s="39" t="n">
        <x:v>45862</x:v>
      </x:c>
    </x:row>
    <x:row r="1220">
      <x:c r="A1220" s="21" t="str">
        <x:v>SYN-0349</x:v>
      </x:c>
      <x:c r="B1220" s="21" t="str">
        <x:v>Synthetic Supplier 0349 LLC</x:v>
      </x:c>
      <x:c r="C1220" s="38" t="str">
        <x:f>"900 000 000 000 349"</x:f>
        <x:v>900 000 000 000 349</x:v>
      </x:c>
      <x:c r="D1220" s="21" t="str">
        <x:v>SYN-0349-INV-01</x:v>
      </x:c>
      <x:c r="E1220" s="39" t="n">
        <x:v>46196</x:v>
      </x:c>
      <x:c r="F1220" s="42" t="n">
        <x:v>16234.22</x:v>
      </x:c>
      <x:c r="G1220" s="42" t="n">
        <x:v>811.71</x:v>
      </x:c>
      <x:c r="H1220" s="42" t="n">
        <x:v>53108.35</x:v>
      </x:c>
      <x:c r="I1220" s="39" t="n">
        <x:v>46259</x:v>
      </x:c>
    </x:row>
    <x:row r="1221">
      <x:c r="A1221" s="21" t="str">
        <x:v>SYN-0349</x:v>
      </x:c>
      <x:c r="B1221" s="21" t="str">
        <x:v>Synthetic Supplier 0349 LLC</x:v>
      </x:c>
      <x:c r="C1221" s="38" t="str">
        <x:f>"900 000 000 000 349"</x:f>
        <x:v>900 000 000 000 349</x:v>
      </x:c>
      <x:c r="D1221" s="21" t="str">
        <x:v>SYN-0349-INV-02</x:v>
      </x:c>
      <x:c r="E1221" s="39" t="n">
        <x:v>46243</x:v>
      </x:c>
      <x:c r="F1221" s="42" t="n">
        <x:v>15126.89</x:v>
      </x:c>
      <x:c r="G1221" s="42" t="n">
        <x:v>756.34</x:v>
      </x:c>
      <x:c r="H1221" s="42" t="n">
        <x:v>53108.35</x:v>
      </x:c>
      <x:c r="I1221" s="39" t="n">
        <x:v>46259</x:v>
      </x:c>
    </x:row>
    <x:row r="1222">
      <x:c r="A1222" s="21" t="str">
        <x:v>SYN-0349</x:v>
      </x:c>
      <x:c r="B1222" s="21" t="str">
        <x:v>Synthetic Supplier 0349 LLC</x:v>
      </x:c>
      <x:c r="C1222" s="38" t="str">
        <x:f>"900 000 000 000 349"</x:f>
        <x:v>900 000 000 000 349</x:v>
      </x:c>
      <x:c r="D1222" s="21" t="str">
        <x:v>SYN-0349-INV-03</x:v>
      </x:c>
      <x:c r="E1222" s="39" t="n">
        <x:v>46290</x:v>
      </x:c>
      <x:c r="F1222" s="42" t="n">
        <x:v>27648.17</x:v>
      </x:c>
      <x:c r="G1222" s="42" t="n">
        <x:v>1382.41</x:v>
      </x:c>
      <x:c r="H1222" s="42" t="n">
        <x:v>53108.35</x:v>
      </x:c>
      <x:c r="I1222" s="39" t="n">
        <x:v>46259</x:v>
      </x:c>
    </x:row>
    <x:row r="1223">
      <x:c r="A1223" s="21" t="str">
        <x:v>SYN-0350</x:v>
      </x:c>
      <x:c r="B1223" s="21" t="str">
        <x:v>Synthetic Supplier 0350 LLC</x:v>
      </x:c>
      <x:c r="C1223" s="38" t="str">
        <x:f>"900 000 000 000 350"</x:f>
        <x:v>900 000 000 000 350</x:v>
      </x:c>
      <x:c r="D1223" s="21" t="str">
        <x:v>SYN-0350-INV-01</x:v>
      </x:c>
      <x:c r="E1223" s="39" t="n">
        <x:v>46209</x:v>
      </x:c>
      <x:c r="F1223" s="42" t="n">
        <x:v>19751.09</x:v>
      </x:c>
      <x:c r="G1223" s="42" t="n">
        <x:v>987.55</x:v>
      </x:c>
      <x:c r="H1223" s="42" t="n">
        <x:v>102718.37</x:v>
      </x:c>
      <x:c r="I1223" s="39"/>
    </x:row>
    <x:row r="1224">
      <x:c r="A1224" s="21" t="str">
        <x:v>SYN-0350</x:v>
      </x:c>
      <x:c r="B1224" s="21" t="str">
        <x:v>Synthetic Supplier 0350 LLC</x:v>
      </x:c>
      <x:c r="C1224" s="38" t="str">
        <x:f>"900 000 000 000 350"</x:f>
        <x:v>900 000 000 000 350</x:v>
      </x:c>
      <x:c r="D1224" s="21" t="str">
        <x:v>SYN-0350-INV-02</x:v>
      </x:c>
      <x:c r="E1224" s="39" t="n">
        <x:v>46256</x:v>
      </x:c>
      <x:c r="F1224" s="42" t="n">
        <x:v>22667.95</x:v>
      </x:c>
      <x:c r="G1224" s="42" t="n">
        <x:v>1133.4</x:v>
      </x:c>
      <x:c r="H1224" s="42" t="n">
        <x:v>102718.37</x:v>
      </x:c>
      <x:c r="I1224" s="39"/>
    </x:row>
    <x:row r="1225">
      <x:c r="A1225" s="21" t="str">
        <x:v>SYN-0350</x:v>
      </x:c>
      <x:c r="B1225" s="21" t="str">
        <x:v>Synthetic Supplier 0350 LLC</x:v>
      </x:c>
      <x:c r="C1225" s="38" t="str">
        <x:f>"900 000 000 000 350"</x:f>
        <x:v>900 000 000 000 350</x:v>
      </x:c>
      <x:c r="D1225" s="21" t="str">
        <x:v>SYN-0350-INV-03</x:v>
      </x:c>
      <x:c r="E1225" s="39" t="n">
        <x:v>45943</x:v>
      </x:c>
      <x:c r="F1225" s="42" t="n">
        <x:v>27736.75</x:v>
      </x:c>
      <x:c r="G1225" s="42" t="n">
        <x:v>1386.84</x:v>
      </x:c>
      <x:c r="H1225" s="42" t="n">
        <x:v>102718.37</x:v>
      </x:c>
      <x:c r="I1225" s="39"/>
    </x:row>
    <x:row r="1226">
      <x:c r="A1226" s="21" t="str">
        <x:v>SYN-0350</x:v>
      </x:c>
      <x:c r="B1226" s="21" t="str">
        <x:v>Synthetic Supplier 0350 LLC</x:v>
      </x:c>
      <x:c r="C1226" s="38" t="str">
        <x:f>"900 000 000 000 350"</x:f>
        <x:v>900 000 000 000 350</x:v>
      </x:c>
      <x:c r="D1226" s="21" t="str">
        <x:v>SYN-0350-INV-04</x:v>
      </x:c>
      <x:c r="E1226" s="39" t="n">
        <x:v>45990</x:v>
      </x:c>
      <x:c r="F1226" s="42" t="n">
        <x:v>19164.53</x:v>
      </x:c>
      <x:c r="G1226" s="42" t="n">
        <x:v>958.23</x:v>
      </x:c>
      <x:c r="H1226" s="42" t="n">
        <x:v>102718.37</x:v>
      </x:c>
      <x:c r="I1226" s="39"/>
    </x:row>
    <x:row r="1227">
      <x:c r="A1227" s="21" t="str">
        <x:v>SYN-0351</x:v>
      </x:c>
      <x:c r="B1227" s="21" t="str">
        <x:v>Synthetic Supplier 0351 LLC</x:v>
      </x:c>
      <x:c r="C1227" s="38" t="str">
        <x:f>"900 000 000 000 351"</x:f>
        <x:v>900 000 000 000 351</x:v>
      </x:c>
      <x:c r="D1227" s="21" t="str">
        <x:v>SYN-0351-INV-01</x:v>
      </x:c>
      <x:c r="E1227" s="39" t="n">
        <x:v>46222</x:v>
      </x:c>
      <x:c r="F1227" s="42" t="n">
        <x:v>10826.43</x:v>
      </x:c>
      <x:c r="G1227" s="42" t="n">
        <x:v>541.32</x:v>
      </x:c>
      <x:c r="H1227" s="42" t="n">
        <x:v>48285.59</x:v>
      </x:c>
      <x:c r="I1227" s="39" t="n">
        <x:v>46024</x:v>
      </x:c>
    </x:row>
    <x:row r="1228">
      <x:c r="A1228" s="21" t="str">
        <x:v>SYN-0351</x:v>
      </x:c>
      <x:c r="B1228" s="21" t="str">
        <x:v>Synthetic Supplier 0351 LLC</x:v>
      </x:c>
      <x:c r="C1228" s="38" t="str">
        <x:f>"900 000 000 000 351"</x:f>
        <x:v>900 000 000 000 351</x:v>
      </x:c>
      <x:c r="D1228" s="21" t="str">
        <x:v>SYN-0351-INV-02</x:v>
      </x:c>
      <x:c r="E1228" s="39" t="n">
        <x:v>46269</x:v>
      </x:c>
      <x:c r="F1228" s="42" t="n">
        <x:v>9277.54</x:v>
      </x:c>
      <x:c r="G1228" s="42" t="n">
        <x:v>463.88</x:v>
      </x:c>
      <x:c r="H1228" s="42" t="n">
        <x:v>48285.59</x:v>
      </x:c>
      <x:c r="I1228" s="39" t="n">
        <x:v>46024</x:v>
      </x:c>
    </x:row>
    <x:row r="1229">
      <x:c r="A1229" s="21" t="str">
        <x:v>SYN-0351</x:v>
      </x:c>
      <x:c r="B1229" s="21" t="str">
        <x:v>Synthetic Supplier 0351 LLC</x:v>
      </x:c>
      <x:c r="C1229" s="38" t="str">
        <x:f>"900 000 000 000 351"</x:f>
        <x:v>900 000 000 000 351</x:v>
      </x:c>
      <x:c r="D1229" s="21" t="str">
        <x:v>SYN-0351-INV-03</x:v>
      </x:c>
      <x:c r="E1229" s="39" t="n">
        <x:v>45956</x:v>
      </x:c>
      <x:c r="F1229" s="42" t="n">
        <x:v>14806.13</x:v>
      </x:c>
      <x:c r="G1229" s="42" t="n">
        <x:v>740.31</x:v>
      </x:c>
      <x:c r="H1229" s="42" t="n">
        <x:v>48285.59</x:v>
      </x:c>
      <x:c r="I1229" s="39" t="n">
        <x:v>46024</x:v>
      </x:c>
    </x:row>
    <x:row r="1230">
      <x:c r="A1230" s="21" t="str">
        <x:v>SYN-0351</x:v>
      </x:c>
      <x:c r="B1230" s="21" t="str">
        <x:v>Synthetic Supplier 0351 LLC</x:v>
      </x:c>
      <x:c r="C1230" s="38" t="str">
        <x:f>"900 000 000 000 351"</x:f>
        <x:v>900 000 000 000 351</x:v>
      </x:c>
      <x:c r="D1230" s="21" t="str">
        <x:v>SYN-0351-INV-04</x:v>
      </x:c>
      <x:c r="E1230" s="39" t="n">
        <x:v>46003</x:v>
      </x:c>
      <x:c r="F1230" s="42" t="n">
        <x:v>9223.82</x:v>
      </x:c>
      <x:c r="G1230" s="42" t="n">
        <x:v>461.19</x:v>
      </x:c>
      <x:c r="H1230" s="42" t="n">
        <x:v>48285.59</x:v>
      </x:c>
      <x:c r="I1230" s="39" t="n">
        <x:v>46024</x:v>
      </x:c>
    </x:row>
    <x:row r="1231">
      <x:c r="A1231" s="21" t="str">
        <x:v>SYN-0351</x:v>
      </x:c>
      <x:c r="B1231" s="21" t="str">
        <x:v>Synthetic Supplier 0351 LLC</x:v>
      </x:c>
      <x:c r="C1231" s="38" t="str">
        <x:f>"900 000 000 000 351"</x:f>
        <x:v>900 000 000 000 351</x:v>
      </x:c>
      <x:c r="D1231" s="21" t="str">
        <x:v>SYN-0351-INV-05</x:v>
      </x:c>
      <x:c r="E1231" s="39" t="n">
        <x:v>46050</x:v>
      </x:c>
      <x:c r="F1231" s="42" t="n">
        <x:v>9516.74</x:v>
      </x:c>
      <x:c r="G1231" s="42" t="n">
        <x:v>475.84</x:v>
      </x:c>
      <x:c r="H1231" s="42" t="n">
        <x:v>48285.59</x:v>
      </x:c>
      <x:c r="I1231" s="39" t="n">
        <x:v>46024</x:v>
      </x:c>
    </x:row>
    <x:row r="1232">
      <x:c r="A1232" s="21" t="str">
        <x:v>SYN-0352</x:v>
      </x:c>
      <x:c r="B1232" s="21" t="str">
        <x:v>Synthetic Supplier 0352 LLC</x:v>
      </x:c>
      <x:c r="C1232" s="38" t="str">
        <x:f>"900 000 000 000 352"</x:f>
        <x:v>900 000 000 000 352</x:v>
      </x:c>
      <x:c r="D1232" s="21" t="str">
        <x:v>SYN-0352-INV-01</x:v>
      </x:c>
      <x:c r="E1232" s="39" t="n">
        <x:v>46235</x:v>
      </x:c>
      <x:c r="F1232" s="42" t="n">
        <x:v>35486.26</x:v>
      </x:c>
      <x:c r="G1232" s="42" t="n">
        <x:v>1774.31</x:v>
      </x:c>
      <x:c r="H1232" s="42" t="n">
        <x:v>74206.1</x:v>
      </x:c>
      <x:c r="I1232" s="39" t="n">
        <x:v>45691</x:v>
      </x:c>
    </x:row>
    <x:row r="1233">
      <x:c r="A1233" s="21" t="str">
        <x:v>SYN-0352</x:v>
      </x:c>
      <x:c r="B1233" s="21" t="str">
        <x:v>Synthetic Supplier 0352 LLC</x:v>
      </x:c>
      <x:c r="C1233" s="38" t="str">
        <x:f>"900 000 000 000 352"</x:f>
        <x:v>900 000 000 000 352</x:v>
      </x:c>
      <x:c r="D1233" s="21" t="str">
        <x:v>SYN-0352-INV-02</x:v>
      </x:c>
      <x:c r="E1233" s="39" t="n">
        <x:v>46282</x:v>
      </x:c>
      <x:c r="F1233" s="42" t="n">
        <x:v>46964.96</x:v>
      </x:c>
      <x:c r="G1233" s="42" t="n">
        <x:v>2348.25</x:v>
      </x:c>
      <x:c r="H1233" s="42" t="n">
        <x:v>74206.1</x:v>
      </x:c>
      <x:c r="I1233" s="39" t="n">
        <x:v>45691</x:v>
      </x:c>
    </x:row>
    <x:row r="1234">
      <x:c r="A1234" s="21" t="str">
        <x:v>SYN-0353</x:v>
      </x:c>
      <x:c r="B1234" s="21" t="str">
        <x:v>Synthetic Supplier 0353 LLC</x:v>
      </x:c>
      <x:c r="C1234" s="38" t="str">
        <x:f>"900 000 000 000 353"</x:f>
        <x:v>900 000 000 000 353</x:v>
      </x:c>
      <x:c r="D1234" s="21" t="str">
        <x:v>SYN-0353-INV-01</x:v>
      </x:c>
      <x:c r="E1234" s="39" t="n">
        <x:v>46248</x:v>
      </x:c>
      <x:c r="F1234" s="42" t="n">
        <x:v>16073.89</x:v>
      </x:c>
      <x:c r="G1234" s="42" t="n">
        <x:v>803.69</x:v>
      </x:c>
      <x:c r="H1234" s="42" t="n">
        <x:v>47410.16</x:v>
      </x:c>
      <x:c r="I1234" s="39" t="n">
        <x:v>46085</x:v>
      </x:c>
    </x:row>
    <x:row r="1235">
      <x:c r="A1235" s="21" t="str">
        <x:v>SYN-0353</x:v>
      </x:c>
      <x:c r="B1235" s="21" t="str">
        <x:v>Synthetic Supplier 0353 LLC</x:v>
      </x:c>
      <x:c r="C1235" s="38" t="str">
        <x:f>"900 000 000 000 353"</x:f>
        <x:v>900 000 000 000 353</x:v>
      </x:c>
      <x:c r="D1235" s="21" t="str">
        <x:v>SYN-0353-INV-02</x:v>
      </x:c>
      <x:c r="E1235" s="39" t="n">
        <x:v>45935</x:v>
      </x:c>
      <x:c r="F1235" s="42" t="n">
        <x:v>18163.09</x:v>
      </x:c>
      <x:c r="G1235" s="42" t="n">
        <x:v>908.15</x:v>
      </x:c>
      <x:c r="H1235" s="42" t="n">
        <x:v>47410.16</x:v>
      </x:c>
      <x:c r="I1235" s="39" t="n">
        <x:v>46085</x:v>
      </x:c>
    </x:row>
    <x:row r="1236">
      <x:c r="A1236" s="21" t="str">
        <x:v>SYN-0353</x:v>
      </x:c>
      <x:c r="B1236" s="21" t="str">
        <x:v>Synthetic Supplier 0353 LLC</x:v>
      </x:c>
      <x:c r="C1236" s="38" t="str">
        <x:f>"900 000 000 000 353"</x:f>
        <x:v>900 000 000 000 353</x:v>
      </x:c>
      <x:c r="D1236" s="21" t="str">
        <x:v>SYN-0353-INV-03</x:v>
      </x:c>
      <x:c r="E1236" s="39" t="n">
        <x:v>45982</x:v>
      </x:c>
      <x:c r="F1236" s="42" t="n">
        <x:v>18440.97</x:v>
      </x:c>
      <x:c r="G1236" s="42" t="n">
        <x:v>922.05</x:v>
      </x:c>
      <x:c r="H1236" s="42" t="n">
        <x:v>47410.16</x:v>
      </x:c>
      <x:c r="I1236" s="39" t="n">
        <x:v>46085</x:v>
      </x:c>
    </x:row>
    <x:row r="1237">
      <x:c r="A1237" s="21" t="str">
        <x:v>SYN-0354</x:v>
      </x:c>
      <x:c r="B1237" s="21" t="str">
        <x:v>Synthetic Supplier 0354 LLC</x:v>
      </x:c>
      <x:c r="C1237" s="38" t="str">
        <x:f>"900 000 000 000 354"</x:f>
        <x:v>900 000 000 000 354</x:v>
      </x:c>
      <x:c r="D1237" s="21" t="str">
        <x:v>SYN-0354-INV-01</x:v>
      </x:c>
      <x:c r="E1237" s="39" t="n">
        <x:v>46261</x:v>
      </x:c>
      <x:c r="F1237" s="42" t="n">
        <x:v>22450.77</x:v>
      </x:c>
      <x:c r="G1237" s="42" t="n">
        <x:v>1122.54</x:v>
      </x:c>
      <x:c r="H1237" s="42" t="n">
        <x:v>61621.73</x:v>
      </x:c>
      <x:c r="I1237" s="39" t="n">
        <x:v>45752</x:v>
      </x:c>
    </x:row>
    <x:row r="1238">
      <x:c r="A1238" s="21" t="str">
        <x:v>SYN-0354</x:v>
      </x:c>
      <x:c r="B1238" s="21" t="str">
        <x:v>Synthetic Supplier 0354 LLC</x:v>
      </x:c>
      <x:c r="C1238" s="38" t="str">
        <x:f>"900 000 000 000 354"</x:f>
        <x:v>900 000 000 000 354</x:v>
      </x:c>
      <x:c r="D1238" s="21" t="str">
        <x:v>SYN-0354-INV-02</x:v>
      </x:c>
      <x:c r="E1238" s="39" t="n">
        <x:v>45948</x:v>
      </x:c>
      <x:c r="F1238" s="42" t="n">
        <x:v>14930.63</x:v>
      </x:c>
      <x:c r="G1238" s="42" t="n">
        <x:v>746.53</x:v>
      </x:c>
      <x:c r="H1238" s="42" t="n">
        <x:v>61621.73</x:v>
      </x:c>
      <x:c r="I1238" s="39" t="n">
        <x:v>45752</x:v>
      </x:c>
    </x:row>
    <x:row r="1239">
      <x:c r="A1239" s="21" t="str">
        <x:v>SYN-0354</x:v>
      </x:c>
      <x:c r="B1239" s="21" t="str">
        <x:v>Synthetic Supplier 0354 LLC</x:v>
      </x:c>
      <x:c r="C1239" s="38" t="str">
        <x:f>"900 000 000 000 354"</x:f>
        <x:v>900 000 000 000 354</x:v>
      </x:c>
      <x:c r="D1239" s="21" t="str">
        <x:v>SYN-0354-INV-03</x:v>
      </x:c>
      <x:c r="E1239" s="39" t="n">
        <x:v>45995</x:v>
      </x:c>
      <x:c r="F1239" s="42" t="n">
        <x:v>16174.12</x:v>
      </x:c>
      <x:c r="G1239" s="42" t="n">
        <x:v>808.71</x:v>
      </x:c>
      <x:c r="H1239" s="42" t="n">
        <x:v>61621.73</x:v>
      </x:c>
      <x:c r="I1239" s="39" t="n">
        <x:v>45752</x:v>
      </x:c>
    </x:row>
    <x:row r="1240">
      <x:c r="A1240" s="21" t="str">
        <x:v>SYN-0354</x:v>
      </x:c>
      <x:c r="B1240" s="21" t="str">
        <x:v>Synthetic Supplier 0354 LLC</x:v>
      </x:c>
      <x:c r="C1240" s="38" t="str">
        <x:f>"900 000 000 000 354"</x:f>
        <x:v>900 000 000 000 354</x:v>
      </x:c>
      <x:c r="D1240" s="21" t="str">
        <x:v>SYN-0354-INV-04</x:v>
      </x:c>
      <x:c r="E1240" s="39" t="n">
        <x:v>46042</x:v>
      </x:c>
      <x:c r="F1240" s="42" t="n">
        <x:v>14913.07</x:v>
      </x:c>
      <x:c r="G1240" s="42" t="n">
        <x:v>745.65</x:v>
      </x:c>
      <x:c r="H1240" s="42" t="n">
        <x:v>61621.73</x:v>
      </x:c>
      <x:c r="I1240" s="39" t="n">
        <x:v>45752</x:v>
      </x:c>
    </x:row>
    <x:row r="1241">
      <x:c r="A1241" s="21" t="str">
        <x:v>SYN-0355</x:v>
      </x:c>
      <x:c r="B1241" s="21" t="str">
        <x:v>Synthetic Supplier 0355 LLC</x:v>
      </x:c>
      <x:c r="C1241" s="38" t="str">
        <x:f>"900 000 000 000 355"</x:f>
        <x:v>900 000 000 000 355</x:v>
      </x:c>
      <x:c r="D1241" s="21" t="str">
        <x:v>SYN-0355-INV-01</x:v>
      </x:c>
      <x:c r="E1241" s="39" t="n">
        <x:v>46274</x:v>
      </x:c>
      <x:c r="F1241" s="42" t="n">
        <x:v>7208.73</x:v>
      </x:c>
      <x:c r="G1241" s="42" t="n">
        <x:v>360.44</x:v>
      </x:c>
      <x:c r="H1241" s="42" t="n">
        <x:v>36803.16</x:v>
      </x:c>
      <x:c r="I1241" s="39"/>
    </x:row>
    <x:row r="1242">
      <x:c r="A1242" s="21" t="str">
        <x:v>SYN-0355</x:v>
      </x:c>
      <x:c r="B1242" s="21" t="str">
        <x:v>Synthetic Supplier 0355 LLC</x:v>
      </x:c>
      <x:c r="C1242" s="38" t="str">
        <x:f>"900 000 000 000 355"</x:f>
        <x:v>900 000 000 000 355</x:v>
      </x:c>
      <x:c r="D1242" s="21" t="str">
        <x:v>SYN-0355-INV-02</x:v>
      </x:c>
      <x:c r="E1242" s="39" t="n">
        <x:v>45961</x:v>
      </x:c>
      <x:c r="F1242" s="42" t="n">
        <x:v>9653.94</x:v>
      </x:c>
      <x:c r="G1242" s="42" t="n">
        <x:v>482.7</x:v>
      </x:c>
      <x:c r="H1242" s="42" t="n">
        <x:v>36803.16</x:v>
      </x:c>
      <x:c r="I1242" s="39"/>
    </x:row>
    <x:row r="1243">
      <x:c r="A1243" s="21" t="str">
        <x:v>SYN-0355</x:v>
      </x:c>
      <x:c r="B1243" s="21" t="str">
        <x:v>Synthetic Supplier 0355 LLC</x:v>
      </x:c>
      <x:c r="C1243" s="38" t="str">
        <x:f>"900 000 000 000 355"</x:f>
        <x:v>900 000 000 000 355</x:v>
      </x:c>
      <x:c r="D1243" s="21" t="str">
        <x:v>SYN-0355-INV-03</x:v>
      </x:c>
      <x:c r="E1243" s="39" t="n">
        <x:v>46008</x:v>
      </x:c>
      <x:c r="F1243" s="42" t="n">
        <x:v>8369.82</x:v>
      </x:c>
      <x:c r="G1243" s="42" t="n">
        <x:v>418.49</x:v>
      </x:c>
      <x:c r="H1243" s="42" t="n">
        <x:v>36803.16</x:v>
      </x:c>
      <x:c r="I1243" s="39"/>
    </x:row>
    <x:row r="1244">
      <x:c r="A1244" s="21" t="str">
        <x:v>SYN-0355</x:v>
      </x:c>
      <x:c r="B1244" s="21" t="str">
        <x:v>Synthetic Supplier 0355 LLC</x:v>
      </x:c>
      <x:c r="C1244" s="38" t="str">
        <x:f>"900 000 000 000 355"</x:f>
        <x:v>900 000 000 000 355</x:v>
      </x:c>
      <x:c r="D1244" s="21" t="str">
        <x:v>SYN-0355-INV-04</x:v>
      </x:c>
      <x:c r="E1244" s="39" t="n">
        <x:v>46055</x:v>
      </x:c>
      <x:c r="F1244" s="42" t="n">
        <x:v>9809.36</x:v>
      </x:c>
      <x:c r="G1244" s="42" t="n">
        <x:v>490.47</x:v>
      </x:c>
      <x:c r="H1244" s="42" t="n">
        <x:v>36803.16</x:v>
      </x:c>
      <x:c r="I1244" s="39"/>
    </x:row>
    <x:row r="1245">
      <x:c r="A1245" s="21" t="str">
        <x:v>SYN-0355</x:v>
      </x:c>
      <x:c r="B1245" s="21" t="str">
        <x:v>Synthetic Supplier 0355 LLC</x:v>
      </x:c>
      <x:c r="C1245" s="38" t="str">
        <x:f>"900 000 000 000 355"</x:f>
        <x:v>900 000 000 000 355</x:v>
      </x:c>
      <x:c r="D1245" s="21" t="str">
        <x:v>SYN-0355-INV-05</x:v>
      </x:c>
      <x:c r="E1245" s="39" t="n">
        <x:v>46102</x:v>
      </x:c>
      <x:c r="F1245" s="42" t="n">
        <x:v>5850.56</x:v>
      </x:c>
      <x:c r="G1245" s="42" t="n">
        <x:v>292.53</x:v>
      </x:c>
      <x:c r="H1245" s="42" t="n">
        <x:v>36803.16</x:v>
      </x:c>
      <x:c r="I1245" s="39"/>
    </x:row>
    <x:row r="1246">
      <x:c r="A1246" s="21" t="str">
        <x:v>SYN-0356</x:v>
      </x:c>
      <x:c r="B1246" s="21" t="str">
        <x:v>Synthetic Supplier 0356 LLC</x:v>
      </x:c>
      <x:c r="C1246" s="38" t="str">
        <x:f>"900 000 000 000 356"</x:f>
        <x:v>900 000 000 000 356</x:v>
      </x:c>
      <x:c r="D1246" s="21" t="str">
        <x:v>SYN-0356-INV-01</x:v>
      </x:c>
      <x:c r="E1246" s="39" t="n">
        <x:v>46287</x:v>
      </x:c>
      <x:c r="F1246" s="42" t="n">
        <x:v>35258.69</x:v>
      </x:c>
      <x:c r="G1246" s="42" t="n">
        <x:v>1762.93</x:v>
      </x:c>
      <x:c r="H1246" s="42" t="n">
        <x:v>60200.93</x:v>
      </x:c>
      <x:c r="I1246" s="39" t="n">
        <x:v>45815</x:v>
      </x:c>
    </x:row>
    <x:row r="1247">
      <x:c r="A1247" s="21" t="str">
        <x:v>SYN-0356</x:v>
      </x:c>
      <x:c r="B1247" s="21" t="str">
        <x:v>Synthetic Supplier 0356 LLC</x:v>
      </x:c>
      <x:c r="C1247" s="38" t="str">
        <x:f>"900 000 000 000 356"</x:f>
        <x:v>900 000 000 000 356</x:v>
      </x:c>
      <x:c r="D1247" s="21" t="str">
        <x:v>SYN-0356-INV-02</x:v>
      </x:c>
      <x:c r="E1247" s="39" t="n">
        <x:v>45974</x:v>
      </x:c>
      <x:c r="F1247" s="42" t="n">
        <x:v>31631.23</x:v>
      </x:c>
      <x:c r="G1247" s="42" t="n">
        <x:v>1581.56</x:v>
      </x:c>
      <x:c r="H1247" s="42" t="n">
        <x:v>60200.93</x:v>
      </x:c>
      <x:c r="I1247" s="39" t="n">
        <x:v>45815</x:v>
      </x:c>
    </x:row>
    <x:row r="1248">
      <x:c r="A1248" s="21" t="str">
        <x:v>SYN-0357</x:v>
      </x:c>
      <x:c r="B1248" s="21" t="str">
        <x:v>Synthetic Supplier 0357 LLC</x:v>
      </x:c>
      <x:c r="C1248" s="38" t="str">
        <x:f>"900 000 000 000 357"</x:f>
        <x:v>900 000 000 000 357</x:v>
      </x:c>
      <x:c r="D1248" s="21" t="str">
        <x:v>SYN-0357-INV-01</x:v>
      </x:c>
      <x:c r="E1248" s="39" t="n">
        <x:v>45940</x:v>
      </x:c>
      <x:c r="F1248" s="42" t="n">
        <x:v>30123.89</x:v>
      </x:c>
      <x:c r="G1248" s="42" t="n">
        <x:v>1506.19</x:v>
      </x:c>
      <x:c r="H1248" s="42" t="n">
        <x:v>90937.84</x:v>
      </x:c>
      <x:c r="I1248" s="39" t="n">
        <x:v>46211</x:v>
      </x:c>
    </x:row>
    <x:row r="1249">
      <x:c r="A1249" s="21" t="str">
        <x:v>SYN-0357</x:v>
      </x:c>
      <x:c r="B1249" s="21" t="str">
        <x:v>Synthetic Supplier 0357 LLC</x:v>
      </x:c>
      <x:c r="C1249" s="38" t="str">
        <x:f>"900 000 000 000 357"</x:f>
        <x:v>900 000 000 000 357</x:v>
      </x:c>
      <x:c r="D1249" s="21" t="str">
        <x:v>SYN-0357-INV-02</x:v>
      </x:c>
      <x:c r="E1249" s="39" t="n">
        <x:v>45987</x:v>
      </x:c>
      <x:c r="F1249" s="42" t="n">
        <x:v>18287.52</x:v>
      </x:c>
      <x:c r="G1249" s="42" t="n">
        <x:v>914.38</x:v>
      </x:c>
      <x:c r="H1249" s="42" t="n">
        <x:v>90937.84</x:v>
      </x:c>
      <x:c r="I1249" s="39" t="n">
        <x:v>46211</x:v>
      </x:c>
    </x:row>
    <x:row r="1250">
      <x:c r="A1250" s="21" t="str">
        <x:v>SYN-0357</x:v>
      </x:c>
      <x:c r="B1250" s="21" t="str">
        <x:v>Synthetic Supplier 0357 LLC</x:v>
      </x:c>
      <x:c r="C1250" s="38" t="str">
        <x:f>"900 000 000 000 357"</x:f>
        <x:v>900 000 000 000 357</x:v>
      </x:c>
      <x:c r="D1250" s="21" t="str">
        <x:v>SYN-0357-INV-03</x:v>
      </x:c>
      <x:c r="E1250" s="39" t="n">
        <x:v>46034</x:v>
      </x:c>
      <x:c r="F1250" s="42" t="n">
        <x:v>30664.97</x:v>
      </x:c>
      <x:c r="G1250" s="42" t="n">
        <x:v>1533.25</x:v>
      </x:c>
      <x:c r="H1250" s="42" t="n">
        <x:v>90937.84</x:v>
      </x:c>
      <x:c r="I1250" s="39" t="n">
        <x:v>46211</x:v>
      </x:c>
    </x:row>
    <x:row r="1251">
      <x:c r="A1251" s="21" t="str">
        <x:v>SYN-0358</x:v>
      </x:c>
      <x:c r="B1251" s="21" t="str">
        <x:v>Synthetic Supplier 0358 LLC</x:v>
      </x:c>
      <x:c r="C1251" s="38" t="str">
        <x:f>"900 000 000 000 358"</x:f>
        <x:v>900 000 000 000 358</x:v>
      </x:c>
      <x:c r="D1251" s="21" t="str">
        <x:v>SYN-0358-INV-01</x:v>
      </x:c>
      <x:c r="E1251" s="39" t="n">
        <x:v>45953</x:v>
      </x:c>
      <x:c r="F1251" s="42" t="n">
        <x:v>17082.98</x:v>
      </x:c>
      <x:c r="G1251" s="42" t="n">
        <x:v>854.15</x:v>
      </x:c>
      <x:c r="H1251" s="42" t="n">
        <x:v>51171.43</x:v>
      </x:c>
      <x:c r="I1251" s="39" t="n">
        <x:v>45878</x:v>
      </x:c>
    </x:row>
    <x:row r="1252">
      <x:c r="A1252" s="21" t="str">
        <x:v>SYN-0358</x:v>
      </x:c>
      <x:c r="B1252" s="21" t="str">
        <x:v>Synthetic Supplier 0358 LLC</x:v>
      </x:c>
      <x:c r="C1252" s="38" t="str">
        <x:f>"900 000 000 000 358"</x:f>
        <x:v>900 000 000 000 358</x:v>
      </x:c>
      <x:c r="D1252" s="21" t="str">
        <x:v>SYN-0358-INV-02</x:v>
      </x:c>
      <x:c r="E1252" s="39" t="n">
        <x:v>46000</x:v>
      </x:c>
      <x:c r="F1252" s="42" t="n">
        <x:v>15351.44</x:v>
      </x:c>
      <x:c r="G1252" s="42" t="n">
        <x:v>767.57</x:v>
      </x:c>
      <x:c r="H1252" s="42" t="n">
        <x:v>51171.43</x:v>
      </x:c>
      <x:c r="I1252" s="39" t="n">
        <x:v>45878</x:v>
      </x:c>
    </x:row>
    <x:row r="1253">
      <x:c r="A1253" s="21" t="str">
        <x:v>SYN-0358</x:v>
      </x:c>
      <x:c r="B1253" s="21" t="str">
        <x:v>Synthetic Supplier 0358 LLC</x:v>
      </x:c>
      <x:c r="C1253" s="38" t="str">
        <x:f>"900 000 000 000 358"</x:f>
        <x:v>900 000 000 000 358</x:v>
      </x:c>
      <x:c r="D1253" s="21" t="str">
        <x:v>SYN-0358-INV-03</x:v>
      </x:c>
      <x:c r="E1253" s="39" t="n">
        <x:v>46047</x:v>
      </x:c>
      <x:c r="F1253" s="42" t="n">
        <x:v>13246.51</x:v>
      </x:c>
      <x:c r="G1253" s="42" t="n">
        <x:v>662.33</x:v>
      </x:c>
      <x:c r="H1253" s="42" t="n">
        <x:v>51171.43</x:v>
      </x:c>
      <x:c r="I1253" s="39" t="n">
        <x:v>45878</x:v>
      </x:c>
    </x:row>
    <x:row r="1254">
      <x:c r="A1254" s="21" t="str">
        <x:v>SYN-0358</x:v>
      </x:c>
      <x:c r="B1254" s="21" t="str">
        <x:v>Synthetic Supplier 0358 LLC</x:v>
      </x:c>
      <x:c r="C1254" s="38" t="str">
        <x:f>"900 000 000 000 358"</x:f>
        <x:v>900 000 000 000 358</x:v>
      </x:c>
      <x:c r="D1254" s="21" t="str">
        <x:v>SYN-0358-INV-04</x:v>
      </x:c>
      <x:c r="E1254" s="39" t="n">
        <x:v>46094</x:v>
      </x:c>
      <x:c r="F1254" s="42" t="n">
        <x:v>11176.22</x:v>
      </x:c>
      <x:c r="G1254" s="42" t="n">
        <x:v>558.81</x:v>
      </x:c>
      <x:c r="H1254" s="42" t="n">
        <x:v>51171.43</x:v>
      </x:c>
      <x:c r="I1254" s="39" t="n">
        <x:v>45878</x:v>
      </x:c>
    </x:row>
    <x:row r="1255">
      <x:c r="A1255" s="21" t="str">
        <x:v>SYN-0359</x:v>
      </x:c>
      <x:c r="B1255" s="21" t="str">
        <x:v>Synthetic Supplier 0359 LLC</x:v>
      </x:c>
      <x:c r="C1255" s="38" t="str">
        <x:f>"900 000 000 000 359"</x:f>
        <x:v>900 000 000 000 359</x:v>
      </x:c>
      <x:c r="D1255" s="21" t="str">
        <x:v>SYN-0359-INV-01</x:v>
      </x:c>
      <x:c r="E1255" s="39" t="n">
        <x:v>45966</x:v>
      </x:c>
      <x:c r="F1255" s="42" t="n">
        <x:v>19463.61</x:v>
      </x:c>
      <x:c r="G1255" s="42" t="n">
        <x:v>973.18</x:v>
      </x:c>
      <x:c r="H1255" s="42" t="n">
        <x:v>72991.61</x:v>
      </x:c>
      <x:c r="I1255" s="39" t="n">
        <x:v>46275</x:v>
      </x:c>
    </x:row>
    <x:row r="1256">
      <x:c r="A1256" s="21" t="str">
        <x:v>SYN-0359</x:v>
      </x:c>
      <x:c r="B1256" s="21" t="str">
        <x:v>Synthetic Supplier 0359 LLC</x:v>
      </x:c>
      <x:c r="C1256" s="38" t="str">
        <x:f>"900 000 000 000 359"</x:f>
        <x:v>900 000 000 000 359</x:v>
      </x:c>
      <x:c r="D1256" s="21" t="str">
        <x:v>SYN-0359-INV-02</x:v>
      </x:c>
      <x:c r="E1256" s="39" t="n">
        <x:v>46013</x:v>
      </x:c>
      <x:c r="F1256" s="42" t="n">
        <x:v>12966.37</x:v>
      </x:c>
      <x:c r="G1256" s="42" t="n">
        <x:v>648.32</x:v>
      </x:c>
      <x:c r="H1256" s="42" t="n">
        <x:v>72991.61</x:v>
      </x:c>
      <x:c r="I1256" s="39" t="n">
        <x:v>46275</x:v>
      </x:c>
    </x:row>
    <x:row r="1257">
      <x:c r="A1257" s="21" t="str">
        <x:v>SYN-0359</x:v>
      </x:c>
      <x:c r="B1257" s="21" t="str">
        <x:v>Synthetic Supplier 0359 LLC</x:v>
      </x:c>
      <x:c r="C1257" s="38" t="str">
        <x:f>"900 000 000 000 359"</x:f>
        <x:v>900 000 000 000 359</x:v>
      </x:c>
      <x:c r="D1257" s="21" t="str">
        <x:v>SYN-0359-INV-03</x:v>
      </x:c>
      <x:c r="E1257" s="39" t="n">
        <x:v>46060</x:v>
      </x:c>
      <x:c r="F1257" s="42" t="n">
        <x:v>14254.38</x:v>
      </x:c>
      <x:c r="G1257" s="42" t="n">
        <x:v>712.72</x:v>
      </x:c>
      <x:c r="H1257" s="42" t="n">
        <x:v>72991.61</x:v>
      </x:c>
      <x:c r="I1257" s="39" t="n">
        <x:v>46275</x:v>
      </x:c>
    </x:row>
    <x:row r="1258">
      <x:c r="A1258" s="21" t="str">
        <x:v>SYN-0359</x:v>
      </x:c>
      <x:c r="B1258" s="21" t="str">
        <x:v>Synthetic Supplier 0359 LLC</x:v>
      </x:c>
      <x:c r="C1258" s="38" t="str">
        <x:f>"900 000 000 000 359"</x:f>
        <x:v>900 000 000 000 359</x:v>
      </x:c>
      <x:c r="D1258" s="21" t="str">
        <x:v>SYN-0359-INV-04</x:v>
      </x:c>
      <x:c r="E1258" s="39" t="n">
        <x:v>46107</x:v>
      </x:c>
      <x:c r="F1258" s="42" t="n">
        <x:v>20052.49</x:v>
      </x:c>
      <x:c r="G1258" s="42" t="n">
        <x:v>1002.62</x:v>
      </x:c>
      <x:c r="H1258" s="42" t="n">
        <x:v>72991.61</x:v>
      </x:c>
      <x:c r="I1258" s="39" t="n">
        <x:v>46275</x:v>
      </x:c>
    </x:row>
    <x:row r="1259">
      <x:c r="A1259" s="21" t="str">
        <x:v>SYN-0359</x:v>
      </x:c>
      <x:c r="B1259" s="21" t="str">
        <x:v>Synthetic Supplier 0359 LLC</x:v>
      </x:c>
      <x:c r="C1259" s="38" t="str">
        <x:f>"900 000 000 000 359"</x:f>
        <x:v>900 000 000 000 359</x:v>
      </x:c>
      <x:c r="D1259" s="21" t="str">
        <x:v>SYN-0359-INV-05</x:v>
      </x:c>
      <x:c r="E1259" s="39" t="n">
        <x:v>46154</x:v>
      </x:c>
      <x:c r="F1259" s="42" t="n">
        <x:v>14364.93</x:v>
      </x:c>
      <x:c r="G1259" s="42" t="n">
        <x:v>718.25</x:v>
      </x:c>
      <x:c r="H1259" s="42" t="n">
        <x:v>72991.61</x:v>
      </x:c>
      <x:c r="I1259" s="39" t="n">
        <x:v>46275</x:v>
      </x:c>
    </x:row>
    <x:row r="1260">
      <x:c r="A1260" s="21" t="str">
        <x:v>SYN-0360</x:v>
      </x:c>
      <x:c r="B1260" s="21" t="str">
        <x:v>Synthetic Supplier 0360 LLC</x:v>
      </x:c>
      <x:c r="C1260" s="38" t="str">
        <x:f>"900 000 000 000 360"</x:f>
        <x:v>900 000 000 000 360</x:v>
      </x:c>
      <x:c r="D1260" s="21" t="str">
        <x:v>SYN-0360-INV-01</x:v>
      </x:c>
      <x:c r="E1260" s="39" t="n">
        <x:v>45979</x:v>
      </x:c>
      <x:c r="F1260" s="42" t="n">
        <x:v>30779.6</x:v>
      </x:c>
      <x:c r="G1260" s="42" t="n">
        <x:v>1538.98</x:v>
      </x:c>
      <x:c r="H1260" s="42" t="n">
        <x:v>47981.86</x:v>
      </x:c>
      <x:c r="I1260" s="39"/>
    </x:row>
    <x:row r="1261">
      <x:c r="A1261" s="21" t="str">
        <x:v>SYN-0360</x:v>
      </x:c>
      <x:c r="B1261" s="21" t="str">
        <x:v>Synthetic Supplier 0360 LLC</x:v>
      </x:c>
      <x:c r="C1261" s="38" t="str">
        <x:f>"900 000 000 000 360"</x:f>
        <x:v>900 000 000 000 360</x:v>
      </x:c>
      <x:c r="D1261" s="21" t="str">
        <x:v>SYN-0360-INV-02</x:v>
      </x:c>
      <x:c r="E1261" s="39" t="n">
        <x:v>46026</x:v>
      </x:c>
      <x:c r="F1261" s="42" t="n">
        <x:v>22533.58</x:v>
      </x:c>
      <x:c r="G1261" s="42" t="n">
        <x:v>1126.68</x:v>
      </x:c>
      <x:c r="H1261" s="42" t="n">
        <x:v>47981.86</x:v>
      </x:c>
      <x:c r="I1261" s="39"/>
    </x:row>
    <x:row r="1262">
      <x:c r="A1262" s="21" t="str">
        <x:v>SYN-0361</x:v>
      </x:c>
      <x:c r="B1262" s="21" t="str">
        <x:v>Synthetic Supplier 0361 LLC</x:v>
      </x:c>
      <x:c r="C1262" s="38" t="str">
        <x:f>"900 000 000 000 361"</x:f>
        <x:v>900 000 000 000 361</x:v>
      </x:c>
      <x:c r="D1262" s="21" t="str">
        <x:v>SYN-0361-INV-01</x:v>
      </x:c>
      <x:c r="E1262" s="39" t="n">
        <x:v>45992</x:v>
      </x:c>
      <x:c r="F1262" s="42" t="n">
        <x:v>23156.6</x:v>
      </x:c>
      <x:c r="G1262" s="42" t="n">
        <x:v>1157.83</x:v>
      </x:c>
      <x:c r="H1262" s="42" t="n">
        <x:v>62797.28</x:v>
      </x:c>
      <x:c r="I1262" s="39" t="n">
        <x:v>46065</x:v>
      </x:c>
    </x:row>
    <x:row r="1263">
      <x:c r="A1263" s="21" t="str">
        <x:v>SYN-0361</x:v>
      </x:c>
      <x:c r="B1263" s="21" t="str">
        <x:v>Synthetic Supplier 0361 LLC</x:v>
      </x:c>
      <x:c r="C1263" s="38" t="str">
        <x:f>"900 000 000 000 361"</x:f>
        <x:v>900 000 000 000 361</x:v>
      </x:c>
      <x:c r="D1263" s="21" t="str">
        <x:v>SYN-0361-INV-02</x:v>
      </x:c>
      <x:c r="E1263" s="39" t="n">
        <x:v>46039</x:v>
      </x:c>
      <x:c r="F1263" s="42" t="n">
        <x:v>19436.04</x:v>
      </x:c>
      <x:c r="G1263" s="42" t="n">
        <x:v>971.8</x:v>
      </x:c>
      <x:c r="H1263" s="42" t="n">
        <x:v>62797.28</x:v>
      </x:c>
      <x:c r="I1263" s="39" t="n">
        <x:v>46065</x:v>
      </x:c>
    </x:row>
    <x:row r="1264">
      <x:c r="A1264" s="21" t="str">
        <x:v>SYN-0361</x:v>
      </x:c>
      <x:c r="B1264" s="21" t="str">
        <x:v>Synthetic Supplier 0361 LLC</x:v>
      </x:c>
      <x:c r="C1264" s="38" t="str">
        <x:f>"900 000 000 000 361"</x:f>
        <x:v>900 000 000 000 361</x:v>
      </x:c>
      <x:c r="D1264" s="21" t="str">
        <x:v>SYN-0361-INV-03</x:v>
      </x:c>
      <x:c r="E1264" s="39" t="n">
        <x:v>46086</x:v>
      </x:c>
      <x:c r="F1264" s="42" t="n">
        <x:v>27182.11</x:v>
      </x:c>
      <x:c r="G1264" s="42" t="n">
        <x:v>1359.11</x:v>
      </x:c>
      <x:c r="H1264" s="42" t="n">
        <x:v>62797.28</x:v>
      </x:c>
      <x:c r="I1264" s="39" t="n">
        <x:v>46065</x:v>
      </x:c>
    </x:row>
    <x:row r="1265">
      <x:c r="A1265" s="21" t="str">
        <x:v>SYN-0362</x:v>
      </x:c>
      <x:c r="B1265" s="21" t="str">
        <x:v>Synthetic Supplier 0362 LLC</x:v>
      </x:c>
      <x:c r="C1265" s="38" t="str">
        <x:f>"900 000 000 000 362"</x:f>
        <x:v>900 000 000 000 362</x:v>
      </x:c>
      <x:c r="D1265" s="21" t="str">
        <x:v>SYN-0362-INV-01</x:v>
      </x:c>
      <x:c r="E1265" s="39" t="n">
        <x:v>46005</x:v>
      </x:c>
      <x:c r="F1265" s="42" t="n">
        <x:v>11553.54</x:v>
      </x:c>
      <x:c r="G1265" s="42" t="n">
        <x:v>577.68</x:v>
      </x:c>
      <x:c r="H1265" s="42" t="n">
        <x:v>41028.79</x:v>
      </x:c>
      <x:c r="I1265" s="39" t="n">
        <x:v>45729</x:v>
      </x:c>
    </x:row>
    <x:row r="1266">
      <x:c r="A1266" s="21" t="str">
        <x:v>SYN-0362</x:v>
      </x:c>
      <x:c r="B1266" s="21" t="str">
        <x:v>Synthetic Supplier 0362 LLC</x:v>
      </x:c>
      <x:c r="C1266" s="38" t="str">
        <x:f>"900 000 000 000 362"</x:f>
        <x:v>900 000 000 000 362</x:v>
      </x:c>
      <x:c r="D1266" s="21" t="str">
        <x:v>SYN-0362-INV-02</x:v>
      </x:c>
      <x:c r="E1266" s="39" t="n">
        <x:v>46052</x:v>
      </x:c>
      <x:c r="F1266" s="42" t="n">
        <x:v>11265.14</x:v>
      </x:c>
      <x:c r="G1266" s="42" t="n">
        <x:v>563.26</x:v>
      </x:c>
      <x:c r="H1266" s="42" t="n">
        <x:v>41028.79</x:v>
      </x:c>
      <x:c r="I1266" s="39" t="n">
        <x:v>45729</x:v>
      </x:c>
    </x:row>
    <x:row r="1267">
      <x:c r="A1267" s="21" t="str">
        <x:v>SYN-0362</x:v>
      </x:c>
      <x:c r="B1267" s="21" t="str">
        <x:v>Synthetic Supplier 0362 LLC</x:v>
      </x:c>
      <x:c r="C1267" s="38" t="str">
        <x:f>"900 000 000 000 362"</x:f>
        <x:v>900 000 000 000 362</x:v>
      </x:c>
      <x:c r="D1267" s="21" t="str">
        <x:v>SYN-0362-INV-03</x:v>
      </x:c>
      <x:c r="E1267" s="39" t="n">
        <x:v>46099</x:v>
      </x:c>
      <x:c r="F1267" s="42" t="n">
        <x:v>11851.95</x:v>
      </x:c>
      <x:c r="G1267" s="42" t="n">
        <x:v>592.6</x:v>
      </x:c>
      <x:c r="H1267" s="42" t="n">
        <x:v>41028.79</x:v>
      </x:c>
      <x:c r="I1267" s="39" t="n">
        <x:v>45729</x:v>
      </x:c>
    </x:row>
    <x:row r="1268">
      <x:c r="A1268" s="21" t="str">
        <x:v>SYN-0362</x:v>
      </x:c>
      <x:c r="B1268" s="21" t="str">
        <x:v>Synthetic Supplier 0362 LLC</x:v>
      </x:c>
      <x:c r="C1268" s="38" t="str">
        <x:f>"900 000 000 000 362"</x:f>
        <x:v>900 000 000 000 362</x:v>
      </x:c>
      <x:c r="D1268" s="21" t="str">
        <x:v>SYN-0362-INV-04</x:v>
      </x:c>
      <x:c r="E1268" s="39" t="n">
        <x:v>46146</x:v>
      </x:c>
      <x:c r="F1268" s="42" t="n">
        <x:v>10916.91</x:v>
      </x:c>
      <x:c r="G1268" s="42" t="n">
        <x:v>545.85</x:v>
      </x:c>
      <x:c r="H1268" s="42" t="n">
        <x:v>41028.79</x:v>
      </x:c>
      <x:c r="I1268" s="39" t="n">
        <x:v>45729</x:v>
      </x:c>
    </x:row>
    <x:row r="1269">
      <x:c r="A1269" s="21" t="str">
        <x:v>SYN-0363</x:v>
      </x:c>
      <x:c r="B1269" s="21" t="str">
        <x:v>Synthetic Supplier 0363 LLC</x:v>
      </x:c>
      <x:c r="C1269" s="38" t="str">
        <x:f>"900 000 000 000 363"</x:f>
        <x:v>900 000 000 000 363</x:v>
      </x:c>
      <x:c r="D1269" s="21" t="str">
        <x:v>SYN-0363-INV-01</x:v>
      </x:c>
      <x:c r="E1269" s="39" t="n">
        <x:v>46018</x:v>
      </x:c>
      <x:c r="F1269" s="42" t="n">
        <x:v>12662.03</x:v>
      </x:c>
      <x:c r="G1269" s="42" t="n">
        <x:v>633.1</x:v>
      </x:c>
      <x:c r="H1269" s="42" t="n">
        <x:v>48074.26</x:v>
      </x:c>
      <x:c r="I1269" s="39" t="n">
        <x:v>46126</x:v>
      </x:c>
    </x:row>
    <x:row r="1270">
      <x:c r="A1270" s="21" t="str">
        <x:v>SYN-0363</x:v>
      </x:c>
      <x:c r="B1270" s="21" t="str">
        <x:v>Synthetic Supplier 0363 LLC</x:v>
      </x:c>
      <x:c r="C1270" s="38" t="str">
        <x:f>"900 000 000 000 363"</x:f>
        <x:v>900 000 000 000 363</x:v>
      </x:c>
      <x:c r="D1270" s="21" t="str">
        <x:v>SYN-0363-INV-02</x:v>
      </x:c>
      <x:c r="E1270" s="39" t="n">
        <x:v>46065</x:v>
      </x:c>
      <x:c r="F1270" s="42" t="n">
        <x:v>7507.06</x:v>
      </x:c>
      <x:c r="G1270" s="42" t="n">
        <x:v>375.35</x:v>
      </x:c>
      <x:c r="H1270" s="42" t="n">
        <x:v>48074.26</x:v>
      </x:c>
      <x:c r="I1270" s="39" t="n">
        <x:v>46126</x:v>
      </x:c>
    </x:row>
    <x:row r="1271">
      <x:c r="A1271" s="21" t="str">
        <x:v>SYN-0363</x:v>
      </x:c>
      <x:c r="B1271" s="21" t="str">
        <x:v>Synthetic Supplier 0363 LLC</x:v>
      </x:c>
      <x:c r="C1271" s="38" t="str">
        <x:f>"900 000 000 000 363"</x:f>
        <x:v>900 000 000 000 363</x:v>
      </x:c>
      <x:c r="D1271" s="21" t="str">
        <x:v>SYN-0363-INV-03</x:v>
      </x:c>
      <x:c r="E1271" s="39" t="n">
        <x:v>46112</x:v>
      </x:c>
      <x:c r="F1271" s="42" t="n">
        <x:v>9327.01</x:v>
      </x:c>
      <x:c r="G1271" s="42" t="n">
        <x:v>466.35</x:v>
      </x:c>
      <x:c r="H1271" s="42" t="n">
        <x:v>48074.26</x:v>
      </x:c>
      <x:c r="I1271" s="39" t="n">
        <x:v>46126</x:v>
      </x:c>
    </x:row>
    <x:row r="1272">
      <x:c r="A1272" s="21" t="str">
        <x:v>SYN-0363</x:v>
      </x:c>
      <x:c r="B1272" s="21" t="str">
        <x:v>Synthetic Supplier 0363 LLC</x:v>
      </x:c>
      <x:c r="C1272" s="38" t="str">
        <x:f>"900 000 000 000 363"</x:f>
        <x:v>900 000 000 000 363</x:v>
      </x:c>
      <x:c r="D1272" s="21" t="str">
        <x:v>SYN-0363-INV-04</x:v>
      </x:c>
      <x:c r="E1272" s="39" t="n">
        <x:v>46159</x:v>
      </x:c>
      <x:c r="F1272" s="42" t="n">
        <x:v>10657.09</x:v>
      </x:c>
      <x:c r="G1272" s="42" t="n">
        <x:v>532.85</x:v>
      </x:c>
      <x:c r="H1272" s="42" t="n">
        <x:v>48074.26</x:v>
      </x:c>
      <x:c r="I1272" s="39" t="n">
        <x:v>46126</x:v>
      </x:c>
    </x:row>
    <x:row r="1273">
      <x:c r="A1273" s="21" t="str">
        <x:v>SYN-0363</x:v>
      </x:c>
      <x:c r="B1273" s="21" t="str">
        <x:v>Synthetic Supplier 0363 LLC</x:v>
      </x:c>
      <x:c r="C1273" s="38" t="str">
        <x:f>"900 000 000 000 363"</x:f>
        <x:v>900 000 000 000 363</x:v>
      </x:c>
      <x:c r="D1273" s="21" t="str">
        <x:v>SYN-0363-INV-05</x:v>
      </x:c>
      <x:c r="E1273" s="39" t="n">
        <x:v>46206</x:v>
      </x:c>
      <x:c r="F1273" s="42" t="n">
        <x:v>13262.64</x:v>
      </x:c>
      <x:c r="G1273" s="42" t="n">
        <x:v>663.13</x:v>
      </x:c>
      <x:c r="H1273" s="42" t="n">
        <x:v>48074.26</x:v>
      </x:c>
      <x:c r="I1273" s="39" t="n">
        <x:v>46126</x:v>
      </x:c>
    </x:row>
    <x:row r="1274">
      <x:c r="A1274" s="21" t="str">
        <x:v>SYN-0364</x:v>
      </x:c>
      <x:c r="B1274" s="21" t="str">
        <x:v>Synthetic Supplier 0364 LLC</x:v>
      </x:c>
      <x:c r="C1274" s="38" t="str">
        <x:f>"900 000 000 000 364"</x:f>
        <x:v>900 000 000 000 364</x:v>
      </x:c>
      <x:c r="D1274" s="21" t="str">
        <x:v>SYN-0364-INV-01</x:v>
      </x:c>
      <x:c r="E1274" s="39" t="n">
        <x:v>46031</x:v>
      </x:c>
      <x:c r="F1274" s="42" t="n">
        <x:v>31790.94</x:v>
      </x:c>
      <x:c r="G1274" s="42" t="n">
        <x:v>1589.55</x:v>
      </x:c>
      <x:c r="H1274" s="42" t="n">
        <x:v>78228.55</x:v>
      </x:c>
      <x:c r="I1274" s="39" t="n">
        <x:v>45792</x:v>
      </x:c>
    </x:row>
    <x:row r="1275">
      <x:c r="A1275" s="21" t="str">
        <x:v>SYN-0364</x:v>
      </x:c>
      <x:c r="B1275" s="21" t="str">
        <x:v>Synthetic Supplier 0364 LLC</x:v>
      </x:c>
      <x:c r="C1275" s="38" t="str">
        <x:f>"900 000 000 000 364"</x:f>
        <x:v>900 000 000 000 364</x:v>
      </x:c>
      <x:c r="D1275" s="21" t="str">
        <x:v>SYN-0364-INV-02</x:v>
      </x:c>
      <x:c r="E1275" s="39" t="n">
        <x:v>46078</x:v>
      </x:c>
      <x:c r="F1275" s="42" t="n">
        <x:v>36233.88</x:v>
      </x:c>
      <x:c r="G1275" s="42" t="n">
        <x:v>1811.69</x:v>
      </x:c>
      <x:c r="H1275" s="42" t="n">
        <x:v>78228.55</x:v>
      </x:c>
      <x:c r="I1275" s="39" t="n">
        <x:v>45792</x:v>
      </x:c>
    </x:row>
    <x:row r="1276">
      <x:c r="A1276" s="21" t="str">
        <x:v>SYN-0365</x:v>
      </x:c>
      <x:c r="B1276" s="21" t="str">
        <x:v>Synthetic Supplier 0365 LLC</x:v>
      </x:c>
      <x:c r="C1276" s="38" t="str">
        <x:f>"900 000 000 000 365"</x:f>
        <x:v>900 000 000 000 365</x:v>
      </x:c>
      <x:c r="D1276" s="21" t="str">
        <x:v>SYN-0365-INV-01</x:v>
      </x:c>
      <x:c r="E1276" s="39" t="n">
        <x:v>46044</x:v>
      </x:c>
      <x:c r="F1276" s="42" t="n">
        <x:v>17154.86</x:v>
      </x:c>
      <x:c r="G1276" s="42" t="n">
        <x:v>857.74</x:v>
      </x:c>
      <x:c r="H1276" s="42" t="n">
        <x:v>49749.81</x:v>
      </x:c>
      <x:c r="I1276" s="39"/>
    </x:row>
    <x:row r="1277">
      <x:c r="A1277" s="21" t="str">
        <x:v>SYN-0365</x:v>
      </x:c>
      <x:c r="B1277" s="21" t="str">
        <x:v>Synthetic Supplier 0365 LLC</x:v>
      </x:c>
      <x:c r="C1277" s="38" t="str">
        <x:f>"900 000 000 000 365"</x:f>
        <x:v>900 000 000 000 365</x:v>
      </x:c>
      <x:c r="D1277" s="21" t="str">
        <x:v>SYN-0365-INV-02</x:v>
      </x:c>
      <x:c r="E1277" s="39" t="n">
        <x:v>46091</x:v>
      </x:c>
      <x:c r="F1277" s="42" t="n">
        <x:v>24546.02</x:v>
      </x:c>
      <x:c r="G1277" s="42" t="n">
        <x:v>1227.3</x:v>
      </x:c>
      <x:c r="H1277" s="42" t="n">
        <x:v>49749.81</x:v>
      </x:c>
      <x:c r="I1277" s="39"/>
    </x:row>
    <x:row r="1278">
      <x:c r="A1278" s="21" t="str">
        <x:v>SYN-0365</x:v>
      </x:c>
      <x:c r="B1278" s="21" t="str">
        <x:v>Synthetic Supplier 0365 LLC</x:v>
      </x:c>
      <x:c r="C1278" s="38" t="str">
        <x:f>"900 000 000 000 365"</x:f>
        <x:v>900 000 000 000 365</x:v>
      </x:c>
      <x:c r="D1278" s="21" t="str">
        <x:v>SYN-0365-INV-03</x:v>
      </x:c>
      <x:c r="E1278" s="39" t="n">
        <x:v>46138</x:v>
      </x:c>
      <x:c r="F1278" s="42" t="n">
        <x:v>13576.69</x:v>
      </x:c>
      <x:c r="G1278" s="42" t="n">
        <x:v>678.83</x:v>
      </x:c>
      <x:c r="H1278" s="42" t="n">
        <x:v>49749.81</x:v>
      </x:c>
      <x:c r="I1278" s="39"/>
    </x:row>
    <x:row r="1279">
      <x:c r="A1279" s="21" t="str">
        <x:v>SYN-0366</x:v>
      </x:c>
      <x:c r="B1279" s="21" t="str">
        <x:v>Synthetic Supplier 0366 LLC</x:v>
      </x:c>
      <x:c r="C1279" s="38" t="str">
        <x:f>"900 000 000 000 366"</x:f>
        <x:v>900 000 000 000 366</x:v>
      </x:c>
      <x:c r="D1279" s="21" t="str">
        <x:v>SYN-0366-INV-01</x:v>
      </x:c>
      <x:c r="E1279" s="39" t="n">
        <x:v>46057</x:v>
      </x:c>
      <x:c r="F1279" s="42" t="n">
        <x:v>14393.26</x:v>
      </x:c>
      <x:c r="G1279" s="42" t="n">
        <x:v>719.66</x:v>
      </x:c>
      <x:c r="H1279" s="42" t="n">
        <x:v>41896.34</x:v>
      </x:c>
      <x:c r="I1279" s="39" t="n">
        <x:v>45855</x:v>
      </x:c>
    </x:row>
    <x:row r="1280">
      <x:c r="A1280" s="21" t="str">
        <x:v>SYN-0366</x:v>
      </x:c>
      <x:c r="B1280" s="21" t="str">
        <x:v>Synthetic Supplier 0366 LLC</x:v>
      </x:c>
      <x:c r="C1280" s="38" t="str">
        <x:f>"900 000 000 000 366"</x:f>
        <x:v>900 000 000 000 366</x:v>
      </x:c>
      <x:c r="D1280" s="21" t="str">
        <x:v>SYN-0366-INV-02</x:v>
      </x:c>
      <x:c r="E1280" s="39" t="n">
        <x:v>46104</x:v>
      </x:c>
      <x:c r="F1280" s="42" t="n">
        <x:v>11224.63</x:v>
      </x:c>
      <x:c r="G1280" s="42" t="n">
        <x:v>561.23</x:v>
      </x:c>
      <x:c r="H1280" s="42" t="n">
        <x:v>41896.34</x:v>
      </x:c>
      <x:c r="I1280" s="39" t="n">
        <x:v>45855</x:v>
      </x:c>
    </x:row>
    <x:row r="1281">
      <x:c r="A1281" s="21" t="str">
        <x:v>SYN-0366</x:v>
      </x:c>
      <x:c r="B1281" s="21" t="str">
        <x:v>Synthetic Supplier 0366 LLC</x:v>
      </x:c>
      <x:c r="C1281" s="38" t="str">
        <x:f>"900 000 000 000 366"</x:f>
        <x:v>900 000 000 000 366</x:v>
      </x:c>
      <x:c r="D1281" s="21" t="str">
        <x:v>SYN-0366-INV-03</x:v>
      </x:c>
      <x:c r="E1281" s="39" t="n">
        <x:v>46151</x:v>
      </x:c>
      <x:c r="F1281" s="42" t="n">
        <x:v>10702.97</x:v>
      </x:c>
      <x:c r="G1281" s="42" t="n">
        <x:v>535.15</x:v>
      </x:c>
      <x:c r="H1281" s="42" t="n">
        <x:v>41896.34</x:v>
      </x:c>
      <x:c r="I1281" s="39" t="n">
        <x:v>45855</x:v>
      </x:c>
    </x:row>
    <x:row r="1282">
      <x:c r="A1282" s="21" t="str">
        <x:v>SYN-0366</x:v>
      </x:c>
      <x:c r="B1282" s="21" t="str">
        <x:v>Synthetic Supplier 0366 LLC</x:v>
      </x:c>
      <x:c r="C1282" s="38" t="str">
        <x:f>"900 000 000 000 366"</x:f>
        <x:v>900 000 000 000 366</x:v>
      </x:c>
      <x:c r="D1282" s="21" t="str">
        <x:v>SYN-0366-INV-04</x:v>
      </x:c>
      <x:c r="E1282" s="39" t="n">
        <x:v>46198</x:v>
      </x:c>
      <x:c r="F1282" s="42" t="n">
        <x:v>10230.64</x:v>
      </x:c>
      <x:c r="G1282" s="42" t="n">
        <x:v>511.53</x:v>
      </x:c>
      <x:c r="H1282" s="42" t="n">
        <x:v>41896.34</x:v>
      </x:c>
      <x:c r="I1282" s="39" t="n">
        <x:v>45855</x:v>
      </x:c>
    </x:row>
    <x:row r="1283">
      <x:c r="A1283" s="21" t="str">
        <x:v>SYN-0367</x:v>
      </x:c>
      <x:c r="B1283" s="21" t="str">
        <x:v>Synthetic Supplier 0367 LLC</x:v>
      </x:c>
      <x:c r="C1283" s="38" t="str">
        <x:f>"900 000 000 000 367"</x:f>
        <x:v>900 000 000 000 367</x:v>
      </x:c>
      <x:c r="D1283" s="21" t="str">
        <x:v>SYN-0367-INV-01</x:v>
      </x:c>
      <x:c r="E1283" s="39" t="n">
        <x:v>46070</x:v>
      </x:c>
      <x:c r="F1283" s="42" t="n">
        <x:v>11166.91</x:v>
      </x:c>
      <x:c r="G1283" s="42" t="n">
        <x:v>558.35</x:v>
      </x:c>
      <x:c r="H1283" s="42" t="n">
        <x:v>45784.26</x:v>
      </x:c>
      <x:c r="I1283" s="39" t="n">
        <x:v>46252</x:v>
      </x:c>
    </x:row>
    <x:row r="1284">
      <x:c r="A1284" s="21" t="str">
        <x:v>SYN-0367</x:v>
      </x:c>
      <x:c r="B1284" s="21" t="str">
        <x:v>Synthetic Supplier 0367 LLC</x:v>
      </x:c>
      <x:c r="C1284" s="38" t="str">
        <x:f>"900 000 000 000 367"</x:f>
        <x:v>900 000 000 000 367</x:v>
      </x:c>
      <x:c r="D1284" s="21" t="str">
        <x:v>SYN-0367-INV-02</x:v>
      </x:c>
      <x:c r="E1284" s="39" t="n">
        <x:v>46117</x:v>
      </x:c>
      <x:c r="F1284" s="42" t="n">
        <x:v>12937.16</x:v>
      </x:c>
      <x:c r="G1284" s="42" t="n">
        <x:v>646.86</x:v>
      </x:c>
      <x:c r="H1284" s="42" t="n">
        <x:v>45784.26</x:v>
      </x:c>
      <x:c r="I1284" s="39" t="n">
        <x:v>46252</x:v>
      </x:c>
    </x:row>
    <x:row r="1285">
      <x:c r="A1285" s="21" t="str">
        <x:v>SYN-0367</x:v>
      </x:c>
      <x:c r="B1285" s="21" t="str">
        <x:v>Synthetic Supplier 0367 LLC</x:v>
      </x:c>
      <x:c r="C1285" s="38" t="str">
        <x:f>"900 000 000 000 367"</x:f>
        <x:v>900 000 000 000 367</x:v>
      </x:c>
      <x:c r="D1285" s="21" t="str">
        <x:v>SYN-0367-INV-03</x:v>
      </x:c>
      <x:c r="E1285" s="39" t="n">
        <x:v>46164</x:v>
      </x:c>
      <x:c r="F1285" s="42" t="n">
        <x:v>11210.35</x:v>
      </x:c>
      <x:c r="G1285" s="42" t="n">
        <x:v>560.52</x:v>
      </x:c>
      <x:c r="H1285" s="42" t="n">
        <x:v>45784.26</x:v>
      </x:c>
      <x:c r="I1285" s="39" t="n">
        <x:v>46252</x:v>
      </x:c>
    </x:row>
    <x:row r="1286">
      <x:c r="A1286" s="21" t="str">
        <x:v>SYN-0367</x:v>
      </x:c>
      <x:c r="B1286" s="21" t="str">
        <x:v>Synthetic Supplier 0367 LLC</x:v>
      </x:c>
      <x:c r="C1286" s="38" t="str">
        <x:f>"900 000 000 000 367"</x:f>
        <x:v>900 000 000 000 367</x:v>
      </x:c>
      <x:c r="D1286" s="21" t="str">
        <x:v>SYN-0367-INV-04</x:v>
      </x:c>
      <x:c r="E1286" s="39" t="n">
        <x:v>46211</x:v>
      </x:c>
      <x:c r="F1286" s="42" t="n">
        <x:v>8890.65</x:v>
      </x:c>
      <x:c r="G1286" s="42" t="n">
        <x:v>444.53</x:v>
      </x:c>
      <x:c r="H1286" s="42" t="n">
        <x:v>45784.26</x:v>
      </x:c>
      <x:c r="I1286" s="39" t="n">
        <x:v>46252</x:v>
      </x:c>
    </x:row>
    <x:row r="1287">
      <x:c r="A1287" s="21" t="str">
        <x:v>SYN-0367</x:v>
      </x:c>
      <x:c r="B1287" s="21" t="str">
        <x:v>Synthetic Supplier 0367 LLC</x:v>
      </x:c>
      <x:c r="C1287" s="38" t="str">
        <x:f>"900 000 000 000 367"</x:f>
        <x:v>900 000 000 000 367</x:v>
      </x:c>
      <x:c r="D1287" s="21" t="str">
        <x:v>SYN-0367-INV-05</x:v>
      </x:c>
      <x:c r="E1287" s="39" t="n">
        <x:v>46258</x:v>
      </x:c>
      <x:c r="F1287" s="42" t="n">
        <x:v>6666.33</x:v>
      </x:c>
      <x:c r="G1287" s="42" t="n">
        <x:v>333.32</x:v>
      </x:c>
      <x:c r="H1287" s="42" t="n">
        <x:v>45784.26</x:v>
      </x:c>
      <x:c r="I1287" s="39" t="n">
        <x:v>46252</x:v>
      </x:c>
    </x:row>
    <x:row r="1288">
      <x:c r="A1288" s="21" t="str">
        <x:v>SYN-0368</x:v>
      </x:c>
      <x:c r="B1288" s="21" t="str">
        <x:v>Synthetic Supplier 0368 LLC</x:v>
      </x:c>
      <x:c r="C1288" s="38" t="str">
        <x:f>"900 000 000 000 368"</x:f>
        <x:v>900 000 000 000 368</x:v>
      </x:c>
      <x:c r="D1288" s="21" t="str">
        <x:v>SYN-0368-INV-01</x:v>
      </x:c>
      <x:c r="E1288" s="39" t="n">
        <x:v>46083</x:v>
      </x:c>
      <x:c r="F1288" s="42" t="n">
        <x:v>32087.88</x:v>
      </x:c>
      <x:c r="G1288" s="42" t="n">
        <x:v>1604.39</x:v>
      </x:c>
      <x:c r="H1288" s="42" t="n">
        <x:v>43146.69</x:v>
      </x:c>
      <x:c r="I1288" s="39" t="n">
        <x:v>45919</x:v>
      </x:c>
    </x:row>
    <x:row r="1289">
      <x:c r="A1289" s="21" t="str">
        <x:v>SYN-0368</x:v>
      </x:c>
      <x:c r="B1289" s="21" t="str">
        <x:v>Synthetic Supplier 0368 LLC</x:v>
      </x:c>
      <x:c r="C1289" s="38" t="str">
        <x:f>"900 000 000 000 368"</x:f>
        <x:v>900 000 000 000 368</x:v>
      </x:c>
      <x:c r="D1289" s="21" t="str">
        <x:v>SYN-0368-INV-02</x:v>
      </x:c>
      <x:c r="E1289" s="39" t="n">
        <x:v>46130</x:v>
      </x:c>
      <x:c r="F1289" s="42" t="n">
        <x:v>15852.89</x:v>
      </x:c>
      <x:c r="G1289" s="42" t="n">
        <x:v>792.64</x:v>
      </x:c>
      <x:c r="H1289" s="42" t="n">
        <x:v>43146.69</x:v>
      </x:c>
      <x:c r="I1289" s="39" t="n">
        <x:v>45919</x:v>
      </x:c>
    </x:row>
    <x:row r="1290">
      <x:c r="A1290" s="21" t="str">
        <x:v>SYN-0369</x:v>
      </x:c>
      <x:c r="B1290" s="21" t="str">
        <x:v>Synthetic Supplier 0369 LLC</x:v>
      </x:c>
      <x:c r="C1290" s="38" t="str">
        <x:f>"900 000 000 000 369"</x:f>
        <x:v>900 000 000 000 369</x:v>
      </x:c>
      <x:c r="D1290" s="21" t="str">
        <x:v>SYN-0369-INV-01</x:v>
      </x:c>
      <x:c r="E1290" s="39" t="n">
        <x:v>46096</x:v>
      </x:c>
      <x:c r="F1290" s="42" t="n">
        <x:v>16480.59</x:v>
      </x:c>
      <x:c r="G1290" s="42" t="n">
        <x:v>824.03</x:v>
      </x:c>
      <x:c r="H1290" s="42" t="n">
        <x:v>31792.35</x:v>
      </x:c>
      <x:c r="I1290" s="39" t="n">
        <x:v>46042</x:v>
      </x:c>
    </x:row>
    <x:row r="1291">
      <x:c r="A1291" s="21" t="str">
        <x:v>SYN-0369</x:v>
      </x:c>
      <x:c r="B1291" s="21" t="str">
        <x:v>Synthetic Supplier 0369 LLC</x:v>
      </x:c>
      <x:c r="C1291" s="38" t="str">
        <x:f>"900 000 000 000 369"</x:f>
        <x:v>900 000 000 000 369</x:v>
      </x:c>
      <x:c r="D1291" s="21" t="str">
        <x:v>SYN-0369-INV-02</x:v>
      </x:c>
      <x:c r="E1291" s="39" t="n">
        <x:v>46143</x:v>
      </x:c>
      <x:c r="F1291" s="42" t="n">
        <x:v>8408.15</x:v>
      </x:c>
      <x:c r="G1291" s="42" t="n">
        <x:v>420.41</x:v>
      </x:c>
      <x:c r="H1291" s="42" t="n">
        <x:v>31792.35</x:v>
      </x:c>
      <x:c r="I1291" s="39" t="n">
        <x:v>46042</x:v>
      </x:c>
    </x:row>
    <x:row r="1292">
      <x:c r="A1292" s="21" t="str">
        <x:v>SYN-0369</x:v>
      </x:c>
      <x:c r="B1292" s="21" t="str">
        <x:v>Synthetic Supplier 0369 LLC</x:v>
      </x:c>
      <x:c r="C1292" s="38" t="str">
        <x:f>"900 000 000 000 369"</x:f>
        <x:v>900 000 000 000 369</x:v>
      </x:c>
      <x:c r="D1292" s="21" t="str">
        <x:v>SYN-0369-INV-03</x:v>
      </x:c>
      <x:c r="E1292" s="39" t="n">
        <x:v>46190</x:v>
      </x:c>
      <x:c r="F1292" s="42" t="n">
        <x:v>10436.09</x:v>
      </x:c>
      <x:c r="G1292" s="42" t="n">
        <x:v>521.8</x:v>
      </x:c>
      <x:c r="H1292" s="42" t="n">
        <x:v>31792.35</x:v>
      </x:c>
      <x:c r="I1292" s="39" t="n">
        <x:v>46042</x:v>
      </x:c>
    </x:row>
    <x:row r="1293">
      <x:c r="A1293" s="21" t="str">
        <x:v>SYN-0370</x:v>
      </x:c>
      <x:c r="B1293" s="21" t="str">
        <x:v>Synthetic Supplier 0370 LLC</x:v>
      </x:c>
      <x:c r="C1293" s="38" t="str">
        <x:f>"900 000 000 000 370"</x:f>
        <x:v>900 000 000 000 370</x:v>
      </x:c>
      <x:c r="D1293" s="21" t="str">
        <x:v>SYN-0370-INV-01</x:v>
      </x:c>
      <x:c r="E1293" s="39" t="n">
        <x:v>46109</x:v>
      </x:c>
      <x:c r="F1293" s="42" t="n">
        <x:v>16434.74</x:v>
      </x:c>
      <x:c r="G1293" s="42" t="n">
        <x:v>821.74</x:v>
      </x:c>
      <x:c r="H1293" s="42" t="n">
        <x:v>60463.18</x:v>
      </x:c>
      <x:c r="I1293" s="39"/>
    </x:row>
    <x:row r="1294">
      <x:c r="A1294" s="21" t="str">
        <x:v>SYN-0370</x:v>
      </x:c>
      <x:c r="B1294" s="21" t="str">
        <x:v>Synthetic Supplier 0370 LLC</x:v>
      </x:c>
      <x:c r="C1294" s="38" t="str">
        <x:f>"900 000 000 000 370"</x:f>
        <x:v>900 000 000 000 370</x:v>
      </x:c>
      <x:c r="D1294" s="21" t="str">
        <x:v>SYN-0370-INV-02</x:v>
      </x:c>
      <x:c r="E1294" s="39" t="n">
        <x:v>46156</x:v>
      </x:c>
      <x:c r="F1294" s="42" t="n">
        <x:v>15465.01</x:v>
      </x:c>
      <x:c r="G1294" s="42" t="n">
        <x:v>773.25</x:v>
      </x:c>
      <x:c r="H1294" s="42" t="n">
        <x:v>60463.18</x:v>
      </x:c>
      <x:c r="I1294" s="39"/>
    </x:row>
    <x:row r="1295">
      <x:c r="A1295" s="21" t="str">
        <x:v>SYN-0370</x:v>
      </x:c>
      <x:c r="B1295" s="21" t="str">
        <x:v>Synthetic Supplier 0370 LLC</x:v>
      </x:c>
      <x:c r="C1295" s="38" t="str">
        <x:f>"900 000 000 000 370"</x:f>
        <x:v>900 000 000 000 370</x:v>
      </x:c>
      <x:c r="D1295" s="21" t="str">
        <x:v>SYN-0370-INV-03</x:v>
      </x:c>
      <x:c r="E1295" s="39" t="n">
        <x:v>46203</x:v>
      </x:c>
      <x:c r="F1295" s="42" t="n">
        <x:v>12425.5</x:v>
      </x:c>
      <x:c r="G1295" s="42" t="n">
        <x:v>621.28</x:v>
      </x:c>
      <x:c r="H1295" s="42" t="n">
        <x:v>60463.18</x:v>
      </x:c>
      <x:c r="I1295" s="39"/>
    </x:row>
    <x:row r="1296">
      <x:c r="A1296" s="21" t="str">
        <x:v>SYN-0370</x:v>
      </x:c>
      <x:c r="B1296" s="21" t="str">
        <x:v>Synthetic Supplier 0370 LLC</x:v>
      </x:c>
      <x:c r="C1296" s="38" t="str">
        <x:f>"900 000 000 000 370"</x:f>
        <x:v>900 000 000 000 370</x:v>
      </x:c>
      <x:c r="D1296" s="21" t="str">
        <x:v>SYN-0370-INV-04</x:v>
      </x:c>
      <x:c r="E1296" s="39" t="n">
        <x:v>46250</x:v>
      </x:c>
      <x:c r="F1296" s="42" t="n">
        <x:v>22856.06</x:v>
      </x:c>
      <x:c r="G1296" s="42" t="n">
        <x:v>1142.8</x:v>
      </x:c>
      <x:c r="H1296" s="42" t="n">
        <x:v>60463.18</x:v>
      </x:c>
      <x:c r="I1296" s="39"/>
    </x:row>
    <x:row r="1297">
      <x:c r="A1297" s="21" t="str">
        <x:v>SYN-0371</x:v>
      </x:c>
      <x:c r="B1297" s="21" t="str">
        <x:v>Synthetic Supplier 0371 LLC</x:v>
      </x:c>
      <x:c r="C1297" s="38" t="str">
        <x:f>"900 000 000 000 371"</x:f>
        <x:v>900 000 000 000 371</x:v>
      </x:c>
      <x:c r="D1297" s="21" t="str">
        <x:v>SYN-0371-INV-01</x:v>
      </x:c>
      <x:c r="E1297" s="39" t="n">
        <x:v>46122</x:v>
      </x:c>
      <x:c r="F1297" s="42" t="n">
        <x:v>6760.22</x:v>
      </x:c>
      <x:c r="G1297" s="42" t="n">
        <x:v>338.01</x:v>
      </x:c>
      <x:c r="H1297" s="42" t="n">
        <x:v>60729.08</x:v>
      </x:c>
      <x:c r="I1297" s="39" t="n">
        <x:v>46103</x:v>
      </x:c>
    </x:row>
    <x:row r="1298">
      <x:c r="A1298" s="21" t="str">
        <x:v>SYN-0371</x:v>
      </x:c>
      <x:c r="B1298" s="21" t="str">
        <x:v>Synthetic Supplier 0371 LLC</x:v>
      </x:c>
      <x:c r="C1298" s="38" t="str">
        <x:f>"900 000 000 000 371"</x:f>
        <x:v>900 000 000 000 371</x:v>
      </x:c>
      <x:c r="D1298" s="21" t="str">
        <x:v>SYN-0371-INV-02</x:v>
      </x:c>
      <x:c r="E1298" s="39" t="n">
        <x:v>46169</x:v>
      </x:c>
      <x:c r="F1298" s="42" t="n">
        <x:v>7175.45</x:v>
      </x:c>
      <x:c r="G1298" s="42" t="n">
        <x:v>358.77</x:v>
      </x:c>
      <x:c r="H1298" s="42" t="n">
        <x:v>60729.08</x:v>
      </x:c>
      <x:c r="I1298" s="39" t="n">
        <x:v>46103</x:v>
      </x:c>
    </x:row>
    <x:row r="1299">
      <x:c r="A1299" s="21" t="str">
        <x:v>SYN-0371</x:v>
      </x:c>
      <x:c r="B1299" s="21" t="str">
        <x:v>Synthetic Supplier 0371 LLC</x:v>
      </x:c>
      <x:c r="C1299" s="38" t="str">
        <x:f>"900 000 000 000 371"</x:f>
        <x:v>900 000 000 000 371</x:v>
      </x:c>
      <x:c r="D1299" s="21" t="str">
        <x:v>SYN-0371-INV-03</x:v>
      </x:c>
      <x:c r="E1299" s="39" t="n">
        <x:v>46216</x:v>
      </x:c>
      <x:c r="F1299" s="42" t="n">
        <x:v>11895.11</x:v>
      </x:c>
      <x:c r="G1299" s="42" t="n">
        <x:v>594.76</x:v>
      </x:c>
      <x:c r="H1299" s="42" t="n">
        <x:v>60729.08</x:v>
      </x:c>
      <x:c r="I1299" s="39" t="n">
        <x:v>46103</x:v>
      </x:c>
    </x:row>
    <x:row r="1300">
      <x:c r="A1300" s="21" t="str">
        <x:v>SYN-0371</x:v>
      </x:c>
      <x:c r="B1300" s="21" t="str">
        <x:v>Synthetic Supplier 0371 LLC</x:v>
      </x:c>
      <x:c r="C1300" s="38" t="str">
        <x:f>"900 000 000 000 371"</x:f>
        <x:v>900 000 000 000 371</x:v>
      </x:c>
      <x:c r="D1300" s="21" t="str">
        <x:v>SYN-0371-INV-04</x:v>
      </x:c>
      <x:c r="E1300" s="39" t="n">
        <x:v>46263</x:v>
      </x:c>
      <x:c r="F1300" s="42" t="n">
        <x:v>13013.24</x:v>
      </x:c>
      <x:c r="G1300" s="42" t="n">
        <x:v>650.66</x:v>
      </x:c>
      <x:c r="H1300" s="42" t="n">
        <x:v>60729.08</x:v>
      </x:c>
      <x:c r="I1300" s="39" t="n">
        <x:v>46103</x:v>
      </x:c>
    </x:row>
    <x:row r="1301">
      <x:c r="A1301" s="21" t="str">
        <x:v>SYN-0371</x:v>
      </x:c>
      <x:c r="B1301" s="21" t="str">
        <x:v>Synthetic Supplier 0371 LLC</x:v>
      </x:c>
      <x:c r="C1301" s="38" t="str">
        <x:f>"900 000 000 000 371"</x:f>
        <x:v>900 000 000 000 371</x:v>
      </x:c>
      <x:c r="D1301" s="21" t="str">
        <x:v>SYN-0371-INV-05</x:v>
      </x:c>
      <x:c r="E1301" s="39" t="n">
        <x:v>45950</x:v>
      </x:c>
      <x:c r="F1301" s="42" t="n">
        <x:v>13963.86</x:v>
      </x:c>
      <x:c r="G1301" s="42" t="n">
        <x:v>698.19</x:v>
      </x:c>
      <x:c r="H1301" s="42" t="n">
        <x:v>60729.08</x:v>
      </x:c>
      <x:c r="I1301" s="39" t="n">
        <x:v>46103</x:v>
      </x:c>
    </x:row>
    <x:row r="1302">
      <x:c r="A1302" s="21" t="str">
        <x:v>SYN-0372</x:v>
      </x:c>
      <x:c r="B1302" s="21" t="str">
        <x:v>Synthetic Supplier 0372 LLC</x:v>
      </x:c>
      <x:c r="C1302" s="38" t="str">
        <x:f>"900 000 000 000 372"</x:f>
        <x:v>900 000 000 000 372</x:v>
      </x:c>
      <x:c r="D1302" s="21" t="str">
        <x:v>SYN-0372-INV-01</x:v>
      </x:c>
      <x:c r="E1302" s="39" t="n">
        <x:v>46135</x:v>
      </x:c>
      <x:c r="F1302" s="42" t="n">
        <x:v>41996.46</x:v>
      </x:c>
      <x:c r="G1302" s="42" t="n">
        <x:v>2099.82</x:v>
      </x:c>
      <x:c r="H1302" s="42" t="n">
        <x:v>65803.93</x:v>
      </x:c>
      <x:c r="I1302" s="39" t="n">
        <x:v>45770</x:v>
      </x:c>
    </x:row>
    <x:row r="1303">
      <x:c r="A1303" s="21" t="str">
        <x:v>SYN-0372</x:v>
      </x:c>
      <x:c r="B1303" s="21" t="str">
        <x:v>Synthetic Supplier 0372 LLC</x:v>
      </x:c>
      <x:c r="C1303" s="38" t="str">
        <x:f>"900 000 000 000 372"</x:f>
        <x:v>900 000 000 000 372</x:v>
      </x:c>
      <x:c r="D1303" s="21" t="str">
        <x:v>SYN-0372-INV-02</x:v>
      </x:c>
      <x:c r="E1303" s="39" t="n">
        <x:v>46182</x:v>
      </x:c>
      <x:c r="F1303" s="42" t="n">
        <x:v>31119.02</x:v>
      </x:c>
      <x:c r="G1303" s="42" t="n">
        <x:v>1555.95</x:v>
      </x:c>
      <x:c r="H1303" s="42" t="n">
        <x:v>65803.93</x:v>
      </x:c>
      <x:c r="I1303" s="39" t="n">
        <x:v>45770</x:v>
      </x:c>
    </x:row>
    <x:row r="1304">
      <x:c r="A1304" s="21" t="str">
        <x:v>SYN-0373</x:v>
      </x:c>
      <x:c r="B1304" s="21" t="str">
        <x:v>Synthetic Supplier 0373 LLC</x:v>
      </x:c>
      <x:c r="C1304" s="38" t="str">
        <x:f>"900 000 000 000 373"</x:f>
        <x:v>900 000 000 000 373</x:v>
      </x:c>
      <x:c r="D1304" s="21" t="str">
        <x:v>SYN-0373-INV-01</x:v>
      </x:c>
      <x:c r="E1304" s="39" t="n">
        <x:v>46148</x:v>
      </x:c>
      <x:c r="F1304" s="42" t="n">
        <x:v>12711.06</x:v>
      </x:c>
      <x:c r="G1304" s="42" t="n">
        <x:v>635.55</x:v>
      </x:c>
      <x:c r="H1304" s="42" t="n">
        <x:v>36056.35</x:v>
      </x:c>
      <x:c r="I1304" s="39" t="n">
        <x:v>46166</x:v>
      </x:c>
    </x:row>
    <x:row r="1305">
      <x:c r="A1305" s="21" t="str">
        <x:v>SYN-0373</x:v>
      </x:c>
      <x:c r="B1305" s="21" t="str">
        <x:v>Synthetic Supplier 0373 LLC</x:v>
      </x:c>
      <x:c r="C1305" s="38" t="str">
        <x:f>"900 000 000 000 373"</x:f>
        <x:v>900 000 000 000 373</x:v>
      </x:c>
      <x:c r="D1305" s="21" t="str">
        <x:v>SYN-0373-INV-02</x:v>
      </x:c>
      <x:c r="E1305" s="39" t="n">
        <x:v>46195</x:v>
      </x:c>
      <x:c r="F1305" s="42" t="n">
        <x:v>11588.53</x:v>
      </x:c>
      <x:c r="G1305" s="42" t="n">
        <x:v>579.43</x:v>
      </x:c>
      <x:c r="H1305" s="42" t="n">
        <x:v>36056.35</x:v>
      </x:c>
      <x:c r="I1305" s="39" t="n">
        <x:v>46166</x:v>
      </x:c>
    </x:row>
    <x:row r="1306">
      <x:c r="A1306" s="21" t="str">
        <x:v>SYN-0373</x:v>
      </x:c>
      <x:c r="B1306" s="21" t="str">
        <x:v>Synthetic Supplier 0373 LLC</x:v>
      </x:c>
      <x:c r="C1306" s="38" t="str">
        <x:f>"900 000 000 000 373"</x:f>
        <x:v>900 000 000 000 373</x:v>
      </x:c>
      <x:c r="D1306" s="21" t="str">
        <x:v>SYN-0373-INV-03</x:v>
      </x:c>
      <x:c r="E1306" s="39" t="n">
        <x:v>46242</x:v>
      </x:c>
      <x:c r="F1306" s="42" t="n">
        <x:v>15763.02</x:v>
      </x:c>
      <x:c r="G1306" s="42" t="n">
        <x:v>788.15</x:v>
      </x:c>
      <x:c r="H1306" s="42" t="n">
        <x:v>36056.35</x:v>
      </x:c>
      <x:c r="I1306" s="39" t="n">
        <x:v>46166</x:v>
      </x:c>
    </x:row>
    <x:row r="1307">
      <x:c r="A1307" s="21" t="str">
        <x:v>SYN-0374</x:v>
      </x:c>
      <x:c r="B1307" s="21" t="str">
        <x:v>Synthetic Supplier 0374 LLC</x:v>
      </x:c>
      <x:c r="C1307" s="38" t="str">
        <x:f>"900 000 000 000 374"</x:f>
        <x:v>900 000 000 000 374</x:v>
      </x:c>
      <x:c r="D1307" s="21" t="str">
        <x:v>SYN-0374-INV-01</x:v>
      </x:c>
      <x:c r="E1307" s="39" t="n">
        <x:v>46161</x:v>
      </x:c>
      <x:c r="F1307" s="42" t="n">
        <x:v>22053.28</x:v>
      </x:c>
      <x:c r="G1307" s="42" t="n">
        <x:v>1102.66</x:v>
      </x:c>
      <x:c r="H1307" s="42" t="n">
        <x:v>74064.82</x:v>
      </x:c>
      <x:c r="I1307" s="39" t="n">
        <x:v>45833</x:v>
      </x:c>
    </x:row>
    <x:row r="1308">
      <x:c r="A1308" s="21" t="str">
        <x:v>SYN-0374</x:v>
      </x:c>
      <x:c r="B1308" s="21" t="str">
        <x:v>Synthetic Supplier 0374 LLC</x:v>
      </x:c>
      <x:c r="C1308" s="38" t="str">
        <x:f>"900 000 000 000 374"</x:f>
        <x:v>900 000 000 000 374</x:v>
      </x:c>
      <x:c r="D1308" s="21" t="str">
        <x:v>SYN-0374-INV-02</x:v>
      </x:c>
      <x:c r="E1308" s="39" t="n">
        <x:v>46208</x:v>
      </x:c>
      <x:c r="F1308" s="42" t="n">
        <x:v>13711.95</x:v>
      </x:c>
      <x:c r="G1308" s="42" t="n">
        <x:v>685.6</x:v>
      </x:c>
      <x:c r="H1308" s="42" t="n">
        <x:v>74064.82</x:v>
      </x:c>
      <x:c r="I1308" s="39" t="n">
        <x:v>45833</x:v>
      </x:c>
    </x:row>
    <x:row r="1309">
      <x:c r="A1309" s="21" t="str">
        <x:v>SYN-0374</x:v>
      </x:c>
      <x:c r="B1309" s="21" t="str">
        <x:v>Synthetic Supplier 0374 LLC</x:v>
      </x:c>
      <x:c r="C1309" s="38" t="str">
        <x:f>"900 000 000 000 374"</x:f>
        <x:v>900 000 000 000 374</x:v>
      </x:c>
      <x:c r="D1309" s="21" t="str">
        <x:v>SYN-0374-INV-03</x:v>
      </x:c>
      <x:c r="E1309" s="39" t="n">
        <x:v>46255</x:v>
      </x:c>
      <x:c r="F1309" s="42" t="n">
        <x:v>19200.42</x:v>
      </x:c>
      <x:c r="G1309" s="42" t="n">
        <x:v>960.02</x:v>
      </x:c>
      <x:c r="H1309" s="42" t="n">
        <x:v>74064.82</x:v>
      </x:c>
      <x:c r="I1309" s="39" t="n">
        <x:v>45833</x:v>
      </x:c>
    </x:row>
    <x:row r="1310">
      <x:c r="A1310" s="21" t="str">
        <x:v>SYN-0374</x:v>
      </x:c>
      <x:c r="B1310" s="21" t="str">
        <x:v>Synthetic Supplier 0374 LLC</x:v>
      </x:c>
      <x:c r="C1310" s="38" t="str">
        <x:f>"900 000 000 000 374"</x:f>
        <x:v>900 000 000 000 374</x:v>
      </x:c>
      <x:c r="D1310" s="21" t="str">
        <x:v>SYN-0374-INV-04</x:v>
      </x:c>
      <x:c r="E1310" s="39" t="n">
        <x:v>45942</x:v>
      </x:c>
      <x:c r="F1310" s="42" t="n">
        <x:v>27328.6</x:v>
      </x:c>
      <x:c r="G1310" s="42" t="n">
        <x:v>1366.43</x:v>
      </x:c>
      <x:c r="H1310" s="42" t="n">
        <x:v>74064.82</x:v>
      </x:c>
      <x:c r="I1310" s="39" t="n">
        <x:v>45833</x:v>
      </x:c>
    </x:row>
    <x:row r="1311">
      <x:c r="A1311" s="21" t="str">
        <x:v>SYN-0375</x:v>
      </x:c>
      <x:c r="B1311" s="21" t="str">
        <x:v>Synthetic Supplier 0375 LLC</x:v>
      </x:c>
      <x:c r="C1311" s="38" t="str">
        <x:f>"900 000 000 000 375"</x:f>
        <x:v>900 000 000 000 375</x:v>
      </x:c>
      <x:c r="D1311" s="21" t="str">
        <x:v>SYN-0375-INV-01</x:v>
      </x:c>
      <x:c r="E1311" s="39" t="n">
        <x:v>46174</x:v>
      </x:c>
      <x:c r="F1311" s="42" t="n">
        <x:v>13890.54</x:v>
      </x:c>
      <x:c r="G1311" s="42" t="n">
        <x:v>694.53</x:v>
      </x:c>
      <x:c r="H1311" s="42" t="n">
        <x:v>51710.67</x:v>
      </x:c>
      <x:c r="I1311" s="39"/>
    </x:row>
    <x:row r="1312">
      <x:c r="A1312" s="21" t="str">
        <x:v>SYN-0375</x:v>
      </x:c>
      <x:c r="B1312" s="21" t="str">
        <x:v>Synthetic Supplier 0375 LLC</x:v>
      </x:c>
      <x:c r="C1312" s="38" t="str">
        <x:f>"900 000 000 000 375"</x:f>
        <x:v>900 000 000 000 375</x:v>
      </x:c>
      <x:c r="D1312" s="21" t="str">
        <x:v>SYN-0375-INV-02</x:v>
      </x:c>
      <x:c r="E1312" s="39" t="n">
        <x:v>46221</x:v>
      </x:c>
      <x:c r="F1312" s="42" t="n">
        <x:v>15381.75</x:v>
      </x:c>
      <x:c r="G1312" s="42" t="n">
        <x:v>769.09</x:v>
      </x:c>
      <x:c r="H1312" s="42" t="n">
        <x:v>51710.67</x:v>
      </x:c>
      <x:c r="I1312" s="39"/>
    </x:row>
    <x:row r="1313">
      <x:c r="A1313" s="21" t="str">
        <x:v>SYN-0375</x:v>
      </x:c>
      <x:c r="B1313" s="21" t="str">
        <x:v>Synthetic Supplier 0375 LLC</x:v>
      </x:c>
      <x:c r="C1313" s="38" t="str">
        <x:f>"900 000 000 000 375"</x:f>
        <x:v>900 000 000 000 375</x:v>
      </x:c>
      <x:c r="D1313" s="21" t="str">
        <x:v>SYN-0375-INV-03</x:v>
      </x:c>
      <x:c r="E1313" s="39" t="n">
        <x:v>46268</x:v>
      </x:c>
      <x:c r="F1313" s="42" t="n">
        <x:v>12356.4</x:v>
      </x:c>
      <x:c r="G1313" s="42" t="n">
        <x:v>617.82</x:v>
      </x:c>
      <x:c r="H1313" s="42" t="n">
        <x:v>51710.67</x:v>
      </x:c>
      <x:c r="I1313" s="39"/>
    </x:row>
    <x:row r="1314">
      <x:c r="A1314" s="21" t="str">
        <x:v>SYN-0375</x:v>
      </x:c>
      <x:c r="B1314" s="21" t="str">
        <x:v>Synthetic Supplier 0375 LLC</x:v>
      </x:c>
      <x:c r="C1314" s="38" t="str">
        <x:f>"900 000 000 000 375"</x:f>
        <x:v>900 000 000 000 375</x:v>
      </x:c>
      <x:c r="D1314" s="21" t="str">
        <x:v>SYN-0375-INV-04</x:v>
      </x:c>
      <x:c r="E1314" s="39" t="n">
        <x:v>45955</x:v>
      </x:c>
      <x:c r="F1314" s="42" t="n">
        <x:v>9053.46</x:v>
      </x:c>
      <x:c r="G1314" s="42" t="n">
        <x:v>452.67</x:v>
      </x:c>
      <x:c r="H1314" s="42" t="n">
        <x:v>51710.67</x:v>
      </x:c>
      <x:c r="I1314" s="39"/>
    </x:row>
    <x:row r="1315">
      <x:c r="A1315" s="21" t="str">
        <x:v>SYN-0375</x:v>
      </x:c>
      <x:c r="B1315" s="21" t="str">
        <x:v>Synthetic Supplier 0375 LLC</x:v>
      </x:c>
      <x:c r="C1315" s="38" t="str">
        <x:f>"900 000 000 000 375"</x:f>
        <x:v>900 000 000 000 375</x:v>
      </x:c>
      <x:c r="D1315" s="21" t="str">
        <x:v>SYN-0375-INV-05</x:v>
      </x:c>
      <x:c r="E1315" s="39" t="n">
        <x:v>46002</x:v>
      </x:c>
      <x:c r="F1315" s="42" t="n">
        <x:v>6774.15</x:v>
      </x:c>
      <x:c r="G1315" s="42" t="n">
        <x:v>338.71</x:v>
      </x:c>
      <x:c r="H1315" s="42" t="n">
        <x:v>51710.67</x:v>
      </x:c>
      <x:c r="I1315" s="39"/>
    </x:row>
    <x:row r="1316">
      <x:c r="A1316" s="21" t="str">
        <x:v>SYN-0376</x:v>
      </x:c>
      <x:c r="B1316" s="21" t="str">
        <x:v>Synthetic Supplier 0376 LLC</x:v>
      </x:c>
      <x:c r="C1316" s="38" t="str">
        <x:f>"900 000 000 000 376"</x:f>
        <x:v>900 000 000 000 376</x:v>
      </x:c>
      <x:c r="D1316" s="21" t="str">
        <x:v>SYN-0376-INV-01</x:v>
      </x:c>
      <x:c r="E1316" s="39" t="n">
        <x:v>46187</x:v>
      </x:c>
      <x:c r="F1316" s="42" t="n">
        <x:v>26836.15</x:v>
      </x:c>
      <x:c r="G1316" s="42" t="n">
        <x:v>1341.81</x:v>
      </x:c>
      <x:c r="H1316" s="42" t="n">
        <x:v>52085.81</x:v>
      </x:c>
      <x:c r="I1316" s="39" t="n">
        <x:v>45871</x:v>
      </x:c>
    </x:row>
    <x:row r="1317">
      <x:c r="A1317" s="21" t="str">
        <x:v>SYN-0376</x:v>
      </x:c>
      <x:c r="B1317" s="21" t="str">
        <x:v>Synthetic Supplier 0376 LLC</x:v>
      </x:c>
      <x:c r="C1317" s="38" t="str">
        <x:f>"900 000 000 000 376"</x:f>
        <x:v>900 000 000 000 376</x:v>
      </x:c>
      <x:c r="D1317" s="21" t="str">
        <x:v>SYN-0376-INV-02</x:v>
      </x:c>
      <x:c r="E1317" s="39" t="n">
        <x:v>46234</x:v>
      </x:c>
      <x:c r="F1317" s="42" t="n">
        <x:v>31036.98</x:v>
      </x:c>
      <x:c r="G1317" s="42" t="n">
        <x:v>1551.85</x:v>
      </x:c>
      <x:c r="H1317" s="42" t="n">
        <x:v>52085.81</x:v>
      </x:c>
      <x:c r="I1317" s="39" t="n">
        <x:v>45871</x:v>
      </x:c>
    </x:row>
    <x:row r="1318">
      <x:c r="A1318" s="21" t="str">
        <x:v>SYN-0377</x:v>
      </x:c>
      <x:c r="B1318" s="21" t="str">
        <x:v>Synthetic Supplier 0377 LLC</x:v>
      </x:c>
      <x:c r="C1318" s="38" t="str">
        <x:f>"900 000 000 000 377"</x:f>
        <x:v>900 000 000 000 377</x:v>
      </x:c>
      <x:c r="D1318" s="21" t="str">
        <x:v>SYN-0377-INV-01</x:v>
      </x:c>
      <x:c r="E1318" s="39" t="n">
        <x:v>46200</x:v>
      </x:c>
      <x:c r="F1318" s="42" t="n">
        <x:v>32202.54</x:v>
      </x:c>
      <x:c r="G1318" s="42" t="n">
        <x:v>1610.13</x:v>
      </x:c>
      <x:c r="H1318" s="42" t="n">
        <x:v>64113.89</x:v>
      </x:c>
      <x:c r="I1318" s="39" t="n">
        <x:v>46268</x:v>
      </x:c>
    </x:row>
    <x:row r="1319">
      <x:c r="A1319" s="21" t="str">
        <x:v>SYN-0377</x:v>
      </x:c>
      <x:c r="B1319" s="21" t="str">
        <x:v>Synthetic Supplier 0377 LLC</x:v>
      </x:c>
      <x:c r="C1319" s="38" t="str">
        <x:f>"900 000 000 000 377"</x:f>
        <x:v>900 000 000 000 377</x:v>
      </x:c>
      <x:c r="D1319" s="21" t="str">
        <x:v>SYN-0377-INV-02</x:v>
      </x:c>
      <x:c r="E1319" s="39" t="n">
        <x:v>46247</x:v>
      </x:c>
      <x:c r="F1319" s="42" t="n">
        <x:v>22546.22</x:v>
      </x:c>
      <x:c r="G1319" s="42" t="n">
        <x:v>1127.31</x:v>
      </x:c>
      <x:c r="H1319" s="42" t="n">
        <x:v>64113.89</x:v>
      </x:c>
      <x:c r="I1319" s="39" t="n">
        <x:v>46268</x:v>
      </x:c>
    </x:row>
    <x:row r="1320">
      <x:c r="A1320" s="21" t="str">
        <x:v>SYN-0377</x:v>
      </x:c>
      <x:c r="B1320" s="21" t="str">
        <x:v>Synthetic Supplier 0377 LLC</x:v>
      </x:c>
      <x:c r="C1320" s="38" t="str">
        <x:f>"900 000 000 000 377"</x:f>
        <x:v>900 000 000 000 377</x:v>
      </x:c>
      <x:c r="D1320" s="21" t="str">
        <x:v>SYN-0377-INV-03</x:v>
      </x:c>
      <x:c r="E1320" s="39" t="n">
        <x:v>45934</x:v>
      </x:c>
      <x:c r="F1320" s="42" t="n">
        <x:v>16488.89</x:v>
      </x:c>
      <x:c r="G1320" s="42" t="n">
        <x:v>824.44</x:v>
      </x:c>
      <x:c r="H1320" s="42" t="n">
        <x:v>64113.89</x:v>
      </x:c>
      <x:c r="I1320" s="39" t="n">
        <x:v>46268</x:v>
      </x:c>
    </x:row>
    <x:row r="1321">
      <x:c r="A1321" s="21" t="str">
        <x:v>SYN-0378</x:v>
      </x:c>
      <x:c r="B1321" s="21" t="str">
        <x:v>Synthetic Supplier 0378 LLC</x:v>
      </x:c>
      <x:c r="C1321" s="38" t="str">
        <x:f>"900 000 000 000 378"</x:f>
        <x:v>900 000 000 000 378</x:v>
      </x:c>
      <x:c r="D1321" s="21" t="str">
        <x:v>SYN-0378-INV-01</x:v>
      </x:c>
      <x:c r="E1321" s="39" t="n">
        <x:v>46213</x:v>
      </x:c>
      <x:c r="F1321" s="42" t="n">
        <x:v>10996.2</x:v>
      </x:c>
      <x:c r="G1321" s="42" t="n">
        <x:v>549.81</x:v>
      </x:c>
      <x:c r="H1321" s="42" t="n">
        <x:v>40954.68</x:v>
      </x:c>
      <x:c r="I1321" s="39" t="n">
        <x:v>45661</x:v>
      </x:c>
    </x:row>
    <x:row r="1322">
      <x:c r="A1322" s="21" t="str">
        <x:v>SYN-0378</x:v>
      </x:c>
      <x:c r="B1322" s="21" t="str">
        <x:v>Synthetic Supplier 0378 LLC</x:v>
      </x:c>
      <x:c r="C1322" s="38" t="str">
        <x:f>"900 000 000 000 378"</x:f>
        <x:v>900 000 000 000 378</x:v>
      </x:c>
      <x:c r="D1322" s="21" t="str">
        <x:v>SYN-0378-INV-02</x:v>
      </x:c>
      <x:c r="E1322" s="39" t="n">
        <x:v>46260</x:v>
      </x:c>
      <x:c r="F1322" s="42" t="n">
        <x:v>6961.53</x:v>
      </x:c>
      <x:c r="G1322" s="42" t="n">
        <x:v>348.08</x:v>
      </x:c>
      <x:c r="H1322" s="42" t="n">
        <x:v>40954.68</x:v>
      </x:c>
      <x:c r="I1322" s="39" t="n">
        <x:v>45661</x:v>
      </x:c>
    </x:row>
    <x:row r="1323">
      <x:c r="A1323" s="21" t="str">
        <x:v>SYN-0378</x:v>
      </x:c>
      <x:c r="B1323" s="21" t="str">
        <x:v>Synthetic Supplier 0378 LLC</x:v>
      </x:c>
      <x:c r="C1323" s="38" t="str">
        <x:f>"900 000 000 000 378"</x:f>
        <x:v>900 000 000 000 378</x:v>
      </x:c>
      <x:c r="D1323" s="21" t="str">
        <x:v>SYN-0378-INV-03</x:v>
      </x:c>
      <x:c r="E1323" s="39" t="n">
        <x:v>45947</x:v>
      </x:c>
      <x:c r="F1323" s="42" t="n">
        <x:v>10452.33</x:v>
      </x:c>
      <x:c r="G1323" s="42" t="n">
        <x:v>522.62</x:v>
      </x:c>
      <x:c r="H1323" s="42" t="n">
        <x:v>40954.68</x:v>
      </x:c>
      <x:c r="I1323" s="39" t="n">
        <x:v>45661</x:v>
      </x:c>
    </x:row>
    <x:row r="1324">
      <x:c r="A1324" s="21" t="str">
        <x:v>SYN-0378</x:v>
      </x:c>
      <x:c r="B1324" s="21" t="str">
        <x:v>Synthetic Supplier 0378 LLC</x:v>
      </x:c>
      <x:c r="C1324" s="38" t="str">
        <x:f>"900 000 000 000 378"</x:f>
        <x:v>900 000 000 000 378</x:v>
      </x:c>
      <x:c r="D1324" s="21" t="str">
        <x:v>SYN-0378-INV-04</x:v>
      </x:c>
      <x:c r="E1324" s="39" t="n">
        <x:v>45994</x:v>
      </x:c>
      <x:c r="F1324" s="42" t="n">
        <x:v>7202.71</x:v>
      </x:c>
      <x:c r="G1324" s="42" t="n">
        <x:v>360.14</x:v>
      </x:c>
      <x:c r="H1324" s="42" t="n">
        <x:v>40954.68</x:v>
      </x:c>
      <x:c r="I1324" s="39" t="n">
        <x:v>45661</x:v>
      </x:c>
    </x:row>
    <x:row r="1325">
      <x:c r="A1325" s="21" t="str">
        <x:v>SYN-0379</x:v>
      </x:c>
      <x:c r="B1325" s="21" t="str">
        <x:v>Synthetic Supplier 0379 LLC</x:v>
      </x:c>
      <x:c r="C1325" s="38" t="str">
        <x:f>"900 000 000 000 379"</x:f>
        <x:v>900 000 000 000 379</x:v>
      </x:c>
      <x:c r="D1325" s="21" t="str">
        <x:v>SYN-0379-INV-01</x:v>
      </x:c>
      <x:c r="E1325" s="39" t="n">
        <x:v>46226</x:v>
      </x:c>
      <x:c r="F1325" s="42" t="n">
        <x:v>14589.13</x:v>
      </x:c>
      <x:c r="G1325" s="42" t="n">
        <x:v>729.46</x:v>
      </x:c>
      <x:c r="H1325" s="42" t="n">
        <x:v>79764.35</x:v>
      </x:c>
      <x:c r="I1325" s="39" t="n">
        <x:v>46058</x:v>
      </x:c>
    </x:row>
    <x:row r="1326">
      <x:c r="A1326" s="21" t="str">
        <x:v>SYN-0379</x:v>
      </x:c>
      <x:c r="B1326" s="21" t="str">
        <x:v>Synthetic Supplier 0379 LLC</x:v>
      </x:c>
      <x:c r="C1326" s="38" t="str">
        <x:f>"900 000 000 000 379"</x:f>
        <x:v>900 000 000 000 379</x:v>
      </x:c>
      <x:c r="D1326" s="21" t="str">
        <x:v>SYN-0379-INV-02</x:v>
      </x:c>
      <x:c r="E1326" s="39" t="n">
        <x:v>46273</x:v>
      </x:c>
      <x:c r="F1326" s="42" t="n">
        <x:v>10913.8</x:v>
      </x:c>
      <x:c r="G1326" s="42" t="n">
        <x:v>545.69</x:v>
      </x:c>
      <x:c r="H1326" s="42" t="n">
        <x:v>79764.35</x:v>
      </x:c>
      <x:c r="I1326" s="39" t="n">
        <x:v>46058</x:v>
      </x:c>
    </x:row>
    <x:row r="1327">
      <x:c r="A1327" s="21" t="str">
        <x:v>SYN-0379</x:v>
      </x:c>
      <x:c r="B1327" s="21" t="str">
        <x:v>Synthetic Supplier 0379 LLC</x:v>
      </x:c>
      <x:c r="C1327" s="38" t="str">
        <x:f>"900 000 000 000 379"</x:f>
        <x:v>900 000 000 000 379</x:v>
      </x:c>
      <x:c r="D1327" s="21" t="str">
        <x:v>SYN-0379-INV-03</x:v>
      </x:c>
      <x:c r="E1327" s="39" t="n">
        <x:v>45960</x:v>
      </x:c>
      <x:c r="F1327" s="42" t="n">
        <x:v>23620.93</x:v>
      </x:c>
      <x:c r="G1327" s="42" t="n">
        <x:v>1181.05</x:v>
      </x:c>
      <x:c r="H1327" s="42" t="n">
        <x:v>79764.35</x:v>
      </x:c>
      <x:c r="I1327" s="39" t="n">
        <x:v>46058</x:v>
      </x:c>
    </x:row>
    <x:row r="1328">
      <x:c r="A1328" s="21" t="str">
        <x:v>SYN-0379</x:v>
      </x:c>
      <x:c r="B1328" s="21" t="str">
        <x:v>Synthetic Supplier 0379 LLC</x:v>
      </x:c>
      <x:c r="C1328" s="38" t="str">
        <x:f>"900 000 000 000 379"</x:f>
        <x:v>900 000 000 000 379</x:v>
      </x:c>
      <x:c r="D1328" s="21" t="str">
        <x:v>SYN-0379-INV-04</x:v>
      </x:c>
      <x:c r="E1328" s="39" t="n">
        <x:v>46007</x:v>
      </x:c>
      <x:c r="F1328" s="42" t="n">
        <x:v>21213.59</x:v>
      </x:c>
      <x:c r="G1328" s="42" t="n">
        <x:v>1060.68</x:v>
      </x:c>
      <x:c r="H1328" s="42" t="n">
        <x:v>79764.35</x:v>
      </x:c>
      <x:c r="I1328" s="39" t="n">
        <x:v>46058</x:v>
      </x:c>
    </x:row>
    <x:row r="1329">
      <x:c r="A1329" s="21" t="str">
        <x:v>SYN-0379</x:v>
      </x:c>
      <x:c r="B1329" s="21" t="str">
        <x:v>Synthetic Supplier 0379 LLC</x:v>
      </x:c>
      <x:c r="C1329" s="38" t="str">
        <x:f>"900 000 000 000 379"</x:f>
        <x:v>900 000 000 000 379</x:v>
      </x:c>
      <x:c r="D1329" s="21" t="str">
        <x:v>SYN-0379-INV-05</x:v>
      </x:c>
      <x:c r="E1329" s="39" t="n">
        <x:v>46054</x:v>
      </x:c>
      <x:c r="F1329" s="42" t="n">
        <x:v>18289.6</x:v>
      </x:c>
      <x:c r="G1329" s="42" t="n">
        <x:v>914.48</x:v>
      </x:c>
      <x:c r="H1329" s="42" t="n">
        <x:v>79764.35</x:v>
      </x:c>
      <x:c r="I1329" s="39" t="n">
        <x:v>46058</x:v>
      </x:c>
    </x:row>
    <x:row r="1330">
      <x:c r="A1330" s="21" t="str">
        <x:v>SYN-0380</x:v>
      </x:c>
      <x:c r="B1330" s="21" t="str">
        <x:v>Synthetic Supplier 0380 LLC</x:v>
      </x:c>
      <x:c r="C1330" s="38" t="str">
        <x:f>"900 000 000 000 380"</x:f>
        <x:v>900 000 000 000 380</x:v>
      </x:c>
      <x:c r="D1330" s="21" t="str">
        <x:v>SYN-0380-INV-01</x:v>
      </x:c>
      <x:c r="E1330" s="39" t="n">
        <x:v>46239</x:v>
      </x:c>
      <x:c r="F1330" s="42" t="n">
        <x:v>38210.32</x:v>
      </x:c>
      <x:c r="G1330" s="42" t="n">
        <x:v>1910.52</x:v>
      </x:c>
      <x:c r="H1330" s="42" t="n">
        <x:v>71216.34</x:v>
      </x:c>
      <x:c r="I1330" s="39"/>
    </x:row>
    <x:row r="1331">
      <x:c r="A1331" s="21" t="str">
        <x:v>SYN-0380</x:v>
      </x:c>
      <x:c r="B1331" s="21" t="str">
        <x:v>Synthetic Supplier 0380 LLC</x:v>
      </x:c>
      <x:c r="C1331" s="38" t="str">
        <x:f>"900 000 000 000 380"</x:f>
        <x:v>900 000 000 000 380</x:v>
      </x:c>
      <x:c r="D1331" s="21" t="str">
        <x:v>SYN-0380-INV-02</x:v>
      </x:c>
      <x:c r="E1331" s="39" t="n">
        <x:v>46286</x:v>
      </x:c>
      <x:c r="F1331" s="42" t="n">
        <x:v>40918.94</x:v>
      </x:c>
      <x:c r="G1331" s="42" t="n">
        <x:v>2045.95</x:v>
      </x:c>
      <x:c r="H1331" s="42" t="n">
        <x:v>71216.34</x:v>
      </x:c>
      <x:c r="I1331" s="39"/>
    </x:row>
    <x:row r="1332">
      <x:c r="A1332" s="21" t="str">
        <x:v>SYN-0381</x:v>
      </x:c>
      <x:c r="B1332" s="21" t="str">
        <x:v>Synthetic Supplier 0381 LLC</x:v>
      </x:c>
      <x:c r="C1332" s="38" t="str">
        <x:f>"900 000 000 000 381"</x:f>
        <x:v>900 000 000 000 381</x:v>
      </x:c>
      <x:c r="D1332" s="21" t="str">
        <x:v>SYN-0381-INV-01</x:v>
      </x:c>
      <x:c r="E1332" s="39" t="n">
        <x:v>46252</x:v>
      </x:c>
      <x:c r="F1332" s="42" t="n">
        <x:v>25441.55</x:v>
      </x:c>
      <x:c r="G1332" s="42" t="n">
        <x:v>1272.08</x:v>
      </x:c>
      <x:c r="H1332" s="42" t="n">
        <x:v>65151.01</x:v>
      </x:c>
      <x:c r="I1332" s="39" t="n">
        <x:v>46119</x:v>
      </x:c>
    </x:row>
    <x:row r="1333">
      <x:c r="A1333" s="21" t="str">
        <x:v>SYN-0381</x:v>
      </x:c>
      <x:c r="B1333" s="21" t="str">
        <x:v>Synthetic Supplier 0381 LLC</x:v>
      </x:c>
      <x:c r="C1333" s="38" t="str">
        <x:f>"900 000 000 000 381"</x:f>
        <x:v>900 000 000 000 381</x:v>
      </x:c>
      <x:c r="D1333" s="21" t="str">
        <x:v>SYN-0381-INV-02</x:v>
      </x:c>
      <x:c r="E1333" s="39" t="n">
        <x:v>45939</x:v>
      </x:c>
      <x:c r="F1333" s="42" t="n">
        <x:v>22878.18</x:v>
      </x:c>
      <x:c r="G1333" s="42" t="n">
        <x:v>1143.91</x:v>
      </x:c>
      <x:c r="H1333" s="42" t="n">
        <x:v>65151.01</x:v>
      </x:c>
      <x:c r="I1333" s="39" t="n">
        <x:v>46119</x:v>
      </x:c>
    </x:row>
    <x:row r="1334">
      <x:c r="A1334" s="21" t="str">
        <x:v>SYN-0381</x:v>
      </x:c>
      <x:c r="B1334" s="21" t="str">
        <x:v>Synthetic Supplier 0381 LLC</x:v>
      </x:c>
      <x:c r="C1334" s="38" t="str">
        <x:f>"900 000 000 000 381"</x:f>
        <x:v>900 000 000 000 381</x:v>
      </x:c>
      <x:c r="D1334" s="21" t="str">
        <x:v>SYN-0381-INV-03</x:v>
      </x:c>
      <x:c r="E1334" s="39" t="n">
        <x:v>45986</x:v>
      </x:c>
      <x:c r="F1334" s="42" t="n">
        <x:v>24070.28</x:v>
      </x:c>
      <x:c r="G1334" s="42" t="n">
        <x:v>1203.51</x:v>
      </x:c>
      <x:c r="H1334" s="42" t="n">
        <x:v>65151.01</x:v>
      </x:c>
      <x:c r="I1334" s="39" t="n">
        <x:v>46119</x:v>
      </x:c>
    </x:row>
    <x:row r="1335">
      <x:c r="A1335" s="21" t="str">
        <x:v>SYN-0382</x:v>
      </x:c>
      <x:c r="B1335" s="21" t="str">
        <x:v>Synthetic Supplier 0382 LLC</x:v>
      </x:c>
      <x:c r="C1335" s="38" t="str">
        <x:f>"900 000 000 000 382"</x:f>
        <x:v>900 000 000 000 382</x:v>
      </x:c>
      <x:c r="D1335" s="21" t="str">
        <x:v>SYN-0382-INV-01</x:v>
      </x:c>
      <x:c r="E1335" s="39" t="n">
        <x:v>46265</x:v>
      </x:c>
      <x:c r="F1335" s="42" t="n">
        <x:v>11251.41</x:v>
      </x:c>
      <x:c r="G1335" s="42" t="n">
        <x:v>562.57</x:v>
      </x:c>
      <x:c r="H1335" s="42" t="n">
        <x:v>61737.51</x:v>
      </x:c>
      <x:c r="I1335" s="39" t="n">
        <x:v>45785</x:v>
      </x:c>
    </x:row>
    <x:row r="1336">
      <x:c r="A1336" s="21" t="str">
        <x:v>SYN-0382</x:v>
      </x:c>
      <x:c r="B1336" s="21" t="str">
        <x:v>Synthetic Supplier 0382 LLC</x:v>
      </x:c>
      <x:c r="C1336" s="38" t="str">
        <x:f>"900 000 000 000 382"</x:f>
        <x:v>900 000 000 000 382</x:v>
      </x:c>
      <x:c r="D1336" s="21" t="str">
        <x:v>SYN-0382-INV-02</x:v>
      </x:c>
      <x:c r="E1336" s="39" t="n">
        <x:v>45952</x:v>
      </x:c>
      <x:c r="F1336" s="42" t="n">
        <x:v>22366.14</x:v>
      </x:c>
      <x:c r="G1336" s="42" t="n">
        <x:v>1118.31</x:v>
      </x:c>
      <x:c r="H1336" s="42" t="n">
        <x:v>61737.51</x:v>
      </x:c>
      <x:c r="I1336" s="39" t="n">
        <x:v>45785</x:v>
      </x:c>
    </x:row>
    <x:row r="1337">
      <x:c r="A1337" s="21" t="str">
        <x:v>SYN-0382</x:v>
      </x:c>
      <x:c r="B1337" s="21" t="str">
        <x:v>Synthetic Supplier 0382 LLC</x:v>
      </x:c>
      <x:c r="C1337" s="38" t="str">
        <x:f>"900 000 000 000 382"</x:f>
        <x:v>900 000 000 000 382</x:v>
      </x:c>
      <x:c r="D1337" s="21" t="str">
        <x:v>SYN-0382-INV-03</x:v>
      </x:c>
      <x:c r="E1337" s="39" t="n">
        <x:v>45999</x:v>
      </x:c>
      <x:c r="F1337" s="42" t="n">
        <x:v>20041.25</x:v>
      </x:c>
      <x:c r="G1337" s="42" t="n">
        <x:v>1002.06</x:v>
      </x:c>
      <x:c r="H1337" s="42" t="n">
        <x:v>61737.51</x:v>
      </x:c>
      <x:c r="I1337" s="39" t="n">
        <x:v>45785</x:v>
      </x:c>
    </x:row>
    <x:row r="1338">
      <x:c r="A1338" s="21" t="str">
        <x:v>SYN-0382</x:v>
      </x:c>
      <x:c r="B1338" s="21" t="str">
        <x:v>Synthetic Supplier 0382 LLC</x:v>
      </x:c>
      <x:c r="C1338" s="38" t="str">
        <x:f>"900 000 000 000 382"</x:f>
        <x:v>900 000 000 000 382</x:v>
      </x:c>
      <x:c r="D1338" s="21" t="str">
        <x:v>SYN-0382-INV-04</x:v>
      </x:c>
      <x:c r="E1338" s="39" t="n">
        <x:v>46046</x:v>
      </x:c>
      <x:c r="F1338" s="42" t="n">
        <x:v>14938.43</x:v>
      </x:c>
      <x:c r="G1338" s="42" t="n">
        <x:v>746.92</x:v>
      </x:c>
      <x:c r="H1338" s="42" t="n">
        <x:v>61737.51</x:v>
      </x:c>
      <x:c r="I1338" s="39" t="n">
        <x:v>45785</x:v>
      </x:c>
    </x:row>
    <x:row r="1339">
      <x:c r="A1339" s="21" t="str">
        <x:v>SYN-0383</x:v>
      </x:c>
      <x:c r="B1339" s="21" t="str">
        <x:v>Synthetic Supplier 0383 LLC</x:v>
      </x:c>
      <x:c r="C1339" s="38" t="str">
        <x:f>"900 000 000 000 383"</x:f>
        <x:v>900 000 000 000 383</x:v>
      </x:c>
      <x:c r="D1339" s="21" t="str">
        <x:v>SYN-0383-INV-01</x:v>
      </x:c>
      <x:c r="E1339" s="39" t="n">
        <x:v>46278</x:v>
      </x:c>
      <x:c r="F1339" s="42" t="n">
        <x:v>6236.55</x:v>
      </x:c>
      <x:c r="G1339" s="42" t="n">
        <x:v>311.83</x:v>
      </x:c>
      <x:c r="H1339" s="42" t="n">
        <x:v>40864.65</x:v>
      </x:c>
      <x:c r="I1339" s="39" t="n">
        <x:v>46182</x:v>
      </x:c>
    </x:row>
    <x:row r="1340">
      <x:c r="A1340" s="21" t="str">
        <x:v>SYN-0383</x:v>
      </x:c>
      <x:c r="B1340" s="21" t="str">
        <x:v>Synthetic Supplier 0383 LLC</x:v>
      </x:c>
      <x:c r="C1340" s="38" t="str">
        <x:f>"900 000 000 000 383"</x:f>
        <x:v>900 000 000 000 383</x:v>
      </x:c>
      <x:c r="D1340" s="21" t="str">
        <x:v>SYN-0383-INV-02</x:v>
      </x:c>
      <x:c r="E1340" s="39" t="n">
        <x:v>45965</x:v>
      </x:c>
      <x:c r="F1340" s="42" t="n">
        <x:v>9393.12</x:v>
      </x:c>
      <x:c r="G1340" s="42" t="n">
        <x:v>469.66</x:v>
      </x:c>
      <x:c r="H1340" s="42" t="n">
        <x:v>40864.65</x:v>
      </x:c>
      <x:c r="I1340" s="39" t="n">
        <x:v>46182</x:v>
      </x:c>
    </x:row>
    <x:row r="1341">
      <x:c r="A1341" s="21" t="str">
        <x:v>SYN-0383</x:v>
      </x:c>
      <x:c r="B1341" s="21" t="str">
        <x:v>Synthetic Supplier 0383 LLC</x:v>
      </x:c>
      <x:c r="C1341" s="38" t="str">
        <x:f>"900 000 000 000 383"</x:f>
        <x:v>900 000 000 000 383</x:v>
      </x:c>
      <x:c r="D1341" s="21" t="str">
        <x:v>SYN-0383-INV-03</x:v>
      </x:c>
      <x:c r="E1341" s="39" t="n">
        <x:v>46012</x:v>
      </x:c>
      <x:c r="F1341" s="42" t="n">
        <x:v>6047.54</x:v>
      </x:c>
      <x:c r="G1341" s="42" t="n">
        <x:v>302.38</x:v>
      </x:c>
      <x:c r="H1341" s="42" t="n">
        <x:v>40864.65</x:v>
      </x:c>
      <x:c r="I1341" s="39" t="n">
        <x:v>46182</x:v>
      </x:c>
    </x:row>
    <x:row r="1342">
      <x:c r="A1342" s="21" t="str">
        <x:v>SYN-0383</x:v>
      </x:c>
      <x:c r="B1342" s="21" t="str">
        <x:v>Synthetic Supplier 0383 LLC</x:v>
      </x:c>
      <x:c r="C1342" s="38" t="str">
        <x:f>"900 000 000 000 383"</x:f>
        <x:v>900 000 000 000 383</x:v>
      </x:c>
      <x:c r="D1342" s="21" t="str">
        <x:v>SYN-0383-INV-04</x:v>
      </x:c>
      <x:c r="E1342" s="39" t="n">
        <x:v>46059</x:v>
      </x:c>
      <x:c r="F1342" s="42" t="n">
        <x:v>12174.79</x:v>
      </x:c>
      <x:c r="G1342" s="42" t="n">
        <x:v>608.74</x:v>
      </x:c>
      <x:c r="H1342" s="42" t="n">
        <x:v>40864.65</x:v>
      </x:c>
      <x:c r="I1342" s="39" t="n">
        <x:v>46182</x:v>
      </x:c>
    </x:row>
    <x:row r="1343">
      <x:c r="A1343" s="21" t="str">
        <x:v>SYN-0383</x:v>
      </x:c>
      <x:c r="B1343" s="21" t="str">
        <x:v>Synthetic Supplier 0383 LLC</x:v>
      </x:c>
      <x:c r="C1343" s="38" t="str">
        <x:f>"900 000 000 000 383"</x:f>
        <x:v>900 000 000 000 383</x:v>
      </x:c>
      <x:c r="D1343" s="21" t="str">
        <x:v>SYN-0383-INV-05</x:v>
      </x:c>
      <x:c r="E1343" s="39" t="n">
        <x:v>46106</x:v>
      </x:c>
      <x:c r="F1343" s="42" t="n">
        <x:v>11553.17</x:v>
      </x:c>
      <x:c r="G1343" s="42" t="n">
        <x:v>577.66</x:v>
      </x:c>
      <x:c r="H1343" s="42" t="n">
        <x:v>40864.65</x:v>
      </x:c>
      <x:c r="I1343" s="39" t="n">
        <x:v>46182</x:v>
      </x:c>
    </x:row>
    <x:row r="1344">
      <x:c r="A1344" s="21" t="str">
        <x:v>SYN-0384</x:v>
      </x:c>
      <x:c r="B1344" s="21" t="str">
        <x:v>Synthetic Supplier 0384 LLC</x:v>
      </x:c>
      <x:c r="C1344" s="38" t="str">
        <x:f>"900 000 000 000 384"</x:f>
        <x:v>900 000 000 000 384</x:v>
      </x:c>
      <x:c r="D1344" s="21" t="str">
        <x:v>SYN-0384-INV-01</x:v>
      </x:c>
      <x:c r="E1344" s="39" t="n">
        <x:v>46291</x:v>
      </x:c>
      <x:c r="F1344" s="42" t="n">
        <x:v>39013.7</x:v>
      </x:c>
      <x:c r="G1344" s="42" t="n">
        <x:v>1950.68</x:v>
      </x:c>
      <x:c r="H1344" s="42" t="n">
        <x:v>55876.87</x:v>
      </x:c>
      <x:c r="I1344" s="39" t="n">
        <x:v>45848</x:v>
      </x:c>
    </x:row>
    <x:row r="1345">
      <x:c r="A1345" s="21" t="str">
        <x:v>SYN-0384</x:v>
      </x:c>
      <x:c r="B1345" s="21" t="str">
        <x:v>Synthetic Supplier 0384 LLC</x:v>
      </x:c>
      <x:c r="C1345" s="38" t="str">
        <x:f>"900 000 000 000 384"</x:f>
        <x:v>900 000 000 000 384</x:v>
      </x:c>
      <x:c r="D1345" s="21" t="str">
        <x:v>SYN-0384-INV-02</x:v>
      </x:c>
      <x:c r="E1345" s="39" t="n">
        <x:v>45978</x:v>
      </x:c>
      <x:c r="F1345" s="42" t="n">
        <x:v>23071.72</x:v>
      </x:c>
      <x:c r="G1345" s="42" t="n">
        <x:v>1153.59</x:v>
      </x:c>
      <x:c r="H1345" s="42" t="n">
        <x:v>55876.87</x:v>
      </x:c>
      <x:c r="I1345" s="39" t="n">
        <x:v>45848</x:v>
      </x:c>
    </x:row>
    <x:row r="1346">
      <x:c r="A1346" s="21" t="str">
        <x:v>SYN-0385</x:v>
      </x:c>
      <x:c r="B1346" s="21" t="str">
        <x:v>Synthetic Supplier 0385 LLC</x:v>
      </x:c>
      <x:c r="C1346" s="38" t="str">
        <x:f>"900 000 000 000 385"</x:f>
        <x:v>900 000 000 000 385</x:v>
      </x:c>
      <x:c r="D1346" s="21" t="str">
        <x:v>SYN-0385-INV-01</x:v>
      </x:c>
      <x:c r="E1346" s="39" t="n">
        <x:v>45944</x:v>
      </x:c>
      <x:c r="F1346" s="42" t="n">
        <x:v>12843.34</x:v>
      </x:c>
      <x:c r="G1346" s="42" t="n">
        <x:v>642.17</x:v>
      </x:c>
      <x:c r="H1346" s="42" t="n">
        <x:v>54536.39</x:v>
      </x:c>
      <x:c r="I1346" s="39"/>
    </x:row>
    <x:row r="1347">
      <x:c r="A1347" s="21" t="str">
        <x:v>SYN-0385</x:v>
      </x:c>
      <x:c r="B1347" s="21" t="str">
        <x:v>Synthetic Supplier 0385 LLC</x:v>
      </x:c>
      <x:c r="C1347" s="38" t="str">
        <x:f>"900 000 000 000 385"</x:f>
        <x:v>900 000 000 000 385</x:v>
      </x:c>
      <x:c r="D1347" s="21" t="str">
        <x:v>SYN-0385-INV-02</x:v>
      </x:c>
      <x:c r="E1347" s="39" t="n">
        <x:v>45991</x:v>
      </x:c>
      <x:c r="F1347" s="42" t="n">
        <x:v>14191.88</x:v>
      </x:c>
      <x:c r="G1347" s="42" t="n">
        <x:v>709.59</x:v>
      </x:c>
      <x:c r="H1347" s="42" t="n">
        <x:v>54536.39</x:v>
      </x:c>
      <x:c r="I1347" s="39"/>
    </x:row>
    <x:row r="1348">
      <x:c r="A1348" s="21" t="str">
        <x:v>SYN-0385</x:v>
      </x:c>
      <x:c r="B1348" s="21" t="str">
        <x:v>Synthetic Supplier 0385 LLC</x:v>
      </x:c>
      <x:c r="C1348" s="38" t="str">
        <x:f>"900 000 000 000 385"</x:f>
        <x:v>900 000 000 000 385</x:v>
      </x:c>
      <x:c r="D1348" s="21" t="str">
        <x:v>SYN-0385-INV-03</x:v>
      </x:c>
      <x:c r="E1348" s="39" t="n">
        <x:v>46038</x:v>
      </x:c>
      <x:c r="F1348" s="42" t="n">
        <x:v>20387.72</x:v>
      </x:c>
      <x:c r="G1348" s="42" t="n">
        <x:v>1019.39</x:v>
      </x:c>
      <x:c r="H1348" s="42" t="n">
        <x:v>54536.39</x:v>
      </x:c>
      <x:c r="I1348" s="39"/>
    </x:row>
    <x:row r="1349">
      <x:c r="A1349" s="21" t="str">
        <x:v>SYN-0386</x:v>
      </x:c>
      <x:c r="B1349" s="21" t="str">
        <x:v>Synthetic Supplier 0386 LLC</x:v>
      </x:c>
      <x:c r="C1349" s="38" t="str">
        <x:f>"900 000 000 000 386"</x:f>
        <x:v>900 000 000 000 386</x:v>
      </x:c>
      <x:c r="D1349" s="21" t="str">
        <x:v>SYN-0386-INV-01</x:v>
      </x:c>
      <x:c r="E1349" s="39" t="n">
        <x:v>45957</x:v>
      </x:c>
      <x:c r="F1349" s="42" t="n">
        <x:v>16649.65</x:v>
      </x:c>
      <x:c r="G1349" s="42" t="n">
        <x:v>832.48</x:v>
      </x:c>
      <x:c r="H1349" s="42" t="n">
        <x:v>53317.37</x:v>
      </x:c>
      <x:c r="I1349" s="39" t="n">
        <x:v>45912</x:v>
      </x:c>
    </x:row>
    <x:row r="1350">
      <x:c r="A1350" s="21" t="str">
        <x:v>SYN-0386</x:v>
      </x:c>
      <x:c r="B1350" s="21" t="str">
        <x:v>Synthetic Supplier 0386 LLC</x:v>
      </x:c>
      <x:c r="C1350" s="38" t="str">
        <x:f>"900 000 000 000 386"</x:f>
        <x:v>900 000 000 000 386</x:v>
      </x:c>
      <x:c r="D1350" s="21" t="str">
        <x:v>SYN-0386-INV-02</x:v>
      </x:c>
      <x:c r="E1350" s="39" t="n">
        <x:v>46004</x:v>
      </x:c>
      <x:c r="F1350" s="42" t="n">
        <x:v>18494.44</x:v>
      </x:c>
      <x:c r="G1350" s="42" t="n">
        <x:v>924.72</x:v>
      </x:c>
      <x:c r="H1350" s="42" t="n">
        <x:v>53317.37</x:v>
      </x:c>
      <x:c r="I1350" s="39" t="n">
        <x:v>45912</x:v>
      </x:c>
    </x:row>
    <x:row r="1351">
      <x:c r="A1351" s="21" t="str">
        <x:v>SYN-0386</x:v>
      </x:c>
      <x:c r="B1351" s="21" t="str">
        <x:v>Synthetic Supplier 0386 LLC</x:v>
      </x:c>
      <x:c r="C1351" s="38" t="str">
        <x:f>"900 000 000 000 386"</x:f>
        <x:v>900 000 000 000 386</x:v>
      </x:c>
      <x:c r="D1351" s="21" t="str">
        <x:v>SYN-0386-INV-03</x:v>
      </x:c>
      <x:c r="E1351" s="39" t="n">
        <x:v>46051</x:v>
      </x:c>
      <x:c r="F1351" s="42" t="n">
        <x:v>14255.42</x:v>
      </x:c>
      <x:c r="G1351" s="42" t="n">
        <x:v>712.77</x:v>
      </x:c>
      <x:c r="H1351" s="42" t="n">
        <x:v>53317.37</x:v>
      </x:c>
      <x:c r="I1351" s="39" t="n">
        <x:v>45912</x:v>
      </x:c>
    </x:row>
    <x:row r="1352">
      <x:c r="A1352" s="21" t="str">
        <x:v>SYN-0386</x:v>
      </x:c>
      <x:c r="B1352" s="21" t="str">
        <x:v>Synthetic Supplier 0386 LLC</x:v>
      </x:c>
      <x:c r="C1352" s="38" t="str">
        <x:f>"900 000 000 000 386"</x:f>
        <x:v>900 000 000 000 386</x:v>
      </x:c>
      <x:c r="D1352" s="21" t="str">
        <x:v>SYN-0386-INV-04</x:v>
      </x:c>
      <x:c r="E1352" s="39" t="n">
        <x:v>46098</x:v>
      </x:c>
      <x:c r="F1352" s="42" t="n">
        <x:v>9842.01</x:v>
      </x:c>
      <x:c r="G1352" s="42" t="n">
        <x:v>492.1</x:v>
      </x:c>
      <x:c r="H1352" s="42" t="n">
        <x:v>53317.37</x:v>
      </x:c>
      <x:c r="I1352" s="39" t="n">
        <x:v>45912</x:v>
      </x:c>
    </x:row>
    <x:row r="1353">
      <x:c r="A1353" s="21" t="str">
        <x:v>SYN-0387</x:v>
      </x:c>
      <x:c r="B1353" s="21" t="str">
        <x:v>Synthetic Supplier 0387 LLC</x:v>
      </x:c>
      <x:c r="C1353" s="38" t="str">
        <x:f>"900 000 000 000 387"</x:f>
        <x:v>900 000 000 000 387</x:v>
      </x:c>
      <x:c r="D1353" s="21" t="str">
        <x:v>SYN-0387-INV-01</x:v>
      </x:c>
      <x:c r="E1353" s="39" t="n">
        <x:v>45970</x:v>
      </x:c>
      <x:c r="F1353" s="42" t="n">
        <x:v>9700.31</x:v>
      </x:c>
      <x:c r="G1353" s="42" t="n">
        <x:v>485.02</x:v>
      </x:c>
      <x:c r="H1353" s="42" t="n">
        <x:v>54110.5</x:v>
      </x:c>
      <x:c r="I1353" s="39" t="n">
        <x:v>46035</x:v>
      </x:c>
    </x:row>
    <x:row r="1354">
      <x:c r="A1354" s="21" t="str">
        <x:v>SYN-0387</x:v>
      </x:c>
      <x:c r="B1354" s="21" t="str">
        <x:v>Synthetic Supplier 0387 LLC</x:v>
      </x:c>
      <x:c r="C1354" s="38" t="str">
        <x:f>"900 000 000 000 387"</x:f>
        <x:v>900 000 000 000 387</x:v>
      </x:c>
      <x:c r="D1354" s="21" t="str">
        <x:v>SYN-0387-INV-02</x:v>
      </x:c>
      <x:c r="E1354" s="39" t="n">
        <x:v>46017</x:v>
      </x:c>
      <x:c r="F1354" s="42" t="n">
        <x:v>12498.5</x:v>
      </x:c>
      <x:c r="G1354" s="42" t="n">
        <x:v>624.92</x:v>
      </x:c>
      <x:c r="H1354" s="42" t="n">
        <x:v>54110.5</x:v>
      </x:c>
      <x:c r="I1354" s="39" t="n">
        <x:v>46035</x:v>
      </x:c>
    </x:row>
    <x:row r="1355">
      <x:c r="A1355" s="21" t="str">
        <x:v>SYN-0387</x:v>
      </x:c>
      <x:c r="B1355" s="21" t="str">
        <x:v>Synthetic Supplier 0387 LLC</x:v>
      </x:c>
      <x:c r="C1355" s="38" t="str">
        <x:f>"900 000 000 000 387"</x:f>
        <x:v>900 000 000 000 387</x:v>
      </x:c>
      <x:c r="D1355" s="21" t="str">
        <x:v>SYN-0387-INV-03</x:v>
      </x:c>
      <x:c r="E1355" s="39" t="n">
        <x:v>46064</x:v>
      </x:c>
      <x:c r="F1355" s="42" t="n">
        <x:v>15048.82</x:v>
      </x:c>
      <x:c r="G1355" s="42" t="n">
        <x:v>752.44</x:v>
      </x:c>
      <x:c r="H1355" s="42" t="n">
        <x:v>54110.5</x:v>
      </x:c>
      <x:c r="I1355" s="39" t="n">
        <x:v>46035</x:v>
      </x:c>
    </x:row>
    <x:row r="1356">
      <x:c r="A1356" s="21" t="str">
        <x:v>SYN-0387</x:v>
      </x:c>
      <x:c r="B1356" s="21" t="str">
        <x:v>Synthetic Supplier 0387 LLC</x:v>
      </x:c>
      <x:c r="C1356" s="38" t="str">
        <x:f>"900 000 000 000 387"</x:f>
        <x:v>900 000 000 000 387</x:v>
      </x:c>
      <x:c r="D1356" s="21" t="str">
        <x:v>SYN-0387-INV-04</x:v>
      </x:c>
      <x:c r="E1356" s="39" t="n">
        <x:v>46111</x:v>
      </x:c>
      <x:c r="F1356" s="42" t="n">
        <x:v>13699.34</x:v>
      </x:c>
      <x:c r="G1356" s="42" t="n">
        <x:v>684.97</x:v>
      </x:c>
      <x:c r="H1356" s="42" t="n">
        <x:v>54110.5</x:v>
      </x:c>
      <x:c r="I1356" s="39" t="n">
        <x:v>46035</x:v>
      </x:c>
    </x:row>
    <x:row r="1357">
      <x:c r="A1357" s="21" t="str">
        <x:v>SYN-0387</x:v>
      </x:c>
      <x:c r="B1357" s="21" t="str">
        <x:v>Synthetic Supplier 0387 LLC</x:v>
      </x:c>
      <x:c r="C1357" s="38" t="str">
        <x:f>"900 000 000 000 387"</x:f>
        <x:v>900 000 000 000 387</x:v>
      </x:c>
      <x:c r="D1357" s="21" t="str">
        <x:v>SYN-0387-INV-05</x:v>
      </x:c>
      <x:c r="E1357" s="39" t="n">
        <x:v>46158</x:v>
      </x:c>
      <x:c r="F1357" s="42" t="n">
        <x:v>9175.82</x:v>
      </x:c>
      <x:c r="G1357" s="42" t="n">
        <x:v>458.79</x:v>
      </x:c>
      <x:c r="H1357" s="42" t="n">
        <x:v>54110.5</x:v>
      </x:c>
      <x:c r="I1357" s="39" t="n">
        <x:v>46035</x:v>
      </x:c>
    </x:row>
    <x:row r="1358">
      <x:c r="A1358" s="21" t="str">
        <x:v>SYN-0388</x:v>
      </x:c>
      <x:c r="B1358" s="21" t="str">
        <x:v>Synthetic Supplier 0388 LLC</x:v>
      </x:c>
      <x:c r="C1358" s="38" t="str">
        <x:f>"900 000 000 000 388"</x:f>
        <x:v>900 000 000 000 388</x:v>
      </x:c>
      <x:c r="D1358" s="21" t="str">
        <x:v>SYN-0388-INV-01</x:v>
      </x:c>
      <x:c r="E1358" s="39" t="n">
        <x:v>45983</x:v>
      </x:c>
      <x:c r="F1358" s="42" t="n">
        <x:v>30959.12</x:v>
      </x:c>
      <x:c r="G1358" s="42" t="n">
        <x:v>1547.96</x:v>
      </x:c>
      <x:c r="H1358" s="42" t="n">
        <x:v>56704.95</x:v>
      </x:c>
      <x:c r="I1358" s="39" t="n">
        <x:v>45702</x:v>
      </x:c>
    </x:row>
    <x:row r="1359">
      <x:c r="A1359" s="21" t="str">
        <x:v>SYN-0388</x:v>
      </x:c>
      <x:c r="B1359" s="21" t="str">
        <x:v>Synthetic Supplier 0388 LLC</x:v>
      </x:c>
      <x:c r="C1359" s="38" t="str">
        <x:f>"900 000 000 000 388"</x:f>
        <x:v>900 000 000 000 388</x:v>
      </x:c>
      <x:c r="D1359" s="21" t="str">
        <x:v>SYN-0388-INV-02</x:v>
      </x:c>
      <x:c r="E1359" s="39" t="n">
        <x:v>46030</x:v>
      </x:c>
      <x:c r="F1359" s="42" t="n">
        <x:v>32046.38</x:v>
      </x:c>
      <x:c r="G1359" s="42" t="n">
        <x:v>1602.32</x:v>
      </x:c>
      <x:c r="H1359" s="42" t="n">
        <x:v>56704.95</x:v>
      </x:c>
      <x:c r="I1359" s="39" t="n">
        <x:v>45702</x:v>
      </x:c>
    </x:row>
    <x:row r="1360">
      <x:c r="A1360" s="21" t="str">
        <x:v>SYN-0389</x:v>
      </x:c>
      <x:c r="B1360" s="21" t="str">
        <x:v>Synthetic Supplier 0389 LLC</x:v>
      </x:c>
      <x:c r="C1360" s="38" t="str">
        <x:f>"900 000 000 000 389"</x:f>
        <x:v>900 000 000 000 389</x:v>
      </x:c>
      <x:c r="D1360" s="21" t="str">
        <x:v>SYN-0389-INV-01</x:v>
      </x:c>
      <x:c r="E1360" s="39" t="n">
        <x:v>45996</x:v>
      </x:c>
      <x:c r="F1360" s="42" t="n">
        <x:v>19024</x:v>
      </x:c>
      <x:c r="G1360" s="42" t="n">
        <x:v>951.2</x:v>
      </x:c>
      <x:c r="H1360" s="42" t="n">
        <x:v>61972.4</x:v>
      </x:c>
      <x:c r="I1360" s="39" t="n">
        <x:v>46096</x:v>
      </x:c>
    </x:row>
    <x:row r="1361">
      <x:c r="A1361" s="21" t="str">
        <x:v>SYN-0389</x:v>
      </x:c>
      <x:c r="B1361" s="21" t="str">
        <x:v>Synthetic Supplier 0389 LLC</x:v>
      </x:c>
      <x:c r="C1361" s="38" t="str">
        <x:f>"900 000 000 000 389"</x:f>
        <x:v>900 000 000 000 389</x:v>
      </x:c>
      <x:c r="D1361" s="21" t="str">
        <x:v>SYN-0389-INV-02</x:v>
      </x:c>
      <x:c r="E1361" s="39" t="n">
        <x:v>46043</x:v>
      </x:c>
      <x:c r="F1361" s="42" t="n">
        <x:v>26999.82</x:v>
      </x:c>
      <x:c r="G1361" s="42" t="n">
        <x:v>1349.99</x:v>
      </x:c>
      <x:c r="H1361" s="42" t="n">
        <x:v>61972.4</x:v>
      </x:c>
      <x:c r="I1361" s="39" t="n">
        <x:v>46096</x:v>
      </x:c>
    </x:row>
    <x:row r="1362">
      <x:c r="A1362" s="21" t="str">
        <x:v>SYN-0389</x:v>
      </x:c>
      <x:c r="B1362" s="21" t="str">
        <x:v>Synthetic Supplier 0389 LLC</x:v>
      </x:c>
      <x:c r="C1362" s="38" t="str">
        <x:f>"900 000 000 000 389"</x:f>
        <x:v>900 000 000 000 389</x:v>
      </x:c>
      <x:c r="D1362" s="21" t="str">
        <x:v>SYN-0389-INV-03</x:v>
      </x:c>
      <x:c r="E1362" s="39" t="n">
        <x:v>46090</x:v>
      </x:c>
      <x:c r="F1362" s="42" t="n">
        <x:v>22834.4</x:v>
      </x:c>
      <x:c r="G1362" s="42" t="n">
        <x:v>1141.72</x:v>
      </x:c>
      <x:c r="H1362" s="42" t="n">
        <x:v>61972.4</x:v>
      </x:c>
      <x:c r="I1362" s="39" t="n">
        <x:v>46096</x:v>
      </x:c>
    </x:row>
    <x:row r="1363">
      <x:c r="A1363" s="21" t="str">
        <x:v>SYN-0390</x:v>
      </x:c>
      <x:c r="B1363" s="21" t="str">
        <x:v>Synthetic Supplier 0390 LLC</x:v>
      </x:c>
      <x:c r="C1363" s="38" t="str">
        <x:f>"900 000 000 000 390"</x:f>
        <x:v>900 000 000 000 390</x:v>
      </x:c>
      <x:c r="D1363" s="21" t="str">
        <x:v>SYN-0390-INV-01</x:v>
      </x:c>
      <x:c r="E1363" s="39" t="n">
        <x:v>46009</x:v>
      </x:c>
      <x:c r="F1363" s="42" t="n">
        <x:v>22268.04</x:v>
      </x:c>
      <x:c r="G1363" s="42" t="n">
        <x:v>1113.4</x:v>
      </x:c>
      <x:c r="H1363" s="42" t="n">
        <x:v>75955.87</x:v>
      </x:c>
      <x:c r="I1363" s="39"/>
    </x:row>
    <x:row r="1364">
      <x:c r="A1364" s="21" t="str">
        <x:v>SYN-0390</x:v>
      </x:c>
      <x:c r="B1364" s="21" t="str">
        <x:v>Synthetic Supplier 0390 LLC</x:v>
      </x:c>
      <x:c r="C1364" s="38" t="str">
        <x:f>"900 000 000 000 390"</x:f>
        <x:v>900 000 000 000 390</x:v>
      </x:c>
      <x:c r="D1364" s="21" t="str">
        <x:v>SYN-0390-INV-02</x:v>
      </x:c>
      <x:c r="E1364" s="39" t="n">
        <x:v>46056</x:v>
      </x:c>
      <x:c r="F1364" s="42" t="n">
        <x:v>14297.6</x:v>
      </x:c>
      <x:c r="G1364" s="42" t="n">
        <x:v>714.88</x:v>
      </x:c>
      <x:c r="H1364" s="42" t="n">
        <x:v>75955.87</x:v>
      </x:c>
      <x:c r="I1364" s="39"/>
    </x:row>
    <x:row r="1365">
      <x:c r="A1365" s="21" t="str">
        <x:v>SYN-0390</x:v>
      </x:c>
      <x:c r="B1365" s="21" t="str">
        <x:v>Synthetic Supplier 0390 LLC</x:v>
      </x:c>
      <x:c r="C1365" s="38" t="str">
        <x:f>"900 000 000 000 390"</x:f>
        <x:v>900 000 000 000 390</x:v>
      </x:c>
      <x:c r="D1365" s="21" t="str">
        <x:v>SYN-0390-INV-03</x:v>
      </x:c>
      <x:c r="E1365" s="39" t="n">
        <x:v>46103</x:v>
      </x:c>
      <x:c r="F1365" s="42" t="n">
        <x:v>29605.97</x:v>
      </x:c>
      <x:c r="G1365" s="42" t="n">
        <x:v>1480.3</x:v>
      </x:c>
      <x:c r="H1365" s="42" t="n">
        <x:v>75955.87</x:v>
      </x:c>
      <x:c r="I1365" s="39"/>
    </x:row>
    <x:row r="1366">
      <x:c r="A1366" s="21" t="str">
        <x:v>SYN-0390</x:v>
      </x:c>
      <x:c r="B1366" s="21" t="str">
        <x:v>Synthetic Supplier 0390 LLC</x:v>
      </x:c>
      <x:c r="C1366" s="38" t="str">
        <x:f>"900 000 000 000 390"</x:f>
        <x:v>900 000 000 000 390</x:v>
      </x:c>
      <x:c r="D1366" s="21" t="str">
        <x:v>SYN-0390-INV-04</x:v>
      </x:c>
      <x:c r="E1366" s="39" t="n">
        <x:v>46150</x:v>
      </x:c>
      <x:c r="F1366" s="42" t="n">
        <x:v>18223.8</x:v>
      </x:c>
      <x:c r="G1366" s="42" t="n">
        <x:v>911.19</x:v>
      </x:c>
      <x:c r="H1366" s="42" t="n">
        <x:v>75955.87</x:v>
      </x:c>
      <x:c r="I1366" s="39"/>
    </x:row>
    <x:row r="1367">
      <x:c r="A1367" s="21" t="str">
        <x:v>SYN-0391</x:v>
      </x:c>
      <x:c r="B1367" s="21" t="str">
        <x:v>Synthetic Supplier 0391 LLC</x:v>
      </x:c>
      <x:c r="C1367" s="38" t="str">
        <x:f>"900 000 000 000 391"</x:f>
        <x:v>900 000 000 000 391</x:v>
      </x:c>
      <x:c r="D1367" s="21" t="str">
        <x:v>SYN-0391-INV-01</x:v>
      </x:c>
      <x:c r="E1367" s="39" t="n">
        <x:v>46022</x:v>
      </x:c>
      <x:c r="F1367" s="42" t="n">
        <x:v>22967.02</x:v>
      </x:c>
      <x:c r="G1367" s="42" t="n">
        <x:v>1148.35</x:v>
      </x:c>
      <x:c r="H1367" s="42" t="n">
        <x:v>71817.04</x:v>
      </x:c>
      <x:c r="I1367" s="39" t="n">
        <x:v>46159</x:v>
      </x:c>
    </x:row>
    <x:row r="1368">
      <x:c r="A1368" s="21" t="str">
        <x:v>SYN-0391</x:v>
      </x:c>
      <x:c r="B1368" s="21" t="str">
        <x:v>Synthetic Supplier 0391 LLC</x:v>
      </x:c>
      <x:c r="C1368" s="38" t="str">
        <x:f>"900 000 000 000 391"</x:f>
        <x:v>900 000 000 000 391</x:v>
      </x:c>
      <x:c r="D1368" s="21" t="str">
        <x:v>SYN-0391-INV-02</x:v>
      </x:c>
      <x:c r="E1368" s="39" t="n">
        <x:v>46069</x:v>
      </x:c>
      <x:c r="F1368" s="42" t="n">
        <x:v>13973.73</x:v>
      </x:c>
      <x:c r="G1368" s="42" t="n">
        <x:v>698.69</x:v>
      </x:c>
      <x:c r="H1368" s="42" t="n">
        <x:v>71817.04</x:v>
      </x:c>
      <x:c r="I1368" s="39" t="n">
        <x:v>46159</x:v>
      </x:c>
    </x:row>
    <x:row r="1369">
      <x:c r="A1369" s="21" t="str">
        <x:v>SYN-0391</x:v>
      </x:c>
      <x:c r="B1369" s="21" t="str">
        <x:v>Synthetic Supplier 0391 LLC</x:v>
      </x:c>
      <x:c r="C1369" s="38" t="str">
        <x:f>"900 000 000 000 391"</x:f>
        <x:v>900 000 000 000 391</x:v>
      </x:c>
      <x:c r="D1369" s="21" t="str">
        <x:v>SYN-0391-INV-03</x:v>
      </x:c>
      <x:c r="E1369" s="39" t="n">
        <x:v>46116</x:v>
      </x:c>
      <x:c r="F1369" s="42" t="n">
        <x:v>12300.15</x:v>
      </x:c>
      <x:c r="G1369" s="42" t="n">
        <x:v>615.01</x:v>
      </x:c>
      <x:c r="H1369" s="42" t="n">
        <x:v>71817.04</x:v>
      </x:c>
      <x:c r="I1369" s="39" t="n">
        <x:v>46159</x:v>
      </x:c>
    </x:row>
    <x:row r="1370">
      <x:c r="A1370" s="21" t="str">
        <x:v>SYN-0391</x:v>
      </x:c>
      <x:c r="B1370" s="21" t="str">
        <x:v>Synthetic Supplier 0391 LLC</x:v>
      </x:c>
      <x:c r="C1370" s="38" t="str">
        <x:f>"900 000 000 000 391"</x:f>
        <x:v>900 000 000 000 391</x:v>
      </x:c>
      <x:c r="D1370" s="21" t="str">
        <x:v>SYN-0391-INV-04</x:v>
      </x:c>
      <x:c r="E1370" s="39" t="n">
        <x:v>46163</x:v>
      </x:c>
      <x:c r="F1370" s="42" t="n">
        <x:v>19275.17</x:v>
      </x:c>
      <x:c r="G1370" s="42" t="n">
        <x:v>963.76</x:v>
      </x:c>
      <x:c r="H1370" s="42" t="n">
        <x:v>71817.04</x:v>
      </x:c>
      <x:c r="I1370" s="39" t="n">
        <x:v>46159</x:v>
      </x:c>
    </x:row>
    <x:row r="1371">
      <x:c r="A1371" s="21" t="str">
        <x:v>SYN-0391</x:v>
      </x:c>
      <x:c r="B1371" s="21" t="str">
        <x:v>Synthetic Supplier 0391 LLC</x:v>
      </x:c>
      <x:c r="C1371" s="38" t="str">
        <x:f>"900 000 000 000 391"</x:f>
        <x:v>900 000 000 000 391</x:v>
      </x:c>
      <x:c r="D1371" s="21" t="str">
        <x:v>SYN-0391-INV-05</x:v>
      </x:c>
      <x:c r="E1371" s="39" t="n">
        <x:v>46210</x:v>
      </x:c>
      <x:c r="F1371" s="42" t="n">
        <x:v>11280.64</x:v>
      </x:c>
      <x:c r="G1371" s="42" t="n">
        <x:v>564.03</x:v>
      </x:c>
      <x:c r="H1371" s="42" t="n">
        <x:v>71817.04</x:v>
      </x:c>
      <x:c r="I1371" s="39" t="n">
        <x:v>46159</x:v>
      </x:c>
    </x:row>
    <x:row r="1372">
      <x:c r="A1372" s="21" t="str">
        <x:v>SYN-0392</x:v>
      </x:c>
      <x:c r="B1372" s="21" t="str">
        <x:v>Synthetic Supplier 0392 LLC</x:v>
      </x:c>
      <x:c r="C1372" s="38" t="str">
        <x:f>"900 000 000 000 392"</x:f>
        <x:v>900 000 000 000 392</x:v>
      </x:c>
      <x:c r="D1372" s="21" t="str">
        <x:v>SYN-0392-INV-01</x:v>
      </x:c>
      <x:c r="E1372" s="39" t="n">
        <x:v>46035</x:v>
      </x:c>
      <x:c r="F1372" s="42" t="n">
        <x:v>50490.65</x:v>
      </x:c>
      <x:c r="G1372" s="42" t="n">
        <x:v>2524.53</x:v>
      </x:c>
      <x:c r="H1372" s="42" t="n">
        <x:v>98815.52</x:v>
      </x:c>
      <x:c r="I1372" s="39" t="n">
        <x:v>45826</x:v>
      </x:c>
    </x:row>
    <x:row r="1373">
      <x:c r="A1373" s="21" t="str">
        <x:v>SYN-0392</x:v>
      </x:c>
      <x:c r="B1373" s="21" t="str">
        <x:v>Synthetic Supplier 0392 LLC</x:v>
      </x:c>
      <x:c r="C1373" s="38" t="str">
        <x:f>"900 000 000 000 392"</x:f>
        <x:v>900 000 000 000 392</x:v>
      </x:c>
      <x:c r="D1373" s="21" t="str">
        <x:v>SYN-0392-INV-02</x:v>
      </x:c>
      <x:c r="E1373" s="39" t="n">
        <x:v>46082</x:v>
      </x:c>
      <x:c r="F1373" s="42" t="n">
        <x:v>35435.89</x:v>
      </x:c>
      <x:c r="G1373" s="42" t="n">
        <x:v>1771.79</x:v>
      </x:c>
      <x:c r="H1373" s="42" t="n">
        <x:v>98815.52</x:v>
      </x:c>
      <x:c r="I1373" s="39" t="n">
        <x:v>45826</x:v>
      </x:c>
    </x:row>
    <x:row r="1374">
      <x:c r="A1374" s="21" t="str">
        <x:v>SYN-0393</x:v>
      </x:c>
      <x:c r="B1374" s="21" t="str">
        <x:v>Synthetic Supplier 0393 LLC</x:v>
      </x:c>
      <x:c r="C1374" s="38" t="str">
        <x:f>"900 000 000 000 393"</x:f>
        <x:v>900 000 000 000 393</x:v>
      </x:c>
      <x:c r="D1374" s="21" t="str">
        <x:v>SYN-0393-INV-01</x:v>
      </x:c>
      <x:c r="E1374" s="39" t="n">
        <x:v>46048</x:v>
      </x:c>
      <x:c r="F1374" s="42" t="n">
        <x:v>19904.51</x:v>
      </x:c>
      <x:c r="G1374" s="42" t="n">
        <x:v>995.23</x:v>
      </x:c>
      <x:c r="H1374" s="42" t="n">
        <x:v>66576.76</x:v>
      </x:c>
      <x:c r="I1374" s="39" t="n">
        <x:v>46222</x:v>
      </x:c>
    </x:row>
    <x:row r="1375">
      <x:c r="A1375" s="21" t="str">
        <x:v>SYN-0393</x:v>
      </x:c>
      <x:c r="B1375" s="21" t="str">
        <x:v>Synthetic Supplier 0393 LLC</x:v>
      </x:c>
      <x:c r="C1375" s="38" t="str">
        <x:f>"900 000 000 000 393"</x:f>
        <x:v>900 000 000 000 393</x:v>
      </x:c>
      <x:c r="D1375" s="21" t="str">
        <x:v>SYN-0393-INV-02</x:v>
      </x:c>
      <x:c r="E1375" s="39" t="n">
        <x:v>46095</x:v>
      </x:c>
      <x:c r="F1375" s="42" t="n">
        <x:v>21261.53</x:v>
      </x:c>
      <x:c r="G1375" s="42" t="n">
        <x:v>1063.08</x:v>
      </x:c>
      <x:c r="H1375" s="42" t="n">
        <x:v>66576.76</x:v>
      </x:c>
      <x:c r="I1375" s="39" t="n">
        <x:v>46222</x:v>
      </x:c>
    </x:row>
    <x:row r="1376">
      <x:c r="A1376" s="21" t="str">
        <x:v>SYN-0393</x:v>
      </x:c>
      <x:c r="B1376" s="21" t="str">
        <x:v>Synthetic Supplier 0393 LLC</x:v>
      </x:c>
      <x:c r="C1376" s="38" t="str">
        <x:f>"900 000 000 000 393"</x:f>
        <x:v>900 000 000 000 393</x:v>
      </x:c>
      <x:c r="D1376" s="21" t="str">
        <x:v>SYN-0393-INV-03</x:v>
      </x:c>
      <x:c r="E1376" s="39" t="n">
        <x:v>46142</x:v>
      </x:c>
      <x:c r="F1376" s="42" t="n">
        <x:v>32808.14</x:v>
      </x:c>
      <x:c r="G1376" s="42" t="n">
        <x:v>1640.41</x:v>
      </x:c>
      <x:c r="H1376" s="42" t="n">
        <x:v>66576.76</x:v>
      </x:c>
      <x:c r="I1376" s="39" t="n">
        <x:v>46222</x:v>
      </x:c>
    </x:row>
    <x:row r="1377">
      <x:c r="A1377" s="21" t="str">
        <x:v>SYN-0394</x:v>
      </x:c>
      <x:c r="B1377" s="21" t="str">
        <x:v>Synthetic Supplier 0394 LLC</x:v>
      </x:c>
      <x:c r="C1377" s="38" t="str">
        <x:f>"900 000 000 000 394"</x:f>
        <x:v>900 000 000 000 394</x:v>
      </x:c>
      <x:c r="D1377" s="21" t="str">
        <x:v>SYN-0394-INV-01</x:v>
      </x:c>
      <x:c r="E1377" s="39" t="n">
        <x:v>46061</x:v>
      </x:c>
      <x:c r="F1377" s="42" t="n">
        <x:v>19198.17</x:v>
      </x:c>
      <x:c r="G1377" s="42" t="n">
        <x:v>959.91</x:v>
      </x:c>
      <x:c r="H1377" s="42" t="n">
        <x:v>75984.15</x:v>
      </x:c>
      <x:c r="I1377" s="39" t="n">
        <x:v>45889</x:v>
      </x:c>
    </x:row>
    <x:row r="1378">
      <x:c r="A1378" s="21" t="str">
        <x:v>SYN-0394</x:v>
      </x:c>
      <x:c r="B1378" s="21" t="str">
        <x:v>Synthetic Supplier 0394 LLC</x:v>
      </x:c>
      <x:c r="C1378" s="38" t="str">
        <x:f>"900 000 000 000 394"</x:f>
        <x:v>900 000 000 000 394</x:v>
      </x:c>
      <x:c r="D1378" s="21" t="str">
        <x:v>SYN-0394-INV-02</x:v>
      </x:c>
      <x:c r="E1378" s="39" t="n">
        <x:v>46108</x:v>
      </x:c>
      <x:c r="F1378" s="42" t="n">
        <x:v>13536.89</x:v>
      </x:c>
      <x:c r="G1378" s="42" t="n">
        <x:v>676.84</x:v>
      </x:c>
      <x:c r="H1378" s="42" t="n">
        <x:v>75984.15</x:v>
      </x:c>
      <x:c r="I1378" s="39" t="n">
        <x:v>45889</x:v>
      </x:c>
    </x:row>
    <x:row r="1379">
      <x:c r="A1379" s="21" t="str">
        <x:v>SYN-0394</x:v>
      </x:c>
      <x:c r="B1379" s="21" t="str">
        <x:v>Synthetic Supplier 0394 LLC</x:v>
      </x:c>
      <x:c r="C1379" s="38" t="str">
        <x:f>"900 000 000 000 394"</x:f>
        <x:v>900 000 000 000 394</x:v>
      </x:c>
      <x:c r="D1379" s="21" t="str">
        <x:v>SYN-0394-INV-03</x:v>
      </x:c>
      <x:c r="E1379" s="39" t="n">
        <x:v>46155</x:v>
      </x:c>
      <x:c r="F1379" s="42" t="n">
        <x:v>26132.06</x:v>
      </x:c>
      <x:c r="G1379" s="42" t="n">
        <x:v>1306.6</x:v>
      </x:c>
      <x:c r="H1379" s="42" t="n">
        <x:v>75984.15</x:v>
      </x:c>
      <x:c r="I1379" s="39" t="n">
        <x:v>45889</x:v>
      </x:c>
    </x:row>
    <x:row r="1380">
      <x:c r="A1380" s="21" t="str">
        <x:v>SYN-0394</x:v>
      </x:c>
      <x:c r="B1380" s="21" t="str">
        <x:v>Synthetic Supplier 0394 LLC</x:v>
      </x:c>
      <x:c r="C1380" s="38" t="str">
        <x:f>"900 000 000 000 394"</x:f>
        <x:v>900 000 000 000 394</x:v>
      </x:c>
      <x:c r="D1380" s="21" t="str">
        <x:v>SYN-0394-INV-04</x:v>
      </x:c>
      <x:c r="E1380" s="39" t="n">
        <x:v>46202</x:v>
      </x:c>
      <x:c r="F1380" s="42" t="n">
        <x:v>25559.71</x:v>
      </x:c>
      <x:c r="G1380" s="42" t="n">
        <x:v>1277.99</x:v>
      </x:c>
      <x:c r="H1380" s="42" t="n">
        <x:v>75984.15</x:v>
      </x:c>
      <x:c r="I1380" s="39" t="n">
        <x:v>45889</x:v>
      </x:c>
    </x:row>
    <x:row r="1381">
      <x:c r="A1381" s="21" t="str">
        <x:v>SYN-0395</x:v>
      </x:c>
      <x:c r="B1381" s="21" t="str">
        <x:v>Synthetic Supplier 0395 LLC</x:v>
      </x:c>
      <x:c r="C1381" s="38" t="str">
        <x:f>"900 000 000 000 395"</x:f>
        <x:v>900 000 000 000 395</x:v>
      </x:c>
      <x:c r="D1381" s="21" t="str">
        <x:v>SYN-0395-INV-01</x:v>
      </x:c>
      <x:c r="E1381" s="39" t="n">
        <x:v>46074</x:v>
      </x:c>
      <x:c r="F1381" s="42" t="n">
        <x:v>9376.99</x:v>
      </x:c>
      <x:c r="G1381" s="42" t="n">
        <x:v>468.85</x:v>
      </x:c>
      <x:c r="H1381" s="42" t="n">
        <x:v>35439.58</x:v>
      </x:c>
      <x:c r="I1381" s="39"/>
    </x:row>
    <x:row r="1382">
      <x:c r="A1382" s="21" t="str">
        <x:v>SYN-0395</x:v>
      </x:c>
      <x:c r="B1382" s="21" t="str">
        <x:v>Synthetic Supplier 0395 LLC</x:v>
      </x:c>
      <x:c r="C1382" s="38" t="str">
        <x:f>"900 000 000 000 395"</x:f>
        <x:v>900 000 000 000 395</x:v>
      </x:c>
      <x:c r="D1382" s="21" t="str">
        <x:v>SYN-0395-INV-02</x:v>
      </x:c>
      <x:c r="E1382" s="39" t="n">
        <x:v>46121</x:v>
      </x:c>
      <x:c r="F1382" s="42" t="n">
        <x:v>9735.88</x:v>
      </x:c>
      <x:c r="G1382" s="42" t="n">
        <x:v>486.79</x:v>
      </x:c>
      <x:c r="H1382" s="42" t="n">
        <x:v>35439.58</x:v>
      </x:c>
      <x:c r="I1382" s="39"/>
    </x:row>
    <x:row r="1383">
      <x:c r="A1383" s="21" t="str">
        <x:v>SYN-0395</x:v>
      </x:c>
      <x:c r="B1383" s="21" t="str">
        <x:v>Synthetic Supplier 0395 LLC</x:v>
      </x:c>
      <x:c r="C1383" s="38" t="str">
        <x:f>"900 000 000 000 395"</x:f>
        <x:v>900 000 000 000 395</x:v>
      </x:c>
      <x:c r="D1383" s="21" t="str">
        <x:v>SYN-0395-INV-03</x:v>
      </x:c>
      <x:c r="E1383" s="39" t="n">
        <x:v>46168</x:v>
      </x:c>
      <x:c r="F1383" s="42" t="n">
        <x:v>6186.15</x:v>
      </x:c>
      <x:c r="G1383" s="42" t="n">
        <x:v>309.31</x:v>
      </x:c>
      <x:c r="H1383" s="42" t="n">
        <x:v>35439.58</x:v>
      </x:c>
      <x:c r="I1383" s="39"/>
    </x:row>
    <x:row r="1384">
      <x:c r="A1384" s="21" t="str">
        <x:v>SYN-0395</x:v>
      </x:c>
      <x:c r="B1384" s="21" t="str">
        <x:v>Synthetic Supplier 0395 LLC</x:v>
      </x:c>
      <x:c r="C1384" s="38" t="str">
        <x:f>"900 000 000 000 395"</x:f>
        <x:v>900 000 000 000 395</x:v>
      </x:c>
      <x:c r="D1384" s="21" t="str">
        <x:v>SYN-0395-INV-04</x:v>
      </x:c>
      <x:c r="E1384" s="39" t="n">
        <x:v>46215</x:v>
      </x:c>
      <x:c r="F1384" s="42" t="n">
        <x:v>8959.28</x:v>
      </x:c>
      <x:c r="G1384" s="42" t="n">
        <x:v>447.96</x:v>
      </x:c>
      <x:c r="H1384" s="42" t="n">
        <x:v>35439.58</x:v>
      </x:c>
      <x:c r="I1384" s="39"/>
    </x:row>
    <x:row r="1385">
      <x:c r="A1385" s="21" t="str">
        <x:v>SYN-0395</x:v>
      </x:c>
      <x:c r="B1385" s="21" t="str">
        <x:v>Synthetic Supplier 0395 LLC</x:v>
      </x:c>
      <x:c r="C1385" s="38" t="str">
        <x:f>"900 000 000 000 395"</x:f>
        <x:v>900 000 000 000 395</x:v>
      </x:c>
      <x:c r="D1385" s="21" t="str">
        <x:v>SYN-0395-INV-05</x:v>
      </x:c>
      <x:c r="E1385" s="39" t="n">
        <x:v>46262</x:v>
      </x:c>
      <x:c r="F1385" s="42" t="n">
        <x:v>5119.02</x:v>
      </x:c>
      <x:c r="G1385" s="42" t="n">
        <x:v>255.95</x:v>
      </x:c>
      <x:c r="H1385" s="42" t="n">
        <x:v>35439.58</x:v>
      </x:c>
      <x:c r="I1385" s="39"/>
    </x:row>
    <x:row r="1386">
      <x:c r="A1386" s="21" t="str">
        <x:v>SYN-0396</x:v>
      </x:c>
      <x:c r="B1386" s="21" t="str">
        <x:v>Synthetic Supplier 0396 LLC</x:v>
      </x:c>
      <x:c r="C1386" s="38" t="str">
        <x:f>"900 000 000 000 396"</x:f>
        <x:v>900 000 000 000 396</x:v>
      </x:c>
      <x:c r="D1386" s="21" t="str">
        <x:v>SYN-0396-INV-01</x:v>
      </x:c>
      <x:c r="E1386" s="39" t="n">
        <x:v>46087</x:v>
      </x:c>
      <x:c r="F1386" s="42" t="n">
        <x:v>29387.25</x:v>
      </x:c>
      <x:c r="G1386" s="42" t="n">
        <x:v>1469.36</x:v>
      </x:c>
      <x:c r="H1386" s="42" t="n">
        <x:v>55893.85</x:v>
      </x:c>
      <x:c r="I1386" s="39" t="n">
        <x:v>45679</x:v>
      </x:c>
    </x:row>
    <x:row r="1387">
      <x:c r="A1387" s="21" t="str">
        <x:v>SYN-0396</x:v>
      </x:c>
      <x:c r="B1387" s="21" t="str">
        <x:v>Synthetic Supplier 0396 LLC</x:v>
      </x:c>
      <x:c r="C1387" s="38" t="str">
        <x:f>"900 000 000 000 396"</x:f>
        <x:v>900 000 000 000 396</x:v>
      </x:c>
      <x:c r="D1387" s="21" t="str">
        <x:v>SYN-0396-INV-02</x:v>
      </x:c>
      <x:c r="E1387" s="39" t="n">
        <x:v>46134</x:v>
      </x:c>
      <x:c r="F1387" s="42" t="n">
        <x:v>32717.03</x:v>
      </x:c>
      <x:c r="G1387" s="42" t="n">
        <x:v>1635.85</x:v>
      </x:c>
      <x:c r="H1387" s="42" t="n">
        <x:v>55893.85</x:v>
      </x:c>
      <x:c r="I1387" s="39" t="n">
        <x:v>45679</x:v>
      </x:c>
    </x:row>
    <x:row r="1388">
      <x:c r="A1388" s="21" t="str">
        <x:v>SYN-0397</x:v>
      </x:c>
      <x:c r="B1388" s="21" t="str">
        <x:v>Synthetic Supplier 0397 LLC</x:v>
      </x:c>
      <x:c r="C1388" s="38" t="str">
        <x:f>"900 000 000 000 397"</x:f>
        <x:v>900 000 000 000 397</x:v>
      </x:c>
      <x:c r="D1388" s="21" t="str">
        <x:v>SYN-0397-INV-01</x:v>
      </x:c>
      <x:c r="E1388" s="39" t="n">
        <x:v>46100</x:v>
      </x:c>
      <x:c r="F1388" s="42" t="n">
        <x:v>23879.31</x:v>
      </x:c>
      <x:c r="G1388" s="42" t="n">
        <x:v>1193.97</x:v>
      </x:c>
      <x:c r="H1388" s="42" t="n">
        <x:v>62831.31</x:v>
      </x:c>
      <x:c r="I1388" s="39" t="n">
        <x:v>46076</x:v>
      </x:c>
    </x:row>
    <x:row r="1389">
      <x:c r="A1389" s="21" t="str">
        <x:v>SYN-0397</x:v>
      </x:c>
      <x:c r="B1389" s="21" t="str">
        <x:v>Synthetic Supplier 0397 LLC</x:v>
      </x:c>
      <x:c r="C1389" s="38" t="str">
        <x:f>"900 000 000 000 397"</x:f>
        <x:v>900 000 000 000 397</x:v>
      </x:c>
      <x:c r="D1389" s="21" t="str">
        <x:v>SYN-0397-INV-02</x:v>
      </x:c>
      <x:c r="E1389" s="39" t="n">
        <x:v>46147</x:v>
      </x:c>
      <x:c r="F1389" s="42" t="n">
        <x:v>20247.38</x:v>
      </x:c>
      <x:c r="G1389" s="42" t="n">
        <x:v>1012.37</x:v>
      </x:c>
      <x:c r="H1389" s="42" t="n">
        <x:v>62831.31</x:v>
      </x:c>
      <x:c r="I1389" s="39" t="n">
        <x:v>46076</x:v>
      </x:c>
    </x:row>
    <x:row r="1390">
      <x:c r="A1390" s="21" t="str">
        <x:v>SYN-0397</x:v>
      </x:c>
      <x:c r="B1390" s="21" t="str">
        <x:v>Synthetic Supplier 0397 LLC</x:v>
      </x:c>
      <x:c r="C1390" s="38" t="str">
        <x:f>"900 000 000 000 397"</x:f>
        <x:v>900 000 000 000 397</x:v>
      </x:c>
      <x:c r="D1390" s="21" t="str">
        <x:v>SYN-0397-INV-03</x:v>
      </x:c>
      <x:c r="E1390" s="39" t="n">
        <x:v>46194</x:v>
      </x:c>
      <x:c r="F1390" s="42" t="n">
        <x:v>25685.87</x:v>
      </x:c>
      <x:c r="G1390" s="42" t="n">
        <x:v>1284.29</x:v>
      </x:c>
      <x:c r="H1390" s="42" t="n">
        <x:v>62831.31</x:v>
      </x:c>
      <x:c r="I1390" s="39" t="n">
        <x:v>46076</x:v>
      </x:c>
    </x:row>
    <x:row r="1391">
      <x:c r="A1391" s="21" t="str">
        <x:v>SYN-0398</x:v>
      </x:c>
      <x:c r="B1391" s="21" t="str">
        <x:v>Synthetic Supplier 0398 LLC</x:v>
      </x:c>
      <x:c r="C1391" s="38" t="str">
        <x:f>"900 000 000 000 398"</x:f>
        <x:v>900 000 000 000 398</x:v>
      </x:c>
      <x:c r="D1391" s="21" t="str">
        <x:v>SYN-0398-INV-01</x:v>
      </x:c>
      <x:c r="E1391" s="39" t="n">
        <x:v>46113</x:v>
      </x:c>
      <x:c r="F1391" s="42" t="n">
        <x:v>14536.63</x:v>
      </x:c>
      <x:c r="G1391" s="42" t="n">
        <x:v>726.83</x:v>
      </x:c>
      <x:c r="H1391" s="42" t="n">
        <x:v>44603.09</x:v>
      </x:c>
      <x:c r="I1391" s="39" t="n">
        <x:v>45740</x:v>
      </x:c>
    </x:row>
    <x:row r="1392">
      <x:c r="A1392" s="21" t="str">
        <x:v>SYN-0398</x:v>
      </x:c>
      <x:c r="B1392" s="21" t="str">
        <x:v>Synthetic Supplier 0398 LLC</x:v>
      </x:c>
      <x:c r="C1392" s="38" t="str">
        <x:f>"900 000 000 000 398"</x:f>
        <x:v>900 000 000 000 398</x:v>
      </x:c>
      <x:c r="D1392" s="21" t="str">
        <x:v>SYN-0398-INV-02</x:v>
      </x:c>
      <x:c r="E1392" s="39" t="n">
        <x:v>46160</x:v>
      </x:c>
      <x:c r="F1392" s="42" t="n">
        <x:v>12409.94</x:v>
      </x:c>
      <x:c r="G1392" s="42" t="n">
        <x:v>620.5</x:v>
      </x:c>
      <x:c r="H1392" s="42" t="n">
        <x:v>44603.09</x:v>
      </x:c>
      <x:c r="I1392" s="39" t="n">
        <x:v>45740</x:v>
      </x:c>
    </x:row>
    <x:row r="1393">
      <x:c r="A1393" s="21" t="str">
        <x:v>SYN-0398</x:v>
      </x:c>
      <x:c r="B1393" s="21" t="str">
        <x:v>Synthetic Supplier 0398 LLC</x:v>
      </x:c>
      <x:c r="C1393" s="38" t="str">
        <x:f>"900 000 000 000 398"</x:f>
        <x:v>900 000 000 000 398</x:v>
      </x:c>
      <x:c r="D1393" s="21" t="str">
        <x:v>SYN-0398-INV-03</x:v>
      </x:c>
      <x:c r="E1393" s="39" t="n">
        <x:v>46207</x:v>
      </x:c>
      <x:c r="F1393" s="42" t="n">
        <x:v>14227.13</x:v>
      </x:c>
      <x:c r="G1393" s="42" t="n">
        <x:v>711.36</x:v>
      </x:c>
      <x:c r="H1393" s="42" t="n">
        <x:v>44603.09</x:v>
      </x:c>
      <x:c r="I1393" s="39" t="n">
        <x:v>45740</x:v>
      </x:c>
    </x:row>
    <x:row r="1394">
      <x:c r="A1394" s="21" t="str">
        <x:v>SYN-0398</x:v>
      </x:c>
      <x:c r="B1394" s="21" t="str">
        <x:v>Synthetic Supplier 0398 LLC</x:v>
      </x:c>
      <x:c r="C1394" s="38" t="str">
        <x:f>"900 000 000 000 398"</x:f>
        <x:v>900 000 000 000 398</x:v>
      </x:c>
      <x:c r="D1394" s="21" t="str">
        <x:v>SYN-0398-INV-04</x:v>
      </x:c>
      <x:c r="E1394" s="39" t="n">
        <x:v>46254</x:v>
      </x:c>
      <x:c r="F1394" s="42" t="n">
        <x:v>8385.29</x:v>
      </x:c>
      <x:c r="G1394" s="42" t="n">
        <x:v>419.26</x:v>
      </x:c>
      <x:c r="H1394" s="42" t="n">
        <x:v>44603.09</x:v>
      </x:c>
      <x:c r="I1394" s="39" t="n">
        <x:v>45740</x:v>
      </x:c>
    </x:row>
    <x:row r="1395">
      <x:c r="A1395" s="21" t="str">
        <x:v>SYN-0399</x:v>
      </x:c>
      <x:c r="B1395" s="21" t="str">
        <x:v>Synthetic Supplier 0399 LLC</x:v>
      </x:c>
      <x:c r="C1395" s="38" t="str">
        <x:f>"900 000 000 000 399"</x:f>
        <x:v>900 000 000 000 399</x:v>
      </x:c>
      <x:c r="D1395" s="21" t="str">
        <x:v>SYN-0399-INV-01</x:v>
      </x:c>
      <x:c r="E1395" s="39" t="n">
        <x:v>46126</x:v>
      </x:c>
      <x:c r="F1395" s="42" t="n">
        <x:v>13171.41</x:v>
      </x:c>
      <x:c r="G1395" s="42" t="n">
        <x:v>658.57</x:v>
      </x:c>
      <x:c r="H1395" s="42" t="n">
        <x:v>96305.98</x:v>
      </x:c>
      <x:c r="I1395" s="39" t="n">
        <x:v>46137</x:v>
      </x:c>
    </x:row>
    <x:row r="1396">
      <x:c r="A1396" s="21" t="str">
        <x:v>SYN-0399</x:v>
      </x:c>
      <x:c r="B1396" s="21" t="str">
        <x:v>Synthetic Supplier 0399 LLC</x:v>
      </x:c>
      <x:c r="C1396" s="38" t="str">
        <x:f>"900 000 000 000 399"</x:f>
        <x:v>900 000 000 000 399</x:v>
      </x:c>
      <x:c r="D1396" s="21" t="str">
        <x:v>SYN-0399-INV-02</x:v>
      </x:c>
      <x:c r="E1396" s="39" t="n">
        <x:v>46173</x:v>
      </x:c>
      <x:c r="F1396" s="42" t="n">
        <x:v>21711.46</x:v>
      </x:c>
      <x:c r="G1396" s="42" t="n">
        <x:v>1085.57</x:v>
      </x:c>
      <x:c r="H1396" s="42" t="n">
        <x:v>96305.98</x:v>
      </x:c>
      <x:c r="I1396" s="39" t="n">
        <x:v>46137</x:v>
      </x:c>
    </x:row>
    <x:row r="1397">
      <x:c r="A1397" s="21" t="str">
        <x:v>SYN-0399</x:v>
      </x:c>
      <x:c r="B1397" s="21" t="str">
        <x:v>Synthetic Supplier 0399 LLC</x:v>
      </x:c>
      <x:c r="C1397" s="38" t="str">
        <x:f>"900 000 000 000 399"</x:f>
        <x:v>900 000 000 000 399</x:v>
      </x:c>
      <x:c r="D1397" s="21" t="str">
        <x:v>SYN-0399-INV-03</x:v>
      </x:c>
      <x:c r="E1397" s="39" t="n">
        <x:v>46220</x:v>
      </x:c>
      <x:c r="F1397" s="42" t="n">
        <x:v>20239.94</x:v>
      </x:c>
      <x:c r="G1397" s="42" t="n">
        <x:v>1012</x:v>
      </x:c>
      <x:c r="H1397" s="42" t="n">
        <x:v>96305.98</x:v>
      </x:c>
      <x:c r="I1397" s="39" t="n">
        <x:v>46137</x:v>
      </x:c>
    </x:row>
    <x:row r="1398">
      <x:c r="A1398" s="21" t="str">
        <x:v>SYN-0399</x:v>
      </x:c>
      <x:c r="B1398" s="21" t="str">
        <x:v>Synthetic Supplier 0399 LLC</x:v>
      </x:c>
      <x:c r="C1398" s="38" t="str">
        <x:f>"900 000 000 000 399"</x:f>
        <x:v>900 000 000 000 399</x:v>
      </x:c>
      <x:c r="D1398" s="21" t="str">
        <x:v>SYN-0399-INV-04</x:v>
      </x:c>
      <x:c r="E1398" s="39" t="n">
        <x:v>46267</x:v>
      </x:c>
      <x:c r="F1398" s="42" t="n">
        <x:v>13632.99</x:v>
      </x:c>
      <x:c r="G1398" s="42" t="n">
        <x:v>681.65</x:v>
      </x:c>
      <x:c r="H1398" s="42" t="n">
        <x:v>96305.98</x:v>
      </x:c>
      <x:c r="I1398" s="39" t="n">
        <x:v>46137</x:v>
      </x:c>
    </x:row>
    <x:row r="1399">
      <x:c r="A1399" s="21" t="str">
        <x:v>SYN-0399</x:v>
      </x:c>
      <x:c r="B1399" s="21" t="str">
        <x:v>Synthetic Supplier 0399 LLC</x:v>
      </x:c>
      <x:c r="C1399" s="38" t="str">
        <x:f>"900 000 000 000 399"</x:f>
        <x:v>900 000 000 000 399</x:v>
      </x:c>
      <x:c r="D1399" s="21" t="str">
        <x:v>SYN-0399-INV-05</x:v>
      </x:c>
      <x:c r="E1399" s="39" t="n">
        <x:v>45954</x:v>
      </x:c>
      <x:c r="F1399" s="42" t="n">
        <x:v>14988.53</x:v>
      </x:c>
      <x:c r="G1399" s="42" t="n">
        <x:v>749.43</x:v>
      </x:c>
      <x:c r="H1399" s="42" t="n">
        <x:v>96305.98</x:v>
      </x:c>
      <x:c r="I1399" s="39" t="n">
        <x:v>46137</x:v>
      </x:c>
    </x:row>
    <x:row r="1400">
      <x:c r="A1400" s="21" t="str">
        <x:v>SYN-0400</x:v>
      </x:c>
      <x:c r="B1400" s="21" t="str">
        <x:v>Synthetic Supplier 0400 LLC</x:v>
      </x:c>
      <x:c r="C1400" s="38" t="str">
        <x:f>"900 000 000 000 400"</x:f>
        <x:v>900 000 000 000 400</x:v>
      </x:c>
      <x:c r="D1400" s="21" t="str">
        <x:v>SYN-0400-INV-01</x:v>
      </x:c>
      <x:c r="E1400" s="39" t="n">
        <x:v>46139</x:v>
      </x:c>
      <x:c r="F1400" s="42" t="n">
        <x:v>45022.48</x:v>
      </x:c>
      <x:c r="G1400" s="42" t="n">
        <x:v>2251.12</x:v>
      </x:c>
      <x:c r="H1400" s="42" t="n">
        <x:v>74191.27</x:v>
      </x:c>
      <x:c r="I1400" s="39"/>
    </x:row>
    <x:row r="1401">
      <x:c r="A1401" s="21" t="str">
        <x:v>SYN-0400</x:v>
      </x:c>
      <x:c r="B1401" s="21" t="str">
        <x:v>Synthetic Supplier 0400 LLC</x:v>
      </x:c>
      <x:c r="C1401" s="38" t="str">
        <x:f>"900 000 000 000 400"</x:f>
        <x:v>900 000 000 000 400</x:v>
      </x:c>
      <x:c r="D1401" s="21" t="str">
        <x:v>SYN-0400-INV-02</x:v>
      </x:c>
      <x:c r="E1401" s="39" t="n">
        <x:v>46186</x:v>
      </x:c>
      <x:c r="F1401" s="42" t="n">
        <x:v>37412.26</x:v>
      </x:c>
      <x:c r="G1401" s="42" t="n">
        <x:v>1870.61</x:v>
      </x:c>
      <x:c r="H1401" s="42" t="n">
        <x:v>74191.27</x:v>
      </x:c>
      <x:c r="I1401" s="39"/>
    </x:row>
    <x:row r="1402">
      <x:c r="A1402" s="21" t="str">
        <x:v>SYN-0401</x:v>
      </x:c>
      <x:c r="B1402" s="21" t="str">
        <x:v>Synthetic Supplier 0401 LLC</x:v>
      </x:c>
      <x:c r="C1402" s="38" t="str">
        <x:f>"900 000 000 000 401"</x:f>
        <x:v>900 000 000 000 401</x:v>
      </x:c>
      <x:c r="D1402" s="21" t="str">
        <x:v>SYN-0401-INV-01</x:v>
      </x:c>
      <x:c r="E1402" s="39" t="n">
        <x:v>46152</x:v>
      </x:c>
      <x:c r="F1402" s="42" t="n">
        <x:v>9000</x:v>
      </x:c>
      <x:c r="G1402" s="42" t="n">
        <x:v>450</x:v>
      </x:c>
      <x:c r="H1402" s="42" t="n">
        <x:v>255519.79</x:v>
      </x:c>
      <x:c r="I1402" s="39" t="n">
        <x:v>46175</x:v>
      </x:c>
    </x:row>
    <x:row r="1403">
      <x:c r="A1403" s="21" t="str">
        <x:v>SYN-0401</x:v>
      </x:c>
      <x:c r="B1403" s="21" t="str">
        <x:v>Synthetic Supplier 0401 LLC</x:v>
      </x:c>
      <x:c r="C1403" s="38" t="str">
        <x:f>"900 000 000 000 401"</x:f>
        <x:v>900 000 000 000 401</x:v>
      </x:c>
      <x:c r="D1403" s="21" t="str">
        <x:v>SYN-0401-INV-02</x:v>
      </x:c>
      <x:c r="E1403" s="39" t="n">
        <x:v>46199</x:v>
      </x:c>
      <x:c r="F1403" s="42" t="n">
        <x:v>70500.5</x:v>
      </x:c>
      <x:c r="G1403" s="42" t="n">
        <x:v>3525.03</x:v>
      </x:c>
      <x:c r="H1403" s="42" t="n">
        <x:v>255519.79</x:v>
      </x:c>
      <x:c r="I1403" s="39" t="n">
        <x:v>46175</x:v>
      </x:c>
    </x:row>
    <x:row r="1404">
      <x:c r="A1404" s="21" t="str">
        <x:v>SYN-0401</x:v>
      </x:c>
      <x:c r="B1404" s="21" t="str">
        <x:v>Synthetic Supplier 0401 LLC</x:v>
      </x:c>
      <x:c r="C1404" s="38" t="str">
        <x:f>"900 000 000 000 401"</x:f>
        <x:v>900 000 000 000 401</x:v>
      </x:c>
      <x:c r="D1404" s="21" t="str">
        <x:v>SYN-0401-INV-03</x:v>
      </x:c>
      <x:c r="E1404" s="39" t="n">
        <x:v>46246</x:v>
      </x:c>
      <x:c r="F1404" s="42" t="n">
        <x:v>70500.5</x:v>
      </x:c>
      <x:c r="G1404" s="42" t="n">
        <x:v>3525.03</x:v>
      </x:c>
      <x:c r="H1404" s="42" t="n">
        <x:v>255519.79</x:v>
      </x:c>
      <x:c r="I1404" s="39" t="n">
        <x:v>46175</x:v>
      </x:c>
    </x:row>
    <x:row r="1405">
      <x:c r="A1405" s="21" t="str">
        <x:v>SYN-0402</x:v>
      </x:c>
      <x:c r="B1405" s="21" t="str">
        <x:v>Synthetic Supplier 0402 LLC</x:v>
      </x:c>
      <x:c r="C1405" s="38" t="str">
        <x:f>"900 000 000 000 402"</x:f>
        <x:v>900 000 000 000 402</x:v>
      </x:c>
      <x:c r="D1405" s="21" t="str">
        <x:v>SYN-0402-INV-01</x:v>
      </x:c>
      <x:c r="E1405" s="39" t="n">
        <x:v>46165</x:v>
      </x:c>
      <x:c r="F1405" s="42" t="n">
        <x:v>47000.33</x:v>
      </x:c>
      <x:c r="G1405" s="42" t="n">
        <x:v>2350.02</x:v>
      </x:c>
      <x:c r="H1405" s="42" t="n">
        <x:v>280727.75</x:v>
      </x:c>
      <x:c r="I1405" s="39" t="n">
        <x:v>45841</x:v>
      </x:c>
    </x:row>
    <x:row r="1406">
      <x:c r="A1406" s="21" t="str">
        <x:v>SYN-0402</x:v>
      </x:c>
      <x:c r="B1406" s="21" t="str">
        <x:v>Synthetic Supplier 0402 LLC</x:v>
      </x:c>
      <x:c r="C1406" s="38" t="str">
        <x:f>"900 000 000 000 402"</x:f>
        <x:v>900 000 000 000 402</x:v>
      </x:c>
      <x:c r="D1406" s="21" t="str">
        <x:v>SYN-0402-INV-02</x:v>
      </x:c>
      <x:c r="E1406" s="39" t="n">
        <x:v>46212</x:v>
      </x:c>
      <x:c r="F1406" s="42" t="n">
        <x:v>47000.33</x:v>
      </x:c>
      <x:c r="G1406" s="42" t="n">
        <x:v>2350.02</x:v>
      </x:c>
      <x:c r="H1406" s="42" t="n">
        <x:v>280727.75</x:v>
      </x:c>
      <x:c r="I1406" s="39" t="n">
        <x:v>45841</x:v>
      </x:c>
    </x:row>
    <x:row r="1407">
      <x:c r="A1407" s="21" t="str">
        <x:v>SYN-0402</x:v>
      </x:c>
      <x:c r="B1407" s="21" t="str">
        <x:v>Synthetic Supplier 0402 LLC</x:v>
      </x:c>
      <x:c r="C1407" s="38" t="str">
        <x:f>"900 000 000 000 402"</x:f>
        <x:v>900 000 000 000 402</x:v>
      </x:c>
      <x:c r="D1407" s="21" t="str">
        <x:v>SYN-0402-INV-03</x:v>
      </x:c>
      <x:c r="E1407" s="39" t="n">
        <x:v>46259</x:v>
      </x:c>
      <x:c r="F1407" s="42" t="n">
        <x:v>47000.34</x:v>
      </x:c>
      <x:c r="G1407" s="42" t="n">
        <x:v>2350.02</x:v>
      </x:c>
      <x:c r="H1407" s="42" t="n">
        <x:v>280727.75</x:v>
      </x:c>
      <x:c r="I1407" s="39" t="n">
        <x:v>45841</x:v>
      </x:c>
    </x:row>
    <x:row r="1408">
      <x:c r="A1408" s="21" t="str">
        <x:v>SYN-0402</x:v>
      </x:c>
      <x:c r="B1408" s="21" t="str">
        <x:v>Synthetic Supplier 0402 LLC</x:v>
      </x:c>
      <x:c r="C1408" s="38" t="str">
        <x:f>"900 000 000 000 402"</x:f>
        <x:v>900 000 000 000 402</x:v>
      </x:c>
      <x:c r="D1408" s="21" t="str">
        <x:v>SYN-0402-INV-04</x:v>
      </x:c>
      <x:c r="E1408" s="39" t="n">
        <x:v>45946</x:v>
      </x:c>
      <x:c r="F1408" s="42" t="n">
        <x:v>9000</x:v>
      </x:c>
      <x:c r="G1408" s="42" t="n">
        <x:v>450</x:v>
      </x:c>
      <x:c r="H1408" s="42" t="n">
        <x:v>280727.75</x:v>
      </x:c>
      <x:c r="I1408" s="39" t="n">
        <x:v>45841</x:v>
      </x:c>
    </x:row>
    <x:row r="1409">
      <x:c r="A1409" s="21" t="str">
        <x:v>SYN-0403</x:v>
      </x:c>
      <x:c r="B1409" s="21" t="str">
        <x:v>Synthetic Supplier 0403 LLC</x:v>
      </x:c>
      <x:c r="C1409" s="38" t="str">
        <x:f>"900 000 000 000 403"</x:f>
        <x:v>900 000 000 000 403</x:v>
      </x:c>
      <x:c r="D1409" s="21" t="str">
        <x:v>SYN-0403-INV-01</x:v>
      </x:c>
      <x:c r="E1409" s="39" t="n">
        <x:v>46178</x:v>
      </x:c>
      <x:c r="F1409" s="42" t="n">
        <x:v>35250.25</x:v>
      </x:c>
      <x:c r="G1409" s="42" t="n">
        <x:v>1762.51</x:v>
      </x:c>
      <x:c r="H1409" s="42" t="n">
        <x:v>271264.89</x:v>
      </x:c>
      <x:c r="I1409" s="39" t="n">
        <x:v>46238</x:v>
      </x:c>
    </x:row>
    <x:row r="1410">
      <x:c r="A1410" s="21" t="str">
        <x:v>SYN-0403</x:v>
      </x:c>
      <x:c r="B1410" s="21" t="str">
        <x:v>Synthetic Supplier 0403 LLC</x:v>
      </x:c>
      <x:c r="C1410" s="38" t="str">
        <x:f>"900 000 000 000 403"</x:f>
        <x:v>900 000 000 000 403</x:v>
      </x:c>
      <x:c r="D1410" s="21" t="str">
        <x:v>SYN-0403-INV-02</x:v>
      </x:c>
      <x:c r="E1410" s="39" t="n">
        <x:v>46225</x:v>
      </x:c>
      <x:c r="F1410" s="42" t="n">
        <x:v>35250.25</x:v>
      </x:c>
      <x:c r="G1410" s="42" t="n">
        <x:v>1762.51</x:v>
      </x:c>
      <x:c r="H1410" s="42" t="n">
        <x:v>271264.89</x:v>
      </x:c>
      <x:c r="I1410" s="39" t="n">
        <x:v>46238</x:v>
      </x:c>
    </x:row>
    <x:row r="1411">
      <x:c r="A1411" s="21" t="str">
        <x:v>SYN-0403</x:v>
      </x:c>
      <x:c r="B1411" s="21" t="str">
        <x:v>Synthetic Supplier 0403 LLC</x:v>
      </x:c>
      <x:c r="C1411" s="38" t="str">
        <x:f>"900 000 000 000 403"</x:f>
        <x:v>900 000 000 000 403</x:v>
      </x:c>
      <x:c r="D1411" s="21" t="str">
        <x:v>SYN-0403-INV-03</x:v>
      </x:c>
      <x:c r="E1411" s="39" t="n">
        <x:v>46272</x:v>
      </x:c>
      <x:c r="F1411" s="42" t="n">
        <x:v>35250.25</x:v>
      </x:c>
      <x:c r="G1411" s="42" t="n">
        <x:v>1762.51</x:v>
      </x:c>
      <x:c r="H1411" s="42" t="n">
        <x:v>271264.89</x:v>
      </x:c>
      <x:c r="I1411" s="39" t="n">
        <x:v>46238</x:v>
      </x:c>
    </x:row>
    <x:row r="1412">
      <x:c r="A1412" s="21" t="str">
        <x:v>SYN-0403</x:v>
      </x:c>
      <x:c r="B1412" s="21" t="str">
        <x:v>Synthetic Supplier 0403 LLC</x:v>
      </x:c>
      <x:c r="C1412" s="38" t="str">
        <x:f>"900 000 000 000 403"</x:f>
        <x:v>900 000 000 000 403</x:v>
      </x:c>
      <x:c r="D1412" s="21" t="str">
        <x:v>SYN-0403-INV-04</x:v>
      </x:c>
      <x:c r="E1412" s="39" t="n">
        <x:v>45959</x:v>
      </x:c>
      <x:c r="F1412" s="42" t="n">
        <x:v>9000</x:v>
      </x:c>
      <x:c r="G1412" s="42" t="n">
        <x:v>450</x:v>
      </x:c>
      <x:c r="H1412" s="42" t="n">
        <x:v>271264.89</x:v>
      </x:c>
      <x:c r="I1412" s="39" t="n">
        <x:v>46238</x:v>
      </x:c>
    </x:row>
    <x:row r="1413">
      <x:c r="A1413" s="21" t="str">
        <x:v>SYN-0403</x:v>
      </x:c>
      <x:c r="B1413" s="21" t="str">
        <x:v>Synthetic Supplier 0403 LLC</x:v>
      </x:c>
      <x:c r="C1413" s="38" t="str">
        <x:f>"900 000 000 000 403"</x:f>
        <x:v>900 000 000 000 403</x:v>
      </x:c>
      <x:c r="D1413" s="21" t="str">
        <x:v>SYN-0403-INV-05</x:v>
      </x:c>
      <x:c r="E1413" s="39" t="n">
        <x:v>46006</x:v>
      </x:c>
      <x:c r="F1413" s="42" t="n">
        <x:v>35250.25</x:v>
      </x:c>
      <x:c r="G1413" s="42" t="n">
        <x:v>1762.51</x:v>
      </x:c>
      <x:c r="H1413" s="42" t="n">
        <x:v>271264.89</x:v>
      </x:c>
      <x:c r="I1413" s="39" t="n">
        <x:v>46238</x:v>
      </x:c>
    </x:row>
    <x:row r="1414">
      <x:c r="A1414" s="21" t="str">
        <x:v>SYN-0404</x:v>
      </x:c>
      <x:c r="B1414" s="21" t="str">
        <x:v>Synthetic Supplier 0404 LLC</x:v>
      </x:c>
      <x:c r="C1414" s="38" t="str">
        <x:f>"900 000 000 000 404"</x:f>
        <x:v>900 000 000 000 404</x:v>
      </x:c>
      <x:c r="D1414" s="21" t="str">
        <x:v>SYN-0404-INV-01</x:v>
      </x:c>
      <x:c r="E1414" s="39" t="n">
        <x:v>46191</x:v>
      </x:c>
      <x:c r="F1414" s="42" t="n">
        <x:v>9000</x:v>
      </x:c>
      <x:c r="G1414" s="42" t="n">
        <x:v>450</x:v>
      </x:c>
      <x:c r="H1414" s="42" t="n">
        <x:v>99363.3</x:v>
      </x:c>
      <x:c r="I1414" s="39" t="n">
        <x:v>45905</x:v>
      </x:c>
    </x:row>
    <x:row r="1415">
      <x:c r="A1415" s="21" t="str">
        <x:v>SYN-0404</x:v>
      </x:c>
      <x:c r="B1415" s="21" t="str">
        <x:v>Synthetic Supplier 0404 LLC</x:v>
      </x:c>
      <x:c r="C1415" s="38" t="str">
        <x:f>"900 000 000 000 404"</x:f>
        <x:v>900 000 000 000 404</x:v>
      </x:c>
      <x:c r="D1415" s="21" t="str">
        <x:v>SYN-0404-INV-02</x:v>
      </x:c>
      <x:c r="E1415" s="39" t="n">
        <x:v>46238</x:v>
      </x:c>
      <x:c r="F1415" s="42" t="n">
        <x:v>141001</x:v>
      </x:c>
      <x:c r="G1415" s="42" t="n">
        <x:v>7050.05</x:v>
      </x:c>
      <x:c r="H1415" s="42" t="n">
        <x:v>99363.3</x:v>
      </x:c>
      <x:c r="I1415" s="39" t="n">
        <x:v>45905</x:v>
      </x:c>
    </x:row>
    <x:row r="1416">
      <x:c r="A1416" s="21" t="str">
        <x:v>SYN-0405</x:v>
      </x:c>
      <x:c r="B1416" s="21" t="str">
        <x:v>Synthetic Supplier 0405 LLC</x:v>
      </x:c>
      <x:c r="C1416" s="38" t="str">
        <x:f>"900 000 000 000 405"</x:f>
        <x:v>900 000 000 000 405</x:v>
      </x:c>
      <x:c r="D1416" s="21" t="str">
        <x:v>SYN-0405-INV-01</x:v>
      </x:c>
      <x:c r="E1416" s="39" t="n">
        <x:v>46204</x:v>
      </x:c>
      <x:c r="F1416" s="42" t="n">
        <x:v>70500.5</x:v>
      </x:c>
      <x:c r="G1416" s="42" t="n">
        <x:v>3525.03</x:v>
      </x:c>
      <x:c r="H1416" s="42" t="n">
        <x:v>295103.1</x:v>
      </x:c>
      <x:c r="I1416" s="39"/>
    </x:row>
    <x:row r="1417">
      <x:c r="A1417" s="21" t="str">
        <x:v>SYN-0405</x:v>
      </x:c>
      <x:c r="B1417" s="21" t="str">
        <x:v>Synthetic Supplier 0405 LLC</x:v>
      </x:c>
      <x:c r="C1417" s="38" t="str">
        <x:f>"900 000 000 000 405"</x:f>
        <x:v>900 000 000 000 405</x:v>
      </x:c>
      <x:c r="D1417" s="21" t="str">
        <x:v>SYN-0405-INV-02</x:v>
      </x:c>
      <x:c r="E1417" s="39" t="n">
        <x:v>46251</x:v>
      </x:c>
      <x:c r="F1417" s="42" t="n">
        <x:v>70500.5</x:v>
      </x:c>
      <x:c r="G1417" s="42" t="n">
        <x:v>3525.03</x:v>
      </x:c>
      <x:c r="H1417" s="42" t="n">
        <x:v>295103.1</x:v>
      </x:c>
      <x:c r="I1417" s="39"/>
    </x:row>
    <x:row r="1418">
      <x:c r="A1418" s="21" t="str">
        <x:v>SYN-0405</x:v>
      </x:c>
      <x:c r="B1418" s="21" t="str">
        <x:v>Synthetic Supplier 0405 LLC</x:v>
      </x:c>
      <x:c r="C1418" s="38" t="str">
        <x:f>"900 000 000 000 405"</x:f>
        <x:v>900 000 000 000 405</x:v>
      </x:c>
      <x:c r="D1418" s="21" t="str">
        <x:v>SYN-0405-INV-03</x:v>
      </x:c>
      <x:c r="E1418" s="39" t="n">
        <x:v>45938</x:v>
      </x:c>
      <x:c r="F1418" s="42" t="n">
        <x:v>9000</x:v>
      </x:c>
      <x:c r="G1418" s="42" t="n">
        <x:v>450</x:v>
      </x:c>
      <x:c r="H1418" s="42" t="n">
        <x:v>295103.1</x:v>
      </x:c>
      <x:c r="I1418" s="39"/>
    </x:row>
    <x:row r="1419">
      <x:c r="A1419" s="21" t="str">
        <x:v>SYN-0406</x:v>
      </x:c>
      <x:c r="B1419" s="21" t="str">
        <x:v>Synthetic Supplier 0406 LLC</x:v>
      </x:c>
      <x:c r="C1419" s="38" t="str">
        <x:f>"900 000 000 000 406"</x:f>
        <x:v>900 000 000 000 406</x:v>
      </x:c>
      <x:c r="D1419" s="21" t="str">
        <x:v>SYN-0406-INV-01</x:v>
      </x:c>
      <x:c r="E1419" s="39" t="n">
        <x:v>46217</x:v>
      </x:c>
      <x:c r="F1419" s="42" t="n">
        <x:v>47000.33</x:v>
      </x:c>
      <x:c r="G1419" s="42" t="n">
        <x:v>2350.02</x:v>
      </x:c>
      <x:c r="H1419" s="42" t="n">
        <x:v>235883.03</x:v>
      </x:c>
      <x:c r="I1419" s="39" t="n">
        <x:v>45695</x:v>
      </x:c>
    </x:row>
    <x:row r="1420">
      <x:c r="A1420" s="21" t="str">
        <x:v>SYN-0406</x:v>
      </x:c>
      <x:c r="B1420" s="21" t="str">
        <x:v>Synthetic Supplier 0406 LLC</x:v>
      </x:c>
      <x:c r="C1420" s="38" t="str">
        <x:f>"900 000 000 000 406"</x:f>
        <x:v>900 000 000 000 406</x:v>
      </x:c>
      <x:c r="D1420" s="21" t="str">
        <x:v>SYN-0406-INV-02</x:v>
      </x:c>
      <x:c r="E1420" s="39" t="n">
        <x:v>46264</x:v>
      </x:c>
      <x:c r="F1420" s="42" t="n">
        <x:v>47000.34</x:v>
      </x:c>
      <x:c r="G1420" s="42" t="n">
        <x:v>2350.02</x:v>
      </x:c>
      <x:c r="H1420" s="42" t="n">
        <x:v>235883.03</x:v>
      </x:c>
      <x:c r="I1420" s="39" t="n">
        <x:v>45695</x:v>
      </x:c>
    </x:row>
    <x:row r="1421">
      <x:c r="A1421" s="21" t="str">
        <x:v>SYN-0406</x:v>
      </x:c>
      <x:c r="B1421" s="21" t="str">
        <x:v>Synthetic Supplier 0406 LLC</x:v>
      </x:c>
      <x:c r="C1421" s="38" t="str">
        <x:f>"900 000 000 000 406"</x:f>
        <x:v>900 000 000 000 406</x:v>
      </x:c>
      <x:c r="D1421" s="21" t="str">
        <x:v>SYN-0406-INV-03</x:v>
      </x:c>
      <x:c r="E1421" s="39" t="n">
        <x:v>45951</x:v>
      </x:c>
      <x:c r="F1421" s="42" t="n">
        <x:v>9000</x:v>
      </x:c>
      <x:c r="G1421" s="42" t="n">
        <x:v>450</x:v>
      </x:c>
      <x:c r="H1421" s="42" t="n">
        <x:v>235883.03</x:v>
      </x:c>
      <x:c r="I1421" s="39" t="n">
        <x:v>45695</x:v>
      </x:c>
    </x:row>
    <x:row r="1422">
      <x:c r="A1422" s="21" t="str">
        <x:v>SYN-0406</x:v>
      </x:c>
      <x:c r="B1422" s="21" t="str">
        <x:v>Synthetic Supplier 0406 LLC</x:v>
      </x:c>
      <x:c r="C1422" s="38" t="str">
        <x:f>"900 000 000 000 406"</x:f>
        <x:v>900 000 000 000 406</x:v>
      </x:c>
      <x:c r="D1422" s="21" t="str">
        <x:v>SYN-0406-INV-04</x:v>
      </x:c>
      <x:c r="E1422" s="39" t="n">
        <x:v>45998</x:v>
      </x:c>
      <x:c r="F1422" s="42" t="n">
        <x:v>47000.33</x:v>
      </x:c>
      <x:c r="G1422" s="42" t="n">
        <x:v>2350.02</x:v>
      </x:c>
      <x:c r="H1422" s="42" t="n">
        <x:v>235883.03</x:v>
      </x:c>
      <x:c r="I1422" s="39" t="n">
        <x:v>45695</x:v>
      </x:c>
    </x:row>
    <x:row r="1423">
      <x:c r="A1423" s="21" t="str">
        <x:v>SYN-0407</x:v>
      </x:c>
      <x:c r="B1423" s="21" t="str">
        <x:v>Synthetic Supplier 0407 LLC</x:v>
      </x:c>
      <x:c r="C1423" s="38" t="str">
        <x:f>"900 000 000 000 407"</x:f>
        <x:v>900 000 000 000 407</x:v>
      </x:c>
      <x:c r="D1423" s="21" t="str">
        <x:v>SYN-0407-INV-01</x:v>
      </x:c>
      <x:c r="E1423" s="39" t="n">
        <x:v>46230</x:v>
      </x:c>
      <x:c r="F1423" s="42" t="n">
        <x:v>35250.25</x:v>
      </x:c>
      <x:c r="G1423" s="42" t="n">
        <x:v>1762.51</x:v>
      </x:c>
      <x:c r="H1423" s="42" t="n">
        <x:v>296353.22</x:v>
      </x:c>
      <x:c r="I1423" s="39" t="n">
        <x:v>46089</x:v>
      </x:c>
    </x:row>
    <x:row r="1424">
      <x:c r="A1424" s="21" t="str">
        <x:v>SYN-0407</x:v>
      </x:c>
      <x:c r="B1424" s="21" t="str">
        <x:v>Synthetic Supplier 0407 LLC</x:v>
      </x:c>
      <x:c r="C1424" s="38" t="str">
        <x:f>"900 000 000 000 407"</x:f>
        <x:v>900 000 000 000 407</x:v>
      </x:c>
      <x:c r="D1424" s="21" t="str">
        <x:v>SYN-0407-INV-02</x:v>
      </x:c>
      <x:c r="E1424" s="39" t="n">
        <x:v>46277</x:v>
      </x:c>
      <x:c r="F1424" s="42" t="n">
        <x:v>35250.25</x:v>
      </x:c>
      <x:c r="G1424" s="42" t="n">
        <x:v>1762.51</x:v>
      </x:c>
      <x:c r="H1424" s="42" t="n">
        <x:v>296353.22</x:v>
      </x:c>
      <x:c r="I1424" s="39" t="n">
        <x:v>46089</x:v>
      </x:c>
    </x:row>
    <x:row r="1425">
      <x:c r="A1425" s="21" t="str">
        <x:v>SYN-0407</x:v>
      </x:c>
      <x:c r="B1425" s="21" t="str">
        <x:v>Synthetic Supplier 0407 LLC</x:v>
      </x:c>
      <x:c r="C1425" s="38" t="str">
        <x:f>"900 000 000 000 407"</x:f>
        <x:v>900 000 000 000 407</x:v>
      </x:c>
      <x:c r="D1425" s="21" t="str">
        <x:v>SYN-0407-INV-03</x:v>
      </x:c>
      <x:c r="E1425" s="39" t="n">
        <x:v>45964</x:v>
      </x:c>
      <x:c r="F1425" s="42" t="n">
        <x:v>9000</x:v>
      </x:c>
      <x:c r="G1425" s="42" t="n">
        <x:v>450</x:v>
      </x:c>
      <x:c r="H1425" s="42" t="n">
        <x:v>296353.22</x:v>
      </x:c>
      <x:c r="I1425" s="39" t="n">
        <x:v>46089</x:v>
      </x:c>
    </x:row>
    <x:row r="1426">
      <x:c r="A1426" s="21" t="str">
        <x:v>SYN-0407</x:v>
      </x:c>
      <x:c r="B1426" s="21" t="str">
        <x:v>Synthetic Supplier 0407 LLC</x:v>
      </x:c>
      <x:c r="C1426" s="38" t="str">
        <x:f>"900 000 000 000 407"</x:f>
        <x:v>900 000 000 000 407</x:v>
      </x:c>
      <x:c r="D1426" s="21" t="str">
        <x:v>SYN-0407-INV-04</x:v>
      </x:c>
      <x:c r="E1426" s="39" t="n">
        <x:v>46011</x:v>
      </x:c>
      <x:c r="F1426" s="42" t="n">
        <x:v>35250.25</x:v>
      </x:c>
      <x:c r="G1426" s="42" t="n">
        <x:v>1762.51</x:v>
      </x:c>
      <x:c r="H1426" s="42" t="n">
        <x:v>296353.22</x:v>
      </x:c>
      <x:c r="I1426" s="39" t="n">
        <x:v>46089</x:v>
      </x:c>
    </x:row>
    <x:row r="1427">
      <x:c r="A1427" s="21" t="str">
        <x:v>SYN-0407</x:v>
      </x:c>
      <x:c r="B1427" s="21" t="str">
        <x:v>Synthetic Supplier 0407 LLC</x:v>
      </x:c>
      <x:c r="C1427" s="38" t="str">
        <x:f>"900 000 000 000 407"</x:f>
        <x:v>900 000 000 000 407</x:v>
      </x:c>
      <x:c r="D1427" s="21" t="str">
        <x:v>SYN-0407-INV-05</x:v>
      </x:c>
      <x:c r="E1427" s="39" t="n">
        <x:v>46058</x:v>
      </x:c>
      <x:c r="F1427" s="42" t="n">
        <x:v>35250.25</x:v>
      </x:c>
      <x:c r="G1427" s="42" t="n">
        <x:v>1762.51</x:v>
      </x:c>
      <x:c r="H1427" s="42" t="n">
        <x:v>296353.22</x:v>
      </x:c>
      <x:c r="I1427" s="39" t="n">
        <x:v>46089</x:v>
      </x:c>
    </x:row>
    <x:row r="1428">
      <x:c r="A1428" s="21" t="str">
        <x:v>SYN-0408</x:v>
      </x:c>
      <x:c r="B1428" s="21" t="str">
        <x:v>Synthetic Supplier 0408 LLC</x:v>
      </x:c>
      <x:c r="C1428" s="38" t="str">
        <x:f>"900 000 000 000 408"</x:f>
        <x:v>900 000 000 000 408</x:v>
      </x:c>
      <x:c r="D1428" s="21" t="str">
        <x:v>SYN-0408-INV-01</x:v>
      </x:c>
      <x:c r="E1428" s="39" t="n">
        <x:v>46243</x:v>
      </x:c>
      <x:c r="F1428" s="42" t="n">
        <x:v>9000</x:v>
      </x:c>
      <x:c r="G1428" s="42" t="n">
        <x:v>450</x:v>
      </x:c>
      <x:c r="H1428" s="42" t="n">
        <x:v>110849.16</x:v>
      </x:c>
      <x:c r="I1428" s="39" t="n">
        <x:v>45756</x:v>
      </x:c>
    </x:row>
    <x:row r="1429">
      <x:c r="A1429" s="21" t="str">
        <x:v>SYN-0408</x:v>
      </x:c>
      <x:c r="B1429" s="21" t="str">
        <x:v>Synthetic Supplier 0408 LLC</x:v>
      </x:c>
      <x:c r="C1429" s="38" t="str">
        <x:f>"900 000 000 000 408"</x:f>
        <x:v>900 000 000 000 408</x:v>
      </x:c>
      <x:c r="D1429" s="21" t="str">
        <x:v>SYN-0408-INV-02</x:v>
      </x:c>
      <x:c r="E1429" s="39" t="n">
        <x:v>46290</x:v>
      </x:c>
      <x:c r="F1429" s="42" t="n">
        <x:v>141001</x:v>
      </x:c>
      <x:c r="G1429" s="42" t="n">
        <x:v>7050.05</x:v>
      </x:c>
      <x:c r="H1429" s="42" t="n">
        <x:v>110849.16</x:v>
      </x:c>
      <x:c r="I1429" s="39" t="n">
        <x:v>45756</x:v>
      </x:c>
    </x:row>
    <x:row r="1430">
      <x:c r="A1430" s="21" t="str">
        <x:v>SYN-0409</x:v>
      </x:c>
      <x:c r="B1430" s="21" t="str">
        <x:v>Synthetic Supplier 0409 LLC</x:v>
      </x:c>
      <x:c r="C1430" s="38" t="str">
        <x:f>"900 000 000 000 409"</x:f>
        <x:v>900 000 000 000 409</x:v>
      </x:c>
      <x:c r="D1430" s="21" t="str">
        <x:v>SYN-0409-INV-01</x:v>
      </x:c>
      <x:c r="E1430" s="39" t="n">
        <x:v>46256</x:v>
      </x:c>
      <x:c r="F1430" s="42" t="n">
        <x:v>70500.5</x:v>
      </x:c>
      <x:c r="G1430" s="42" t="n">
        <x:v>3525.03</x:v>
      </x:c>
      <x:c r="H1430" s="42" t="n">
        <x:v>311927.06</x:v>
      </x:c>
      <x:c r="I1430" s="39" t="n">
        <x:v>46152</x:v>
      </x:c>
    </x:row>
    <x:row r="1431">
      <x:c r="A1431" s="21" t="str">
        <x:v>SYN-0409</x:v>
      </x:c>
      <x:c r="B1431" s="21" t="str">
        <x:v>Synthetic Supplier 0409 LLC</x:v>
      </x:c>
      <x:c r="C1431" s="38" t="str">
        <x:f>"900 000 000 000 409"</x:f>
        <x:v>900 000 000 000 409</x:v>
      </x:c>
      <x:c r="D1431" s="21" t="str">
        <x:v>SYN-0409-INV-02</x:v>
      </x:c>
      <x:c r="E1431" s="39" t="n">
        <x:v>45943</x:v>
      </x:c>
      <x:c r="F1431" s="42" t="n">
        <x:v>9000</x:v>
      </x:c>
      <x:c r="G1431" s="42" t="n">
        <x:v>450</x:v>
      </x:c>
      <x:c r="H1431" s="42" t="n">
        <x:v>311927.06</x:v>
      </x:c>
      <x:c r="I1431" s="39" t="n">
        <x:v>46152</x:v>
      </x:c>
    </x:row>
    <x:row r="1432">
      <x:c r="A1432" s="21" t="str">
        <x:v>SYN-0409</x:v>
      </x:c>
      <x:c r="B1432" s="21" t="str">
        <x:v>Synthetic Supplier 0409 LLC</x:v>
      </x:c>
      <x:c r="C1432" s="38" t="str">
        <x:f>"900 000 000 000 409"</x:f>
        <x:v>900 000 000 000 409</x:v>
      </x:c>
      <x:c r="D1432" s="21" t="str">
        <x:v>SYN-0409-INV-03</x:v>
      </x:c>
      <x:c r="E1432" s="39" t="n">
        <x:v>45990</x:v>
      </x:c>
      <x:c r="F1432" s="42" t="n">
        <x:v>70500.5</x:v>
      </x:c>
      <x:c r="G1432" s="42" t="n">
        <x:v>3525.03</x:v>
      </x:c>
      <x:c r="H1432" s="42" t="n">
        <x:v>311927.06</x:v>
      </x:c>
      <x:c r="I1432" s="39" t="n">
        <x:v>46152</x:v>
      </x:c>
    </x:row>
    <x:row r="1433">
      <x:c r="A1433" s="21" t="str">
        <x:v>SYN-0410</x:v>
      </x:c>
      <x:c r="B1433" s="21" t="str">
        <x:v>Synthetic Supplier 0410 LLC</x:v>
      </x:c>
      <x:c r="C1433" s="38" t="str">
        <x:f>"900 000 000 000 410"</x:f>
        <x:v>900 000 000 000 410</x:v>
      </x:c>
      <x:c r="D1433" s="21" t="str">
        <x:v>SYN-0410-INV-01</x:v>
      </x:c>
      <x:c r="E1433" s="39" t="n">
        <x:v>46269</x:v>
      </x:c>
      <x:c r="F1433" s="42" t="n">
        <x:v>47000.34</x:v>
      </x:c>
      <x:c r="G1433" s="42" t="n">
        <x:v>2350.02</x:v>
      </x:c>
      <x:c r="H1433" s="42" t="n">
        <x:v>263283.55</x:v>
      </x:c>
      <x:c r="I1433" s="39"/>
    </x:row>
    <x:row r="1434">
      <x:c r="A1434" s="21" t="str">
        <x:v>SYN-0410</x:v>
      </x:c>
      <x:c r="B1434" s="21" t="str">
        <x:v>Synthetic Supplier 0410 LLC</x:v>
      </x:c>
      <x:c r="C1434" s="38" t="str">
        <x:f>"900 000 000 000 410"</x:f>
        <x:v>900 000 000 000 410</x:v>
      </x:c>
      <x:c r="D1434" s="21" t="str">
        <x:v>SYN-0410-INV-02</x:v>
      </x:c>
      <x:c r="E1434" s="39" t="n">
        <x:v>45956</x:v>
      </x:c>
      <x:c r="F1434" s="42" t="n">
        <x:v>9000</x:v>
      </x:c>
      <x:c r="G1434" s="42" t="n">
        <x:v>450</x:v>
      </x:c>
      <x:c r="H1434" s="42" t="n">
        <x:v>263283.55</x:v>
      </x:c>
      <x:c r="I1434" s="39"/>
    </x:row>
    <x:row r="1435">
      <x:c r="A1435" s="21" t="str">
        <x:v>SYN-0410</x:v>
      </x:c>
      <x:c r="B1435" s="21" t="str">
        <x:v>Synthetic Supplier 0410 LLC</x:v>
      </x:c>
      <x:c r="C1435" s="38" t="str">
        <x:f>"900 000 000 000 410"</x:f>
        <x:v>900 000 000 000 410</x:v>
      </x:c>
      <x:c r="D1435" s="21" t="str">
        <x:v>SYN-0410-INV-03</x:v>
      </x:c>
      <x:c r="E1435" s="39" t="n">
        <x:v>46003</x:v>
      </x:c>
      <x:c r="F1435" s="42" t="n">
        <x:v>47000.33</x:v>
      </x:c>
      <x:c r="G1435" s="42" t="n">
        <x:v>2350.02</x:v>
      </x:c>
      <x:c r="H1435" s="42" t="n">
        <x:v>263283.55</x:v>
      </x:c>
      <x:c r="I1435" s="39"/>
    </x:row>
    <x:row r="1436">
      <x:c r="A1436" s="21" t="str">
        <x:v>SYN-0410</x:v>
      </x:c>
      <x:c r="B1436" s="21" t="str">
        <x:v>Synthetic Supplier 0410 LLC</x:v>
      </x:c>
      <x:c r="C1436" s="38" t="str">
        <x:f>"900 000 000 000 410"</x:f>
        <x:v>900 000 000 000 410</x:v>
      </x:c>
      <x:c r="D1436" s="21" t="str">
        <x:v>SYN-0410-INV-04</x:v>
      </x:c>
      <x:c r="E1436" s="39" t="n">
        <x:v>46050</x:v>
      </x:c>
      <x:c r="F1436" s="42" t="n">
        <x:v>47000.33</x:v>
      </x:c>
      <x:c r="G1436" s="42" t="n">
        <x:v>2350.02</x:v>
      </x:c>
      <x:c r="H1436" s="42" t="n">
        <x:v>263283.55</x:v>
      </x:c>
      <x:c r="I1436" s="39"/>
    </x:row>
    <x:row r="1437">
      <x:c r="A1437" s="21" t="str">
        <x:v>SYN-0411</x:v>
      </x:c>
      <x:c r="B1437" s="21" t="str">
        <x:v>Synthetic Supplier 0411 LLC</x:v>
      </x:c>
      <x:c r="C1437" s="38" t="str">
        <x:f>"900 000 000 000 411"</x:f>
        <x:v>900 000 000 000 411</x:v>
      </x:c>
      <x:c r="D1437" s="21" t="str">
        <x:v>SYN-0411-INV-01</x:v>
      </x:c>
      <x:c r="E1437" s="39" t="n">
        <x:v>46282</x:v>
      </x:c>
      <x:c r="F1437" s="42" t="n">
        <x:v>35250.25</x:v>
      </x:c>
      <x:c r="G1437" s="42" t="n">
        <x:v>1762.51</x:v>
      </x:c>
      <x:c r="H1437" s="42" t="n">
        <x:v>191953.46</x:v>
      </x:c>
      <x:c r="I1437" s="39" t="n">
        <x:v>46215</x:v>
      </x:c>
    </x:row>
    <x:row r="1438">
      <x:c r="A1438" s="21" t="str">
        <x:v>SYN-0411</x:v>
      </x:c>
      <x:c r="B1438" s="21" t="str">
        <x:v>Synthetic Supplier 0411 LLC</x:v>
      </x:c>
      <x:c r="C1438" s="38" t="str">
        <x:f>"900 000 000 000 411"</x:f>
        <x:v>900 000 000 000 411</x:v>
      </x:c>
      <x:c r="D1438" s="21" t="str">
        <x:v>SYN-0411-INV-02</x:v>
      </x:c>
      <x:c r="E1438" s="39" t="n">
        <x:v>45969</x:v>
      </x:c>
      <x:c r="F1438" s="42" t="n">
        <x:v>9000</x:v>
      </x:c>
      <x:c r="G1438" s="42" t="n">
        <x:v>450</x:v>
      </x:c>
      <x:c r="H1438" s="42" t="n">
        <x:v>191953.46</x:v>
      </x:c>
      <x:c r="I1438" s="39" t="n">
        <x:v>46215</x:v>
      </x:c>
    </x:row>
    <x:row r="1439">
      <x:c r="A1439" s="21" t="str">
        <x:v>SYN-0411</x:v>
      </x:c>
      <x:c r="B1439" s="21" t="str">
        <x:v>Synthetic Supplier 0411 LLC</x:v>
      </x:c>
      <x:c r="C1439" s="38" t="str">
        <x:f>"900 000 000 000 411"</x:f>
        <x:v>900 000 000 000 411</x:v>
      </x:c>
      <x:c r="D1439" s="21" t="str">
        <x:v>SYN-0411-INV-03</x:v>
      </x:c>
      <x:c r="E1439" s="39" t="n">
        <x:v>46016</x:v>
      </x:c>
      <x:c r="F1439" s="42" t="n">
        <x:v>35250.25</x:v>
      </x:c>
      <x:c r="G1439" s="42" t="n">
        <x:v>1762.51</x:v>
      </x:c>
      <x:c r="H1439" s="42" t="n">
        <x:v>191953.46</x:v>
      </x:c>
      <x:c r="I1439" s="39" t="n">
        <x:v>46215</x:v>
      </x:c>
    </x:row>
    <x:row r="1440">
      <x:c r="A1440" s="21" t="str">
        <x:v>SYN-0411</x:v>
      </x:c>
      <x:c r="B1440" s="21" t="str">
        <x:v>Synthetic Supplier 0411 LLC</x:v>
      </x:c>
      <x:c r="C1440" s="38" t="str">
        <x:f>"900 000 000 000 411"</x:f>
        <x:v>900 000 000 000 411</x:v>
      </x:c>
      <x:c r="D1440" s="21" t="str">
        <x:v>SYN-0411-INV-04</x:v>
      </x:c>
      <x:c r="E1440" s="39" t="n">
        <x:v>46063</x:v>
      </x:c>
      <x:c r="F1440" s="42" t="n">
        <x:v>35250.25</x:v>
      </x:c>
      <x:c r="G1440" s="42" t="n">
        <x:v>1762.51</x:v>
      </x:c>
      <x:c r="H1440" s="42" t="n">
        <x:v>191953.46</x:v>
      </x:c>
      <x:c r="I1440" s="39" t="n">
        <x:v>46215</x:v>
      </x:c>
    </x:row>
    <x:row r="1441">
      <x:c r="A1441" s="21" t="str">
        <x:v>SYN-0411</x:v>
      </x:c>
      <x:c r="B1441" s="21" t="str">
        <x:v>Synthetic Supplier 0411 LLC</x:v>
      </x:c>
      <x:c r="C1441" s="38" t="str">
        <x:f>"900 000 000 000 411"</x:f>
        <x:v>900 000 000 000 411</x:v>
      </x:c>
      <x:c r="D1441" s="21" t="str">
        <x:v>SYN-0411-INV-05</x:v>
      </x:c>
      <x:c r="E1441" s="39" t="n">
        <x:v>46110</x:v>
      </x:c>
      <x:c r="F1441" s="42" t="n">
        <x:v>35250.25</x:v>
      </x:c>
      <x:c r="G1441" s="42" t="n">
        <x:v>1762.51</x:v>
      </x:c>
      <x:c r="H1441" s="42" t="n">
        <x:v>191953.46</x:v>
      </x:c>
      <x:c r="I1441" s="39" t="n">
        <x:v>46215</x:v>
      </x:c>
    </x:row>
    <x:row r="1442">
      <x:c r="A1442" s="21" t="str">
        <x:v>SYN-0412</x:v>
      </x:c>
      <x:c r="B1442" s="21" t="str">
        <x:v>Synthetic Supplier 0412 LLC</x:v>
      </x:c>
      <x:c r="C1442" s="38" t="str">
        <x:f>"900 000 000 000 412"</x:f>
        <x:v>900 000 000 000 412</x:v>
      </x:c>
      <x:c r="D1442" s="21" t="str">
        <x:v>SYN-0412-INV-01</x:v>
      </x:c>
      <x:c r="E1442" s="39" t="n">
        <x:v>45935</x:v>
      </x:c>
      <x:c r="F1442" s="42" t="n">
        <x:v>9000</x:v>
      </x:c>
      <x:c r="G1442" s="42" t="n">
        <x:v>450</x:v>
      </x:c>
      <x:c r="H1442" s="42" t="n">
        <x:v>299094.77</x:v>
      </x:c>
      <x:c r="I1442" s="39" t="n">
        <x:v>45882</x:v>
      </x:c>
    </x:row>
    <x:row r="1443">
      <x:c r="A1443" s="21" t="str">
        <x:v>SYN-0412</x:v>
      </x:c>
      <x:c r="B1443" s="21" t="str">
        <x:v>Synthetic Supplier 0412 LLC</x:v>
      </x:c>
      <x:c r="C1443" s="38" t="str">
        <x:f>"900 000 000 000 412"</x:f>
        <x:v>900 000 000 000 412</x:v>
      </x:c>
      <x:c r="D1443" s="21" t="str">
        <x:v>SYN-0412-INV-02</x:v>
      </x:c>
      <x:c r="E1443" s="39" t="n">
        <x:v>45982</x:v>
      </x:c>
      <x:c r="F1443" s="42" t="n">
        <x:v>141001</x:v>
      </x:c>
      <x:c r="G1443" s="42" t="n">
        <x:v>7050.05</x:v>
      </x:c>
      <x:c r="H1443" s="42" t="n">
        <x:v>299094.77</x:v>
      </x:c>
      <x:c r="I1443" s="39" t="n">
        <x:v>45882</x:v>
      </x:c>
    </x:row>
    <x:row r="1444">
      <x:c r="A1444" s="21" t="str">
        <x:v>SYN-0413</x:v>
      </x:c>
      <x:c r="B1444" s="21" t="str">
        <x:v>Synthetic Supplier 0413 LLC</x:v>
      </x:c>
      <x:c r="C1444" s="38" t="str">
        <x:f>"900 000 000 000 413"</x:f>
        <x:v>900 000 000 000 413</x:v>
      </x:c>
      <x:c r="D1444" s="21" t="str">
        <x:v>SYN-0413-INV-01</x:v>
      </x:c>
      <x:c r="E1444" s="39" t="n">
        <x:v>45948</x:v>
      </x:c>
      <x:c r="F1444" s="42" t="n">
        <x:v>70219.23</x:v>
      </x:c>
      <x:c r="G1444" s="42" t="n">
        <x:v>3510.96</x:v>
      </x:c>
      <x:c r="H1444" s="42" t="n">
        <x:v>261064.31</x:v>
      </x:c>
      <x:c r="I1444" s="39" t="n">
        <x:v>46279</x:v>
      </x:c>
    </x:row>
    <x:row r="1445">
      <x:c r="A1445" s="21" t="str">
        <x:v>SYN-0413</x:v>
      </x:c>
      <x:c r="B1445" s="21" t="str">
        <x:v>Synthetic Supplier 0413 LLC</x:v>
      </x:c>
      <x:c r="C1445" s="38" t="str">
        <x:f>"900 000 000 000 413"</x:f>
        <x:v>900 000 000 000 413</x:v>
      </x:c>
      <x:c r="D1445" s="21" t="str">
        <x:v>SYN-0413-INV-02</x:v>
      </x:c>
      <x:c r="E1445" s="39" t="n">
        <x:v>45995</x:v>
      </x:c>
      <x:c r="F1445" s="42" t="n">
        <x:v>82129.76</x:v>
      </x:c>
      <x:c r="G1445" s="42" t="n">
        <x:v>4106.49</x:v>
      </x:c>
      <x:c r="H1445" s="42" t="n">
        <x:v>261064.31</x:v>
      </x:c>
      <x:c r="I1445" s="39" t="n">
        <x:v>46279</x:v>
      </x:c>
    </x:row>
    <x:row r="1446">
      <x:c r="A1446" s="21" t="str">
        <x:v>SYN-0413</x:v>
      </x:c>
      <x:c r="B1446" s="21" t="str">
        <x:v>Synthetic Supplier 0413 LLC</x:v>
      </x:c>
      <x:c r="C1446" s="38" t="str">
        <x:f>"900 000 000 000 413"</x:f>
        <x:v>900 000 000 000 413</x:v>
      </x:c>
      <x:c r="D1446" s="21" t="str">
        <x:v>SYN-0413-INV-03</x:v>
      </x:c>
      <x:c r="E1446" s="39" t="n">
        <x:v>46042</x:v>
      </x:c>
      <x:c r="F1446" s="42" t="n">
        <x:v>74663.45</x:v>
      </x:c>
      <x:c r="G1446" s="42" t="n">
        <x:v>3733.17</x:v>
      </x:c>
      <x:c r="H1446" s="42" t="n">
        <x:v>261064.31</x:v>
      </x:c>
      <x:c r="I1446" s="39" t="n">
        <x:v>46279</x:v>
      </x:c>
    </x:row>
    <x:row r="1447">
      <x:c r="A1447" s="21" t="str">
        <x:v>SYN-0414</x:v>
      </x:c>
      <x:c r="B1447" s="21" t="str">
        <x:v>Synthetic Supplier 0414 LLC</x:v>
      </x:c>
      <x:c r="C1447" s="38" t="str">
        <x:f>"900 000 000 000 414"</x:f>
        <x:v>900 000 000 000 414</x:v>
      </x:c>
      <x:c r="D1447" s="21" t="str">
        <x:v>SYN-0414-INV-01</x:v>
      </x:c>
      <x:c r="E1447" s="39" t="n">
        <x:v>45961</x:v>
      </x:c>
      <x:c r="F1447" s="42" t="n">
        <x:v>30640.04</x:v>
      </x:c>
      <x:c r="G1447" s="42" t="n">
        <x:v>1532</x:v>
      </x:c>
      <x:c r="H1447" s="42" t="n">
        <x:v>117781.54</x:v>
      </x:c>
      <x:c r="I1447" s="39" t="n">
        <x:v>45672</x:v>
      </x:c>
    </x:row>
    <x:row r="1448">
      <x:c r="A1448" s="21" t="str">
        <x:v>SYN-0414</x:v>
      </x:c>
      <x:c r="B1448" s="21" t="str">
        <x:v>Synthetic Supplier 0414 LLC</x:v>
      </x:c>
      <x:c r="C1448" s="38" t="str">
        <x:f>"900 000 000 000 414"</x:f>
        <x:v>900 000 000 000 414</x:v>
      </x:c>
      <x:c r="D1448" s="21" t="str">
        <x:v>SYN-0414-INV-02</x:v>
      </x:c>
      <x:c r="E1448" s="39" t="n">
        <x:v>46008</x:v>
      </x:c>
      <x:c r="F1448" s="42" t="n">
        <x:v>40639</x:v>
      </x:c>
      <x:c r="G1448" s="42" t="n">
        <x:v>2031.95</x:v>
      </x:c>
      <x:c r="H1448" s="42" t="n">
        <x:v>117781.54</x:v>
      </x:c>
      <x:c r="I1448" s="39" t="n">
        <x:v>45672</x:v>
      </x:c>
    </x:row>
    <x:row r="1449">
      <x:c r="A1449" s="21" t="str">
        <x:v>SYN-0414</x:v>
      </x:c>
      <x:c r="B1449" s="21" t="str">
        <x:v>Synthetic Supplier 0414 LLC</x:v>
      </x:c>
      <x:c r="C1449" s="38" t="str">
        <x:f>"900 000 000 000 414"</x:f>
        <x:v>900 000 000 000 414</x:v>
      </x:c>
      <x:c r="D1449" s="21" t="str">
        <x:v>SYN-0414-INV-03</x:v>
      </x:c>
      <x:c r="E1449" s="39" t="n">
        <x:v>46055</x:v>
      </x:c>
      <x:c r="F1449" s="42" t="n">
        <x:v>34663.56</x:v>
      </x:c>
      <x:c r="G1449" s="42" t="n">
        <x:v>1733.18</x:v>
      </x:c>
      <x:c r="H1449" s="42" t="n">
        <x:v>117781.54</x:v>
      </x:c>
      <x:c r="I1449" s="39" t="n">
        <x:v>45672</x:v>
      </x:c>
    </x:row>
    <x:row r="1450">
      <x:c r="A1450" s="21" t="str">
        <x:v>SYN-0414</x:v>
      </x:c>
      <x:c r="B1450" s="21" t="str">
        <x:v>Synthetic Supplier 0414 LLC</x:v>
      </x:c>
      <x:c r="C1450" s="38" t="str">
        <x:f>"900 000 000 000 414"</x:f>
        <x:v>900 000 000 000 414</x:v>
      </x:c>
      <x:c r="D1450" s="21" t="str">
        <x:v>SYN-0414-INV-04</x:v>
      </x:c>
      <x:c r="E1450" s="39" t="n">
        <x:v>46102</x:v>
      </x:c>
      <x:c r="F1450" s="42" t="n">
        <x:v>24925.77</x:v>
      </x:c>
      <x:c r="G1450" s="42" t="n">
        <x:v>1246.29</x:v>
      </x:c>
      <x:c r="H1450" s="42" t="n">
        <x:v>117781.54</x:v>
      </x:c>
      <x:c r="I1450" s="39" t="n">
        <x:v>45672</x:v>
      </x:c>
    </x:row>
    <x:row r="1451">
      <x:c r="A1451" s="21" t="str">
        <x:v>SYN-0415</x:v>
      </x:c>
      <x:c r="B1451" s="21" t="str">
        <x:v>Synthetic Supplier 0415 LLC</x:v>
      </x:c>
      <x:c r="C1451" s="38" t="str">
        <x:f>"900 000 000 000 415"</x:f>
        <x:v>900 000 000 000 415</x:v>
      </x:c>
      <x:c r="D1451" s="21" t="str">
        <x:v>SYN-0415-INV-01</x:v>
      </x:c>
      <x:c r="E1451" s="39" t="n">
        <x:v>45974</x:v>
      </x:c>
      <x:c r="F1451" s="42" t="n">
        <x:v>27887.72</x:v>
      </x:c>
      <x:c r="G1451" s="42" t="n">
        <x:v>1394.39</x:v>
      </x:c>
      <x:c r="H1451" s="42" t="n">
        <x:v>155725.23</x:v>
      </x:c>
      <x:c r="I1451" s="39"/>
    </x:row>
    <x:row r="1452">
      <x:c r="A1452" s="21" t="str">
        <x:v>SYN-0415</x:v>
      </x:c>
      <x:c r="B1452" s="21" t="str">
        <x:v>Synthetic Supplier 0415 LLC</x:v>
      </x:c>
      <x:c r="C1452" s="38" t="str">
        <x:f>"900 000 000 000 415"</x:f>
        <x:v>900 000 000 000 415</x:v>
      </x:c>
      <x:c r="D1452" s="21" t="str">
        <x:v>SYN-0415-INV-02</x:v>
      </x:c>
      <x:c r="E1452" s="39" t="n">
        <x:v>46021</x:v>
      </x:c>
      <x:c r="F1452" s="42" t="n">
        <x:v>44184.36</x:v>
      </x:c>
      <x:c r="G1452" s="42" t="n">
        <x:v>2209.22</x:v>
      </x:c>
      <x:c r="H1452" s="42" t="n">
        <x:v>155725.23</x:v>
      </x:c>
      <x:c r="I1452" s="39"/>
    </x:row>
    <x:row r="1453">
      <x:c r="A1453" s="21" t="str">
        <x:v>SYN-0415</x:v>
      </x:c>
      <x:c r="B1453" s="21" t="str">
        <x:v>Synthetic Supplier 0415 LLC</x:v>
      </x:c>
      <x:c r="C1453" s="38" t="str">
        <x:f>"900 000 000 000 415"</x:f>
        <x:v>900 000 000 000 415</x:v>
      </x:c>
      <x:c r="D1453" s="21" t="str">
        <x:v>SYN-0415-INV-03</x:v>
      </x:c>
      <x:c r="E1453" s="39" t="n">
        <x:v>46068</x:v>
      </x:c>
      <x:c r="F1453" s="42" t="n">
        <x:v>25777.67</x:v>
      </x:c>
      <x:c r="G1453" s="42" t="n">
        <x:v>1288.88</x:v>
      </x:c>
      <x:c r="H1453" s="42" t="n">
        <x:v>155725.23</x:v>
      </x:c>
      <x:c r="I1453" s="39"/>
    </x:row>
    <x:row r="1454">
      <x:c r="A1454" s="21" t="str">
        <x:v>SYN-0415</x:v>
      </x:c>
      <x:c r="B1454" s="21" t="str">
        <x:v>Synthetic Supplier 0415 LLC</x:v>
      </x:c>
      <x:c r="C1454" s="38" t="str">
        <x:f>"900 000 000 000 415"</x:f>
        <x:v>900 000 000 000 415</x:v>
      </x:c>
      <x:c r="D1454" s="21" t="str">
        <x:v>SYN-0415-INV-04</x:v>
      </x:c>
      <x:c r="E1454" s="39" t="n">
        <x:v>46115</x:v>
      </x:c>
      <x:c r="F1454" s="42" t="n">
        <x:v>39238.97</x:v>
      </x:c>
      <x:c r="G1454" s="42" t="n">
        <x:v>1961.95</x:v>
      </x:c>
      <x:c r="H1454" s="42" t="n">
        <x:v>155725.23</x:v>
      </x:c>
      <x:c r="I1454" s="39"/>
    </x:row>
    <x:row r="1455">
      <x:c r="A1455" s="21" t="str">
        <x:v>SYN-0415</x:v>
      </x:c>
      <x:c r="B1455" s="21" t="str">
        <x:v>Synthetic Supplier 0415 LLC</x:v>
      </x:c>
      <x:c r="C1455" s="38" t="str">
        <x:f>"900 000 000 000 415"</x:f>
        <x:v>900 000 000 000 415</x:v>
      </x:c>
      <x:c r="D1455" s="21" t="str">
        <x:v>SYN-0415-INV-05</x:v>
      </x:c>
      <x:c r="E1455" s="39" t="n">
        <x:v>46162</x:v>
      </x:c>
      <x:c r="F1455" s="42" t="n">
        <x:v>35939.32</x:v>
      </x:c>
      <x:c r="G1455" s="42" t="n">
        <x:v>1796.97</x:v>
      </x:c>
      <x:c r="H1455" s="42" t="n">
        <x:v>155725.23</x:v>
      </x:c>
      <x:c r="I1455" s="39"/>
    </x:row>
    <x:row r="1456">
      <x:c r="A1456" s="21" t="str">
        <x:v>SYN-0416</x:v>
      </x:c>
      <x:c r="B1456" s="21" t="str">
        <x:v>Synthetic Supplier 0416 LLC</x:v>
      </x:c>
      <x:c r="C1456" s="38" t="str">
        <x:f>"900 000 000 000 416"</x:f>
        <x:v>900 000 000 000 416</x:v>
      </x:c>
      <x:c r="D1456" s="21" t="str">
        <x:v>SYN-0416-INV-01</x:v>
      </x:c>
      <x:c r="E1456" s="39" t="n">
        <x:v>45987</x:v>
      </x:c>
      <x:c r="F1456" s="42" t="n">
        <x:v>105683.2</x:v>
      </x:c>
      <x:c r="G1456" s="42" t="n">
        <x:v>5284.16</x:v>
      </x:c>
      <x:c r="H1456" s="42" t="n">
        <x:v>221653.3</x:v>
      </x:c>
      <x:c r="I1456" s="39" t="n">
        <x:v>45733</x:v>
      </x:c>
    </x:row>
    <x:row r="1457">
      <x:c r="A1457" s="21" t="str">
        <x:v>SYN-0416</x:v>
      </x:c>
      <x:c r="B1457" s="21" t="str">
        <x:v>Synthetic Supplier 0416 LLC</x:v>
      </x:c>
      <x:c r="C1457" s="38" t="str">
        <x:f>"900 000 000 000 416"</x:f>
        <x:v>900 000 000 000 416</x:v>
      </x:c>
      <x:c r="D1457" s="21" t="str">
        <x:v>SYN-0416-INV-02</x:v>
      </x:c>
      <x:c r="E1457" s="39" t="n">
        <x:v>46034</x:v>
      </x:c>
      <x:c r="F1457" s="42" t="n">
        <x:v>140598.24</x:v>
      </x:c>
      <x:c r="G1457" s="42" t="n">
        <x:v>7029.91</x:v>
      </x:c>
      <x:c r="H1457" s="42" t="n">
        <x:v>221653.3</x:v>
      </x:c>
      <x:c r="I1457" s="39" t="n">
        <x:v>45733</x:v>
      </x:c>
    </x:row>
    <x:row r="1458">
      <x:c r="A1458" s="21" t="str">
        <x:v>SYN-0417</x:v>
      </x:c>
      <x:c r="B1458" s="21" t="str">
        <x:v>Synthetic Supplier 0417 LLC</x:v>
      </x:c>
      <x:c r="C1458" s="38" t="str">
        <x:f>"900 000 000 000 417"</x:f>
        <x:v>900 000 000 000 417</x:v>
      </x:c>
      <x:c r="D1458" s="21" t="str">
        <x:v>SYN-0417-INV-01</x:v>
      </x:c>
      <x:c r="E1458" s="39" t="n">
        <x:v>46000</x:v>
      </x:c>
      <x:c r="F1458" s="42" t="n">
        <x:v>50618.31</x:v>
      </x:c>
      <x:c r="G1458" s="42" t="n">
        <x:v>2530.92</x:v>
      </x:c>
      <x:c r="H1458" s="42" t="n">
        <x:v>101382.84</x:v>
      </x:c>
      <x:c r="I1458" s="39" t="n">
        <x:v>46130</x:v>
      </x:c>
    </x:row>
    <x:row r="1459">
      <x:c r="A1459" s="21" t="str">
        <x:v>SYN-0417</x:v>
      </x:c>
      <x:c r="B1459" s="21" t="str">
        <x:v>Synthetic Supplier 0417 LLC</x:v>
      </x:c>
      <x:c r="C1459" s="38" t="str">
        <x:f>"900 000 000 000 417"</x:f>
        <x:v>900 000 000 000 417</x:v>
      </x:c>
      <x:c r="D1459" s="21" t="str">
        <x:v>SYN-0417-INV-02</x:v>
      </x:c>
      <x:c r="E1459" s="39" t="n">
        <x:v>46047</x:v>
      </x:c>
      <x:c r="F1459" s="42" t="n">
        <x:v>24299.06</x:v>
      </x:c>
      <x:c r="G1459" s="42" t="n">
        <x:v>1214.95</x:v>
      </x:c>
      <x:c r="H1459" s="42" t="n">
        <x:v>101382.84</x:v>
      </x:c>
      <x:c r="I1459" s="39" t="n">
        <x:v>46130</x:v>
      </x:c>
    </x:row>
    <x:row r="1460">
      <x:c r="A1460" s="21" t="str">
        <x:v>SYN-0417</x:v>
      </x:c>
      <x:c r="B1460" s="21" t="str">
        <x:v>Synthetic Supplier 0417 LLC</x:v>
      </x:c>
      <x:c r="C1460" s="38" t="str">
        <x:f>"900 000 000 000 417"</x:f>
        <x:v>900 000 000 000 417</x:v>
      </x:c>
      <x:c r="D1460" s="21" t="str">
        <x:v>SYN-0417-INV-03</x:v>
      </x:c>
      <x:c r="E1460" s="39" t="n">
        <x:v>46094</x:v>
      </x:c>
      <x:c r="F1460" s="42" t="n">
        <x:v>37730.23</x:v>
      </x:c>
      <x:c r="G1460" s="42" t="n">
        <x:v>1886.51</x:v>
      </x:c>
      <x:c r="H1460" s="42" t="n">
        <x:v>101382.84</x:v>
      </x:c>
      <x:c r="I1460" s="39" t="n">
        <x:v>46130</x:v>
      </x:c>
    </x:row>
    <x:row r="1461">
      <x:c r="A1461" s="21" t="str">
        <x:v>SYN-0418</x:v>
      </x:c>
      <x:c r="B1461" s="21" t="str">
        <x:v>Synthetic Supplier 0418 LLC</x:v>
      </x:c>
      <x:c r="C1461" s="38" t="str">
        <x:f>"900 000 000 000 418"</x:f>
        <x:v>900 000 000 000 418</x:v>
      </x:c>
      <x:c r="D1461" s="21" t="str">
        <x:v>SYN-0418-INV-01</x:v>
      </x:c>
      <x:c r="E1461" s="39" t="n">
        <x:v>46013</x:v>
      </x:c>
      <x:c r="F1461" s="42" t="n">
        <x:v>42568.88</x:v>
      </x:c>
      <x:c r="G1461" s="42" t="n">
        <x:v>2128.44</x:v>
      </x:c>
      <x:c r="H1461" s="42" t="n">
        <x:v>176203.54</x:v>
      </x:c>
      <x:c r="I1461" s="39" t="n">
        <x:v>45796</x:v>
      </x:c>
    </x:row>
    <x:row r="1462">
      <x:c r="A1462" s="21" t="str">
        <x:v>SYN-0418</x:v>
      </x:c>
      <x:c r="B1462" s="21" t="str">
        <x:v>Synthetic Supplier 0418 LLC</x:v>
      </x:c>
      <x:c r="C1462" s="38" t="str">
        <x:f>"900 000 000 000 418"</x:f>
        <x:v>900 000 000 000 418</x:v>
      </x:c>
      <x:c r="D1462" s="21" t="str">
        <x:v>SYN-0418-INV-02</x:v>
      </x:c>
      <x:c r="E1462" s="39" t="n">
        <x:v>46060</x:v>
      </x:c>
      <x:c r="F1462" s="42" t="n">
        <x:v>38959.33</x:v>
      </x:c>
      <x:c r="G1462" s="42" t="n">
        <x:v>1947.97</x:v>
      </x:c>
      <x:c r="H1462" s="42" t="n">
        <x:v>176203.54</x:v>
      </x:c>
      <x:c r="I1462" s="39" t="n">
        <x:v>45796</x:v>
      </x:c>
    </x:row>
    <x:row r="1463">
      <x:c r="A1463" s="21" t="str">
        <x:v>SYN-0418</x:v>
      </x:c>
      <x:c r="B1463" s="21" t="str">
        <x:v>Synthetic Supplier 0418 LLC</x:v>
      </x:c>
      <x:c r="C1463" s="38" t="str">
        <x:f>"900 000 000 000 418"</x:f>
        <x:v>900 000 000 000 418</x:v>
      </x:c>
      <x:c r="D1463" s="21" t="str">
        <x:v>SYN-0418-INV-03</x:v>
      </x:c>
      <x:c r="E1463" s="39" t="n">
        <x:v>46107</x:v>
      </x:c>
      <x:c r="F1463" s="42" t="n">
        <x:v>66131.69</x:v>
      </x:c>
      <x:c r="G1463" s="42" t="n">
        <x:v>3306.58</x:v>
      </x:c>
      <x:c r="H1463" s="42" t="n">
        <x:v>176203.54</x:v>
      </x:c>
      <x:c r="I1463" s="39" t="n">
        <x:v>45796</x:v>
      </x:c>
    </x:row>
    <x:row r="1464">
      <x:c r="A1464" s="21" t="str">
        <x:v>SYN-0418</x:v>
      </x:c>
      <x:c r="B1464" s="21" t="str">
        <x:v>Synthetic Supplier 0418 LLC</x:v>
      </x:c>
      <x:c r="C1464" s="38" t="str">
        <x:f>"900 000 000 000 418"</x:f>
        <x:v>900 000 000 000 418</x:v>
      </x:c>
      <x:c r="D1464" s="21" t="str">
        <x:v>SYN-0418-INV-04</x:v>
      </x:c>
      <x:c r="E1464" s="39" t="n">
        <x:v>46154</x:v>
      </x:c>
      <x:c r="F1464" s="42" t="n">
        <x:v>48121.81</x:v>
      </x:c>
      <x:c r="G1464" s="42" t="n">
        <x:v>2406.09</x:v>
      </x:c>
      <x:c r="H1464" s="42" t="n">
        <x:v>176203.54</x:v>
      </x:c>
      <x:c r="I1464" s="39" t="n">
        <x:v>45796</x:v>
      </x:c>
    </x:row>
    <x:row r="1465">
      <x:c r="A1465" s="21" t="str">
        <x:v>SYN-0419</x:v>
      </x:c>
      <x:c r="B1465" s="21" t="str">
        <x:v>Synthetic Supplier 0419 LLC</x:v>
      </x:c>
      <x:c r="C1465" s="38" t="str">
        <x:f>"900 000 000 000 419"</x:f>
        <x:v>900 000 000 000 419</x:v>
      </x:c>
      <x:c r="D1465" s="21" t="str">
        <x:v>SYN-0419-INV-01</x:v>
      </x:c>
      <x:c r="E1465" s="39" t="n">
        <x:v>46026</x:v>
      </x:c>
      <x:c r="F1465" s="42" t="n">
        <x:v>85827.57</x:v>
      </x:c>
      <x:c r="G1465" s="42" t="n">
        <x:v>4291.38</x:v>
      </x:c>
      <x:c r="H1465" s="42" t="n">
        <x:v>299484.11</x:v>
      </x:c>
      <x:c r="I1465" s="39" t="n">
        <x:v>46193</x:v>
      </x:c>
    </x:row>
    <x:row r="1466">
      <x:c r="A1466" s="21" t="str">
        <x:v>SYN-0419</x:v>
      </x:c>
      <x:c r="B1466" s="21" t="str">
        <x:v>Synthetic Supplier 0419 LLC</x:v>
      </x:c>
      <x:c r="C1466" s="38" t="str">
        <x:f>"900 000 000 000 419"</x:f>
        <x:v>900 000 000 000 419</x:v>
      </x:c>
      <x:c r="D1466" s="21" t="str">
        <x:v>SYN-0419-INV-02</x:v>
      </x:c>
      <x:c r="E1466" s="39" t="n">
        <x:v>46073</x:v>
      </x:c>
      <x:c r="F1466" s="42" t="n">
        <x:v>69027.57</x:v>
      </x:c>
      <x:c r="G1466" s="42" t="n">
        <x:v>3451.38</x:v>
      </x:c>
      <x:c r="H1466" s="42" t="n">
        <x:v>299484.11</x:v>
      </x:c>
      <x:c r="I1466" s="39" t="n">
        <x:v>46193</x:v>
      </x:c>
    </x:row>
    <x:row r="1467">
      <x:c r="A1467" s="21" t="str">
        <x:v>SYN-0419</x:v>
      </x:c>
      <x:c r="B1467" s="21" t="str">
        <x:v>Synthetic Supplier 0419 LLC</x:v>
      </x:c>
      <x:c r="C1467" s="38" t="str">
        <x:f>"900 000 000 000 419"</x:f>
        <x:v>900 000 000 000 419</x:v>
      </x:c>
      <x:c r="D1467" s="21" t="str">
        <x:v>SYN-0419-INV-03</x:v>
      </x:c>
      <x:c r="E1467" s="39" t="n">
        <x:v>46120</x:v>
      </x:c>
      <x:c r="F1467" s="42" t="n">
        <x:v>65547.69</x:v>
      </x:c>
      <x:c r="G1467" s="42" t="n">
        <x:v>3277.38</x:v>
      </x:c>
      <x:c r="H1467" s="42" t="n">
        <x:v>299484.11</x:v>
      </x:c>
      <x:c r="I1467" s="39" t="n">
        <x:v>46193</x:v>
      </x:c>
    </x:row>
    <x:row r="1468">
      <x:c r="A1468" s="21" t="str">
        <x:v>SYN-0419</x:v>
      </x:c>
      <x:c r="B1468" s="21" t="str">
        <x:v>Synthetic Supplier 0419 LLC</x:v>
      </x:c>
      <x:c r="C1468" s="38" t="str">
        <x:f>"900 000 000 000 419"</x:f>
        <x:v>900 000 000 000 419</x:v>
      </x:c>
      <x:c r="D1468" s="21" t="str">
        <x:v>SYN-0419-INV-04</x:v>
      </x:c>
      <x:c r="E1468" s="39" t="n">
        <x:v>46167</x:v>
      </x:c>
      <x:c r="F1468" s="42" t="n">
        <x:v>41752.09</x:v>
      </x:c>
      <x:c r="G1468" s="42" t="n">
        <x:v>2087.6</x:v>
      </x:c>
      <x:c r="H1468" s="42" t="n">
        <x:v>299484.11</x:v>
      </x:c>
      <x:c r="I1468" s="39" t="n">
        <x:v>46193</x:v>
      </x:c>
    </x:row>
    <x:row r="1469">
      <x:c r="A1469" s="21" t="str">
        <x:v>SYN-0419</x:v>
      </x:c>
      <x:c r="B1469" s="21" t="str">
        <x:v>Synthetic Supplier 0419 LLC</x:v>
      </x:c>
      <x:c r="C1469" s="38" t="str">
        <x:f>"900 000 000 000 419"</x:f>
        <x:v>900 000 000 000 419</x:v>
      </x:c>
      <x:c r="D1469" s="21" t="str">
        <x:v>SYN-0419-INV-05</x:v>
      </x:c>
      <x:c r="E1469" s="39" t="n">
        <x:v>46214</x:v>
      </x:c>
      <x:c r="F1469" s="42" t="n">
        <x:v>70605.21</x:v>
      </x:c>
      <x:c r="G1469" s="42" t="n">
        <x:v>3530.26</x:v>
      </x:c>
      <x:c r="H1469" s="42" t="n">
        <x:v>299484.11</x:v>
      </x:c>
      <x:c r="I1469" s="39" t="n">
        <x:v>46193</x:v>
      </x:c>
    </x:row>
    <x:row r="1470">
      <x:c r="A1470" s="21" t="str">
        <x:v>SYN-0420</x:v>
      </x:c>
      <x:c r="B1470" s="21" t="str">
        <x:v>Synthetic Supplier 0420 LLC</x:v>
      </x:c>
      <x:c r="C1470" s="38" t="str">
        <x:f>"900 000 000 000 420"</x:f>
        <x:v>900 000 000 000 420</x:v>
      </x:c>
      <x:c r="D1470" s="21" t="str">
        <x:v>SYN-0420-INV-01</x:v>
      </x:c>
      <x:c r="E1470" s="39" t="n">
        <x:v>46039</x:v>
      </x:c>
      <x:c r="F1470" s="42" t="n">
        <x:v>134452.71</x:v>
      </x:c>
      <x:c r="G1470" s="42" t="n">
        <x:v>6722.64</x:v>
      </x:c>
      <x:c r="H1470" s="42" t="n">
        <x:v>334955.8</x:v>
      </x:c>
      <x:c r="I1470" s="39"/>
    </x:row>
    <x:row r="1471">
      <x:c r="A1471" s="21" t="str">
        <x:v>SYN-0420</x:v>
      </x:c>
      <x:c r="B1471" s="21" t="str">
        <x:v>Synthetic Supplier 0420 LLC</x:v>
      </x:c>
      <x:c r="C1471" s="38" t="str">
        <x:f>"900 000 000 000 420"</x:f>
        <x:v>900 000 000 000 420</x:v>
      </x:c>
      <x:c r="D1471" s="21" t="str">
        <x:v>SYN-0420-INV-02</x:v>
      </x:c>
      <x:c r="E1471" s="39" t="n">
        <x:v>46086</x:v>
      </x:c>
      <x:c r="F1471" s="42" t="n">
        <x:v>156813.2</x:v>
      </x:c>
      <x:c r="G1471" s="42" t="n">
        <x:v>7840.66</x:v>
      </x:c>
      <x:c r="H1471" s="42" t="n">
        <x:v>334955.8</x:v>
      </x:c>
      <x:c r="I1471" s="39"/>
    </x:row>
    <x:row r="1472">
      <x:c r="A1472" s="21" t="str">
        <x:v>SYN-0421</x:v>
      </x:c>
      <x:c r="B1472" s="21" t="str">
        <x:v>Synthetic Supplier 0421 LLC</x:v>
      </x:c>
      <x:c r="C1472" s="38" t="str">
        <x:f>"900 000 000 000 421"</x:f>
        <x:v>900 000 000 000 421</x:v>
      </x:c>
      <x:c r="D1472" s="21" t="str">
        <x:v>SYN-0421-INV-01</x:v>
      </x:c>
      <x:c r="E1472" s="39" t="n">
        <x:v>46052</x:v>
      </x:c>
      <x:c r="F1472" s="42" t="n">
        <x:v>93467.46</x:v>
      </x:c>
      <x:c r="G1472" s="42" t="n">
        <x:v>4673.37</x:v>
      </x:c>
      <x:c r="H1472" s="42" t="n">
        <x:v>260863.81</x:v>
      </x:c>
      <x:c r="I1472" s="39" t="n">
        <x:v>45932</x:v>
      </x:c>
    </x:row>
    <x:row r="1473">
      <x:c r="A1473" s="21" t="str">
        <x:v>SYN-0421</x:v>
      </x:c>
      <x:c r="B1473" s="21" t="str">
        <x:v>Synthetic Supplier 0421 LLC</x:v>
      </x:c>
      <x:c r="C1473" s="38" t="str">
        <x:f>"900 000 000 000 421"</x:f>
        <x:v>900 000 000 000 421</x:v>
      </x:c>
      <x:c r="D1473" s="21" t="str">
        <x:v>SYN-0421-INV-02</x:v>
      </x:c>
      <x:c r="E1473" s="39" t="n">
        <x:v>46099</x:v>
      </x:c>
      <x:c r="F1473" s="42" t="n">
        <x:v>119385.58</x:v>
      </x:c>
      <x:c r="G1473" s="42" t="n">
        <x:v>5969.28</x:v>
      </x:c>
      <x:c r="H1473" s="42" t="n">
        <x:v>260863.81</x:v>
      </x:c>
      <x:c r="I1473" s="39" t="n">
        <x:v>45932</x:v>
      </x:c>
    </x:row>
    <x:row r="1474">
      <x:c r="A1474" s="21" t="str">
        <x:v>SYN-0421</x:v>
      </x:c>
      <x:c r="B1474" s="21" t="str">
        <x:v>Synthetic Supplier 0421 LLC</x:v>
      </x:c>
      <x:c r="C1474" s="38" t="str">
        <x:f>"900 000 000 000 421"</x:f>
        <x:v>900 000 000 000 421</x:v>
      </x:c>
      <x:c r="D1474" s="21" t="str">
        <x:v>SYN-0421-INV-03</x:v>
      </x:c>
      <x:c r="E1474" s="39" t="n">
        <x:v>46146</x:v>
      </x:c>
      <x:c r="F1474" s="42" t="n">
        <x:v>76995.64</x:v>
      </x:c>
      <x:c r="G1474" s="42" t="n">
        <x:v>3849.78</x:v>
      </x:c>
      <x:c r="H1474" s="42" t="n">
        <x:v>260863.81</x:v>
      </x:c>
      <x:c r="I1474" s="39" t="n">
        <x:v>45932</x:v>
      </x:c>
    </x:row>
    <x:row r="1475">
      <x:c r="A1475" s="21" t="str">
        <x:v>SYN-0422</x:v>
      </x:c>
      <x:c r="B1475" s="21" t="str">
        <x:v>Synthetic Supplier 0422 LLC</x:v>
      </x:c>
      <x:c r="C1475" s="38" t="str">
        <x:f>"900 000 000 000 422"</x:f>
        <x:v>900 000 000 000 422</x:v>
      </x:c>
      <x:c r="D1475" s="21" t="str">
        <x:v>SYN-0422-INV-01</x:v>
      </x:c>
      <x:c r="E1475" s="39" t="n">
        <x:v>46065</x:v>
      </x:c>
      <x:c r="F1475" s="42" t="n">
        <x:v>27850.05</x:v>
      </x:c>
      <x:c r="G1475" s="42" t="n">
        <x:v>1392.5</x:v>
      </x:c>
      <x:c r="H1475" s="42" t="n">
        <x:v>99691.15</x:v>
      </x:c>
      <x:c r="I1475" s="39" t="n">
        <x:v>45939</x:v>
      </x:c>
    </x:row>
    <x:row r="1476">
      <x:c r="A1476" s="21" t="str">
        <x:v>SYN-0422</x:v>
      </x:c>
      <x:c r="B1476" s="21" t="str">
        <x:v>Synthetic Supplier 0422 LLC</x:v>
      </x:c>
      <x:c r="C1476" s="38" t="str">
        <x:f>"900 000 000 000 422"</x:f>
        <x:v>900 000 000 000 422</x:v>
      </x:c>
      <x:c r="D1476" s="21" t="str">
        <x:v>SYN-0422-INV-02</x:v>
      </x:c>
      <x:c r="E1476" s="39" t="n">
        <x:v>46112</x:v>
      </x:c>
      <x:c r="F1476" s="42" t="n">
        <x:v>37214.2</x:v>
      </x:c>
      <x:c r="G1476" s="42" t="n">
        <x:v>1860.71</x:v>
      </x:c>
      <x:c r="H1476" s="42" t="n">
        <x:v>99691.15</x:v>
      </x:c>
      <x:c r="I1476" s="39" t="n">
        <x:v>45939</x:v>
      </x:c>
    </x:row>
    <x:row r="1477">
      <x:c r="A1477" s="21" t="str">
        <x:v>SYN-0422</x:v>
      </x:c>
      <x:c r="B1477" s="21" t="str">
        <x:v>Synthetic Supplier 0422 LLC</x:v>
      </x:c>
      <x:c r="C1477" s="38" t="str">
        <x:f>"900 000 000 000 422"</x:f>
        <x:v>900 000 000 000 422</x:v>
      </x:c>
      <x:c r="D1477" s="21" t="str">
        <x:v>SYN-0422-INV-03</x:v>
      </x:c>
      <x:c r="E1477" s="39" t="n">
        <x:v>46159</x:v>
      </x:c>
      <x:c r="F1477" s="42" t="n">
        <x:v>22794.37</x:v>
      </x:c>
      <x:c r="G1477" s="42" t="n">
        <x:v>1139.72</x:v>
      </x:c>
      <x:c r="H1477" s="42" t="n">
        <x:v>99691.15</x:v>
      </x:c>
      <x:c r="I1477" s="39" t="n">
        <x:v>45939</x:v>
      </x:c>
    </x:row>
    <x:row r="1478">
      <x:c r="A1478" s="21" t="str">
        <x:v>SYN-0422</x:v>
      </x:c>
      <x:c r="B1478" s="21" t="str">
        <x:v>Synthetic Supplier 0422 LLC</x:v>
      </x:c>
      <x:c r="C1478" s="38" t="str">
        <x:f>"900 000 000 000 422"</x:f>
        <x:v>900 000 000 000 422</x:v>
      </x:c>
      <x:c r="D1478" s="21" t="str">
        <x:v>SYN-0422-INV-04</x:v>
      </x:c>
      <x:c r="E1478" s="39" t="n">
        <x:v>46206</x:v>
      </x:c>
      <x:c r="F1478" s="42" t="n">
        <x:v>22909.31</x:v>
      </x:c>
      <x:c r="G1478" s="42" t="n">
        <x:v>1145.47</x:v>
      </x:c>
      <x:c r="H1478" s="42" t="n">
        <x:v>99691.15</x:v>
      </x:c>
      <x:c r="I1478" s="39" t="n">
        <x:v>45939</x:v>
      </x:c>
    </x:row>
    <x:row r="1479">
      <x:c r="A1479" s="21" t="str">
        <x:v>SYN-0423</x:v>
      </x:c>
      <x:c r="B1479" s="21" t="str">
        <x:v>Synthetic Supplier 0423 LLC</x:v>
      </x:c>
      <x:c r="C1479" s="38" t="str">
        <x:f>"900 000 000 000 423"</x:f>
        <x:v>900 000 000 000 423</x:v>
      </x:c>
      <x:c r="D1479" s="21" t="str">
        <x:v>SYN-0423-INV-01</x:v>
      </x:c>
      <x:c r="E1479" s="39" t="n">
        <x:v>46078</x:v>
      </x:c>
      <x:c r="F1479" s="42" t="n">
        <x:v>29457.58</x:v>
      </x:c>
      <x:c r="G1479" s="42" t="n">
        <x:v>1472.88</x:v>
      </x:c>
      <x:c r="H1479" s="42" t="n">
        <x:v>113940.47</x:v>
      </x:c>
      <x:c r="I1479" s="39" t="n">
        <x:v>45946</x:v>
      </x:c>
    </x:row>
    <x:row r="1480">
      <x:c r="A1480" s="21" t="str">
        <x:v>SYN-0423</x:v>
      </x:c>
      <x:c r="B1480" s="21" t="str">
        <x:v>Synthetic Supplier 0423 LLC</x:v>
      </x:c>
      <x:c r="C1480" s="38" t="str">
        <x:f>"900 000 000 000 423"</x:f>
        <x:v>900 000 000 000 423</x:v>
      </x:c>
      <x:c r="D1480" s="21" t="str">
        <x:v>SYN-0423-INV-02</x:v>
      </x:c>
      <x:c r="E1480" s="39" t="n">
        <x:v>46125</x:v>
      </x:c>
      <x:c r="F1480" s="42" t="n">
        <x:v>24781.2</x:v>
      </x:c>
      <x:c r="G1480" s="42" t="n">
        <x:v>1239.06</x:v>
      </x:c>
      <x:c r="H1480" s="42" t="n">
        <x:v>113940.47</x:v>
      </x:c>
      <x:c r="I1480" s="39" t="n">
        <x:v>45946</x:v>
      </x:c>
    </x:row>
    <x:row r="1481">
      <x:c r="A1481" s="21" t="str">
        <x:v>SYN-0423</x:v>
      </x:c>
      <x:c r="B1481" s="21" t="str">
        <x:v>Synthetic Supplier 0423 LLC</x:v>
      </x:c>
      <x:c r="C1481" s="38" t="str">
        <x:f>"900 000 000 000 423"</x:f>
        <x:v>900 000 000 000 423</x:v>
      </x:c>
      <x:c r="D1481" s="21" t="str">
        <x:v>SYN-0423-INV-03</x:v>
      </x:c>
      <x:c r="E1481" s="39" t="n">
        <x:v>46172</x:v>
      </x:c>
      <x:c r="F1481" s="42" t="n">
        <x:v>19049.58</x:v>
      </x:c>
      <x:c r="G1481" s="42" t="n">
        <x:v>952.48</x:v>
      </x:c>
      <x:c r="H1481" s="42" t="n">
        <x:v>113940.47</x:v>
      </x:c>
      <x:c r="I1481" s="39" t="n">
        <x:v>45946</x:v>
      </x:c>
    </x:row>
    <x:row r="1482">
      <x:c r="A1482" s="21" t="str">
        <x:v>SYN-0423</x:v>
      </x:c>
      <x:c r="B1482" s="21" t="str">
        <x:v>Synthetic Supplier 0423 LLC</x:v>
      </x:c>
      <x:c r="C1482" s="38" t="str">
        <x:f>"900 000 000 000 423"</x:f>
        <x:v>900 000 000 000 423</x:v>
      </x:c>
      <x:c r="D1482" s="21" t="str">
        <x:v>SYN-0423-INV-04</x:v>
      </x:c>
      <x:c r="E1482" s="39" t="n">
        <x:v>46219</x:v>
      </x:c>
      <x:c r="F1482" s="42" t="n">
        <x:v>25156.66</x:v>
      </x:c>
      <x:c r="G1482" s="42" t="n">
        <x:v>1257.83</x:v>
      </x:c>
      <x:c r="H1482" s="42" t="n">
        <x:v>113940.47</x:v>
      </x:c>
      <x:c r="I1482" s="39" t="n">
        <x:v>45946</x:v>
      </x:c>
    </x:row>
    <x:row r="1483">
      <x:c r="A1483" s="21" t="str">
        <x:v>SYN-0423</x:v>
      </x:c>
      <x:c r="B1483" s="21" t="str">
        <x:v>Synthetic Supplier 0423 LLC</x:v>
      </x:c>
      <x:c r="C1483" s="38" t="str">
        <x:f>"900 000 000 000 423"</x:f>
        <x:v>900 000 000 000 423</x:v>
      </x:c>
      <x:c r="D1483" s="21" t="str">
        <x:v>SYN-0423-INV-05</x:v>
      </x:c>
      <x:c r="E1483" s="39" t="n">
        <x:v>46266</x:v>
      </x:c>
      <x:c r="F1483" s="42" t="n">
        <x:v>28155.5</x:v>
      </x:c>
      <x:c r="G1483" s="42" t="n">
        <x:v>1407.78</x:v>
      </x:c>
      <x:c r="H1483" s="42" t="n">
        <x:v>113940.47</x:v>
      </x:c>
      <x:c r="I1483" s="39" t="n">
        <x:v>45946</x:v>
      </x:c>
    </x:row>
    <x:row r="1484">
      <x:c r="A1484" s="21" t="str">
        <x:v>SYN-0424</x:v>
      </x:c>
      <x:c r="B1484" s="21" t="str">
        <x:v>Synthetic Supplier 0424 LLC</x:v>
      </x:c>
      <x:c r="C1484" s="38" t="str">
        <x:f>"900 000 000 000 424"</x:f>
        <x:v>900 000 000 000 424</x:v>
      </x:c>
      <x:c r="D1484" s="21" t="str">
        <x:v>SYN-0424-INV-01</x:v>
      </x:c>
      <x:c r="E1484" s="39" t="n">
        <x:v>46091</x:v>
      </x:c>
      <x:c r="F1484" s="42" t="n">
        <x:v>162947.64</x:v>
      </x:c>
      <x:c r="G1484" s="42" t="n">
        <x:v>8147.38</x:v>
      </x:c>
      <x:c r="H1484" s="42" t="n">
        <x:v>260202.83</x:v>
      </x:c>
      <x:c r="I1484" s="39" t="n">
        <x:v>45953</x:v>
      </x:c>
    </x:row>
    <x:row r="1485">
      <x:c r="A1485" s="21" t="str">
        <x:v>SYN-0424</x:v>
      </x:c>
      <x:c r="B1485" s="21" t="str">
        <x:v>Synthetic Supplier 0424 LLC</x:v>
      </x:c>
      <x:c r="C1485" s="38" t="str">
        <x:f>"900 000 000 000 424"</x:f>
        <x:v>900 000 000 000 424</x:v>
      </x:c>
      <x:c r="D1485" s="21" t="str">
        <x:v>SYN-0424-INV-02</x:v>
      </x:c>
      <x:c r="E1485" s="39" t="n">
        <x:v>46138</x:v>
      </x:c>
      <x:c r="F1485" s="42" t="n">
        <x:v>126166.62</x:v>
      </x:c>
      <x:c r="G1485" s="42" t="n">
        <x:v>6308.33</x:v>
      </x:c>
      <x:c r="H1485" s="42" t="n">
        <x:v>260202.83</x:v>
      </x:c>
      <x:c r="I1485" s="39" t="n">
        <x:v>45953</x:v>
      </x:c>
    </x:row>
    <x:row r="1486">
      <x:c r="A1486" s="21" t="str">
        <x:v>SYN-0425</x:v>
      </x:c>
      <x:c r="B1486" s="21" t="str">
        <x:v>Synthetic Supplier 0425 LLC</x:v>
      </x:c>
      <x:c r="C1486" s="38" t="str">
        <x:f>"900 000 000 000 425"</x:f>
        <x:v>900 000 000 000 425</x:v>
      </x:c>
      <x:c r="D1486" s="21" t="str">
        <x:v>SYN-0425-INV-01</x:v>
      </x:c>
      <x:c r="E1486" s="39" t="n">
        <x:v>46104</x:v>
      </x:c>
      <x:c r="F1486" s="42" t="n">
        <x:v>96459.52</x:v>
      </x:c>
      <x:c r="G1486" s="42" t="n">
        <x:v>4822.98</x:v>
      </x:c>
      <x:c r="H1486" s="42" t="n">
        <x:v>269992.2</x:v>
      </x:c>
      <x:c r="I1486" s="39" t="n">
        <x:v>45960</x:v>
      </x:c>
    </x:row>
    <x:row r="1487">
      <x:c r="A1487" s="21" t="str">
        <x:v>SYN-0425</x:v>
      </x:c>
      <x:c r="B1487" s="21" t="str">
        <x:v>Synthetic Supplier 0425 LLC</x:v>
      </x:c>
      <x:c r="C1487" s="38" t="str">
        <x:f>"900 000 000 000 425"</x:f>
        <x:v>900 000 000 000 425</x:v>
      </x:c>
      <x:c r="D1487" s="21" t="str">
        <x:v>SYN-0425-INV-02</x:v>
      </x:c>
      <x:c r="E1487" s="39" t="n">
        <x:v>46151</x:v>
      </x:c>
      <x:c r="F1487" s="42" t="n">
        <x:v>69935.66</x:v>
      </x:c>
      <x:c r="G1487" s="42" t="n">
        <x:v>3496.78</x:v>
      </x:c>
      <x:c r="H1487" s="42" t="n">
        <x:v>269992.2</x:v>
      </x:c>
      <x:c r="I1487" s="39" t="n">
        <x:v>45960</x:v>
      </x:c>
    </x:row>
    <x:row r="1488">
      <x:c r="A1488" s="21" t="str">
        <x:v>SYN-0425</x:v>
      </x:c>
      <x:c r="B1488" s="21" t="str">
        <x:v>Synthetic Supplier 0425 LLC</x:v>
      </x:c>
      <x:c r="C1488" s="38" t="str">
        <x:f>"900 000 000 000 425"</x:f>
        <x:v>900 000 000 000 425</x:v>
      </x:c>
      <x:c r="D1488" s="21" t="str">
        <x:v>SYN-0425-INV-03</x:v>
      </x:c>
      <x:c r="E1488" s="39" t="n">
        <x:v>46198</x:v>
      </x:c>
      <x:c r="F1488" s="42" t="n">
        <x:v>133596.15</x:v>
      </x:c>
      <x:c r="G1488" s="42" t="n">
        <x:v>6679.81</x:v>
      </x:c>
      <x:c r="H1488" s="42" t="n">
        <x:v>269992.2</x:v>
      </x:c>
      <x:c r="I1488" s="39" t="n">
        <x:v>45960</x:v>
      </x:c>
    </x:row>
    <x:row r="1489">
      <x:c r="A1489" s="21" t="str">
        <x:v>SYN-0426</x:v>
      </x:c>
      <x:c r="B1489" s="21" t="str">
        <x:v>Synthetic Supplier 0426 LLC</x:v>
      </x:c>
      <x:c r="C1489" s="38" t="str">
        <x:f>"900 000 000 000 426"</x:f>
        <x:v>900 000 000 000 426</x:v>
      </x:c>
      <x:c r="D1489" s="21" t="str">
        <x:v>SYN-0426-INV-01</x:v>
      </x:c>
      <x:c r="E1489" s="39" t="n">
        <x:v>46117</x:v>
      </x:c>
      <x:c r="F1489" s="42" t="n">
        <x:v>33009.56</x:v>
      </x:c>
      <x:c r="G1489" s="42" t="n">
        <x:v>1650.48</x:v>
      </x:c>
      <x:c r="H1489" s="42" t="n">
        <x:v>100952.69</x:v>
      </x:c>
      <x:c r="I1489" s="39" t="n">
        <x:v>45967</x:v>
      </x:c>
    </x:row>
    <x:row r="1490">
      <x:c r="A1490" s="21" t="str">
        <x:v>SYN-0426</x:v>
      </x:c>
      <x:c r="B1490" s="21" t="str">
        <x:v>Synthetic Supplier 0426 LLC</x:v>
      </x:c>
      <x:c r="C1490" s="38" t="str">
        <x:f>"900 000 000 000 426"</x:f>
        <x:v>900 000 000 000 426</x:v>
      </x:c>
      <x:c r="D1490" s="21" t="str">
        <x:v>SYN-0426-INV-02</x:v>
      </x:c>
      <x:c r="E1490" s="39" t="n">
        <x:v>46164</x:v>
      </x:c>
      <x:c r="F1490" s="42" t="n">
        <x:v>19558.68</x:v>
      </x:c>
      <x:c r="G1490" s="42" t="n">
        <x:v>977.93</x:v>
      </x:c>
      <x:c r="H1490" s="42" t="n">
        <x:v>100952.69</x:v>
      </x:c>
      <x:c r="I1490" s="39" t="n">
        <x:v>45967</x:v>
      </x:c>
    </x:row>
    <x:row r="1491">
      <x:c r="A1491" s="21" t="str">
        <x:v>SYN-0426</x:v>
      </x:c>
      <x:c r="B1491" s="21" t="str">
        <x:v>Synthetic Supplier 0426 LLC</x:v>
      </x:c>
      <x:c r="C1491" s="38" t="str">
        <x:f>"900 000 000 000 426"</x:f>
        <x:v>900 000 000 000 426</x:v>
      </x:c>
      <x:c r="D1491" s="21" t="str">
        <x:v>SYN-0426-INV-03</x:v>
      </x:c>
      <x:c r="E1491" s="39" t="n">
        <x:v>46211</x:v>
      </x:c>
      <x:c r="F1491" s="42" t="n">
        <x:v>36916.74</x:v>
      </x:c>
      <x:c r="G1491" s="42" t="n">
        <x:v>1845.84</x:v>
      </x:c>
      <x:c r="H1491" s="42" t="n">
        <x:v>100952.69</x:v>
      </x:c>
      <x:c r="I1491" s="39" t="n">
        <x:v>45967</x:v>
      </x:c>
    </x:row>
    <x:row r="1492">
      <x:c r="A1492" s="21" t="str">
        <x:v>SYN-0426</x:v>
      </x:c>
      <x:c r="B1492" s="21" t="str">
        <x:v>Synthetic Supplier 0426 LLC</x:v>
      </x:c>
      <x:c r="C1492" s="38" t="str">
        <x:f>"900 000 000 000 426"</x:f>
        <x:v>900 000 000 000 426</x:v>
      </x:c>
      <x:c r="D1492" s="21" t="str">
        <x:v>SYN-0426-INV-04</x:v>
      </x:c>
      <x:c r="E1492" s="39" t="n">
        <x:v>46258</x:v>
      </x:c>
      <x:c r="F1492" s="42" t="n">
        <x:v>22684.67</x:v>
      </x:c>
      <x:c r="G1492" s="42" t="n">
        <x:v>1134.23</x:v>
      </x:c>
      <x:c r="H1492" s="42" t="n">
        <x:v>100952.69</x:v>
      </x:c>
      <x:c r="I1492" s="39" t="n">
        <x:v>45967</x:v>
      </x:c>
    </x:row>
    <x:row r="1493">
      <x:c r="A1493" s="21" t="str">
        <x:v>SYN-0427</x:v>
      </x:c>
      <x:c r="B1493" s="21" t="str">
        <x:v>Synthetic Supplier 0427 LLC</x:v>
      </x:c>
      <x:c r="C1493" s="38" t="str">
        <x:f>"900 000 000 000 427"</x:f>
        <x:v>900 000 000 000 427</x:v>
      </x:c>
      <x:c r="D1493" s="21" t="str">
        <x:v>SYN-0427-INV-01</x:v>
      </x:c>
      <x:c r="E1493" s="39" t="n">
        <x:v>46130</x:v>
      </x:c>
      <x:c r="F1493" s="42" t="n">
        <x:v>21791.59</x:v>
      </x:c>
      <x:c r="G1493" s="42" t="n">
        <x:v>1089.58</x:v>
      </x:c>
      <x:c r="H1493" s="42" t="n">
        <x:v>167938.2</x:v>
      </x:c>
      <x:c r="I1493" s="39" t="n">
        <x:v>45974</x:v>
      </x:c>
    </x:row>
    <x:row r="1494">
      <x:c r="A1494" s="21" t="str">
        <x:v>SYN-0427</x:v>
      </x:c>
      <x:c r="B1494" s="21" t="str">
        <x:v>Synthetic Supplier 0427 LLC</x:v>
      </x:c>
      <x:c r="C1494" s="38" t="str">
        <x:f>"900 000 000 000 427"</x:f>
        <x:v>900 000 000 000 427</x:v>
      </x:c>
      <x:c r="D1494" s="21" t="str">
        <x:v>SYN-0427-INV-02</x:v>
      </x:c>
      <x:c r="E1494" s="39" t="n">
        <x:v>46177</x:v>
      </x:c>
      <x:c r="F1494" s="42" t="n">
        <x:v>28909.52</x:v>
      </x:c>
      <x:c r="G1494" s="42" t="n">
        <x:v>1445.48</x:v>
      </x:c>
      <x:c r="H1494" s="42" t="n">
        <x:v>167938.2</x:v>
      </x:c>
      <x:c r="I1494" s="39" t="n">
        <x:v>45974</x:v>
      </x:c>
    </x:row>
    <x:row r="1495">
      <x:c r="A1495" s="21" t="str">
        <x:v>SYN-0427</x:v>
      </x:c>
      <x:c r="B1495" s="21" t="str">
        <x:v>Synthetic Supplier 0427 LLC</x:v>
      </x:c>
      <x:c r="C1495" s="38" t="str">
        <x:f>"900 000 000 000 427"</x:f>
        <x:v>900 000 000 000 427</x:v>
      </x:c>
      <x:c r="D1495" s="21" t="str">
        <x:v>SYN-0427-INV-03</x:v>
      </x:c>
      <x:c r="E1495" s="39" t="n">
        <x:v>46224</x:v>
      </x:c>
      <x:c r="F1495" s="42" t="n">
        <x:v>27410.31</x:v>
      </x:c>
      <x:c r="G1495" s="42" t="n">
        <x:v>1370.52</x:v>
      </x:c>
      <x:c r="H1495" s="42" t="n">
        <x:v>167938.2</x:v>
      </x:c>
      <x:c r="I1495" s="39" t="n">
        <x:v>45974</x:v>
      </x:c>
    </x:row>
    <x:row r="1496">
      <x:c r="A1496" s="21" t="str">
        <x:v>SYN-0427</x:v>
      </x:c>
      <x:c r="B1496" s="21" t="str">
        <x:v>Synthetic Supplier 0427 LLC</x:v>
      </x:c>
      <x:c r="C1496" s="38" t="str">
        <x:f>"900 000 000 000 427"</x:f>
        <x:v>900 000 000 000 427</x:v>
      </x:c>
      <x:c r="D1496" s="21" t="str">
        <x:v>SYN-0427-INV-04</x:v>
      </x:c>
      <x:c r="E1496" s="39" t="n">
        <x:v>46271</x:v>
      </x:c>
      <x:c r="F1496" s="42" t="n">
        <x:v>43679.47</x:v>
      </x:c>
      <x:c r="G1496" s="42" t="n">
        <x:v>2183.97</x:v>
      </x:c>
      <x:c r="H1496" s="42" t="n">
        <x:v>167938.2</x:v>
      </x:c>
      <x:c r="I1496" s="39" t="n">
        <x:v>45974</x:v>
      </x:c>
    </x:row>
    <x:row r="1497">
      <x:c r="A1497" s="21" t="str">
        <x:v>SYN-0427</x:v>
      </x:c>
      <x:c r="B1497" s="21" t="str">
        <x:v>Synthetic Supplier 0427 LLC</x:v>
      </x:c>
      <x:c r="C1497" s="38" t="str">
        <x:f>"900 000 000 000 427"</x:f>
        <x:v>900 000 000 000 427</x:v>
      </x:c>
      <x:c r="D1497" s="21" t="str">
        <x:v>SYN-0427-INV-05</x:v>
      </x:c>
      <x:c r="E1497" s="39" t="n">
        <x:v>45958</x:v>
      </x:c>
      <x:c r="F1497" s="42" t="n">
        <x:v>24242.33</x:v>
      </x:c>
      <x:c r="G1497" s="42" t="n">
        <x:v>1212.12</x:v>
      </x:c>
      <x:c r="H1497" s="42" t="n">
        <x:v>167938.2</x:v>
      </x:c>
      <x:c r="I1497" s="39" t="n">
        <x:v>45974</x:v>
      </x:c>
    </x:row>
    <x:row r="1498">
      <x:c r="A1498" s="21" t="str">
        <x:v>SYN-0428</x:v>
      </x:c>
      <x:c r="B1498" s="21" t="str">
        <x:v>Synthetic Supplier 0428 LLC</x:v>
      </x:c>
      <x:c r="C1498" s="38" t="str">
        <x:f>"900 000 000 000 428"</x:f>
        <x:v>900 000 000 000 428</x:v>
      </x:c>
      <x:c r="D1498" s="21" t="str">
        <x:v>SYN-0428-INV-01</x:v>
      </x:c>
      <x:c r="E1498" s="39" t="n">
        <x:v>46143</x:v>
      </x:c>
      <x:c r="F1498" s="42" t="n">
        <x:v>56993.13</x:v>
      </x:c>
      <x:c r="G1498" s="42" t="n">
        <x:v>2849.66</x:v>
      </x:c>
      <x:c r="H1498" s="42" t="n">
        <x:v>112830.85</x:v>
      </x:c>
      <x:c r="I1498" s="39" t="n">
        <x:v>45981</x:v>
      </x:c>
    </x:row>
    <x:row r="1499">
      <x:c r="A1499" s="21" t="str">
        <x:v>SYN-0428</x:v>
      </x:c>
      <x:c r="B1499" s="21" t="str">
        <x:v>Synthetic Supplier 0428 LLC</x:v>
      </x:c>
      <x:c r="C1499" s="38" t="str">
        <x:f>"900 000 000 000 428"</x:f>
        <x:v>900 000 000 000 428</x:v>
      </x:c>
      <x:c r="D1499" s="21" t="str">
        <x:v>SYN-0428-INV-02</x:v>
      </x:c>
      <x:c r="E1499" s="39" t="n">
        <x:v>46190</x:v>
      </x:c>
      <x:c r="F1499" s="42" t="n">
        <x:v>68374.49</x:v>
      </x:c>
      <x:c r="G1499" s="42" t="n">
        <x:v>3418.72</x:v>
      </x:c>
      <x:c r="H1499" s="42" t="n">
        <x:v>112830.85</x:v>
      </x:c>
      <x:c r="I1499" s="39" t="n">
        <x:v>45981</x:v>
      </x:c>
    </x:row>
    <x:row r="1500">
      <x:c r="A1500" s="21" t="str">
        <x:v>SYN-0429</x:v>
      </x:c>
      <x:c r="B1500" s="21" t="str">
        <x:v>Synthetic Supplier 0429 LLC</x:v>
      </x:c>
      <x:c r="C1500" s="38" t="str">
        <x:f>"900 000 000 000 429"</x:f>
        <x:v>900 000 000 000 429</x:v>
      </x:c>
      <x:c r="D1500" s="21" t="str">
        <x:v>SYN-0429-INV-01</x:v>
      </x:c>
      <x:c r="E1500" s="39" t="n">
        <x:v>46156</x:v>
      </x:c>
      <x:c r="F1500" s="42" t="n">
        <x:v>112978.15</x:v>
      </x:c>
      <x:c r="G1500" s="42" t="n">
        <x:v>5648.91</x:v>
      </x:c>
      <x:c r="H1500" s="42" t="n">
        <x:v>268280.62</x:v>
      </x:c>
      <x:c r="I1500" s="39" t="n">
        <x:v>45988</x:v>
      </x:c>
    </x:row>
    <x:row r="1501">
      <x:c r="A1501" s="21" t="str">
        <x:v>SYN-0429</x:v>
      </x:c>
      <x:c r="B1501" s="21" t="str">
        <x:v>Synthetic Supplier 0429 LLC</x:v>
      </x:c>
      <x:c r="C1501" s="38" t="str">
        <x:f>"900 000 000 000 429"</x:f>
        <x:v>900 000 000 000 429</x:v>
      </x:c>
      <x:c r="D1501" s="21" t="str">
        <x:v>SYN-0429-INV-02</x:v>
      </x:c>
      <x:c r="E1501" s="39" t="n">
        <x:v>46203</x:v>
      </x:c>
      <x:c r="F1501" s="42" t="n">
        <x:v>67215.93</x:v>
      </x:c>
      <x:c r="G1501" s="42" t="n">
        <x:v>3360.8</x:v>
      </x:c>
      <x:c r="H1501" s="42" t="n">
        <x:v>268280.62</x:v>
      </x:c>
      <x:c r="I1501" s="39" t="n">
        <x:v>45988</x:v>
      </x:c>
    </x:row>
    <x:row r="1502">
      <x:c r="A1502" s="21" t="str">
        <x:v>SYN-0429</x:v>
      </x:c>
      <x:c r="B1502" s="21" t="str">
        <x:v>Synthetic Supplier 0429 LLC</x:v>
      </x:c>
      <x:c r="C1502" s="38" t="str">
        <x:f>"900 000 000 000 429"</x:f>
        <x:v>900 000 000 000 429</x:v>
      </x:c>
      <x:c r="D1502" s="21" t="str">
        <x:v>SYN-0429-INV-03</x:v>
      </x:c>
      <x:c r="E1502" s="39" t="n">
        <x:v>46250</x:v>
      </x:c>
      <x:c r="F1502" s="42" t="n">
        <x:v>117895.5</x:v>
      </x:c>
      <x:c r="G1502" s="42" t="n">
        <x:v>5894.77</x:v>
      </x:c>
      <x:c r="H1502" s="42" t="n">
        <x:v>268280.62</x:v>
      </x:c>
      <x:c r="I1502" s="39" t="n">
        <x:v>45988</x:v>
      </x:c>
    </x:row>
    <x:row r="1503">
      <x:c r="A1503" s="21" t="str">
        <x:v>SYN-0430</x:v>
      </x:c>
      <x:c r="B1503" s="21" t="str">
        <x:v>Synthetic Supplier 0430 LLC</x:v>
      </x:c>
      <x:c r="C1503" s="38" t="str">
        <x:f>"900 000 000 000 430"</x:f>
        <x:v>900 000 000 000 430</x:v>
      </x:c>
      <x:c r="D1503" s="21" t="str">
        <x:v>SYN-0430-INV-01</x:v>
      </x:c>
      <x:c r="E1503" s="39" t="n">
        <x:v>46169</x:v>
      </x:c>
      <x:c r="F1503" s="42" t="n">
        <x:v>70270.22</x:v>
      </x:c>
      <x:c r="G1503" s="42" t="n">
        <x:v>3513.51</x:v>
      </x:c>
      <x:c r="H1503" s="42" t="n">
        <x:v>247639.31</x:v>
      </x:c>
      <x:c r="I1503" s="39" t="n">
        <x:v>45995</x:v>
      </x:c>
    </x:row>
    <x:row r="1504">
      <x:c r="A1504" s="21" t="str">
        <x:v>SYN-0430</x:v>
      </x:c>
      <x:c r="B1504" s="21" t="str">
        <x:v>Synthetic Supplier 0430 LLC</x:v>
      </x:c>
      <x:c r="C1504" s="38" t="str">
        <x:f>"900 000 000 000 430"</x:f>
        <x:v>900 000 000 000 430</x:v>
      </x:c>
      <x:c r="D1504" s="21" t="str">
        <x:v>SYN-0430-INV-02</x:v>
      </x:c>
      <x:c r="E1504" s="39" t="n">
        <x:v>46216</x:v>
      </x:c>
      <x:c r="F1504" s="42" t="n">
        <x:v>54621.37</x:v>
      </x:c>
      <x:c r="G1504" s="42" t="n">
        <x:v>2731.07</x:v>
      </x:c>
      <x:c r="H1504" s="42" t="n">
        <x:v>247639.31</x:v>
      </x:c>
      <x:c r="I1504" s="39" t="n">
        <x:v>45995</x:v>
      </x:c>
    </x:row>
    <x:row r="1505">
      <x:c r="A1505" s="21" t="str">
        <x:v>SYN-0430</x:v>
      </x:c>
      <x:c r="B1505" s="21" t="str">
        <x:v>Synthetic Supplier 0430 LLC</x:v>
      </x:c>
      <x:c r="C1505" s="38" t="str">
        <x:f>"900 000 000 000 430"</x:f>
        <x:v>900 000 000 000 430</x:v>
      </x:c>
      <x:c r="D1505" s="21" t="str">
        <x:v>SYN-0430-INV-03</x:v>
      </x:c>
      <x:c r="E1505" s="39" t="n">
        <x:v>46263</x:v>
      </x:c>
      <x:c r="F1505" s="42" t="n">
        <x:v>85601.27</x:v>
      </x:c>
      <x:c r="G1505" s="42" t="n">
        <x:v>4280.06</x:v>
      </x:c>
      <x:c r="H1505" s="42" t="n">
        <x:v>247639.31</x:v>
      </x:c>
      <x:c r="I1505" s="39" t="n">
        <x:v>45995</x:v>
      </x:c>
    </x:row>
    <x:row r="1506">
      <x:c r="A1506" s="21" t="str">
        <x:v>SYN-0430</x:v>
      </x:c>
      <x:c r="B1506" s="21" t="str">
        <x:v>Synthetic Supplier 0430 LLC</x:v>
      </x:c>
      <x:c r="C1506" s="38" t="str">
        <x:f>"900 000 000 000 430"</x:f>
        <x:v>900 000 000 000 430</x:v>
      </x:c>
      <x:c r="D1506" s="21" t="str">
        <x:v>SYN-0430-INV-04</x:v>
      </x:c>
      <x:c r="E1506" s="39" t="n">
        <x:v>45950</x:v>
      </x:c>
      <x:c r="F1506" s="42" t="n">
        <x:v>64661.92</x:v>
      </x:c>
      <x:c r="G1506" s="42" t="n">
        <x:v>3233.1</x:v>
      </x:c>
      <x:c r="H1506" s="42" t="n">
        <x:v>247639.31</x:v>
      </x:c>
      <x:c r="I1506" s="39" t="n">
        <x:v>45995</x:v>
      </x:c>
    </x:row>
    <x:row r="1507">
      <x:c r="A1507" s="21" t="str">
        <x:v>SYN-0431</x:v>
      </x:c>
      <x:c r="B1507" s="21" t="str">
        <x:v>Synthetic Supplier 0431 LLC</x:v>
      </x:c>
      <x:c r="C1507" s="38" t="str">
        <x:f>"900 000 000 000 431"</x:f>
        <x:v>900 000 000 000 431</x:v>
      </x:c>
      <x:c r="D1507" s="21" t="str">
        <x:v>SYN-0431-INV-01</x:v>
      </x:c>
      <x:c r="E1507" s="39" t="n">
        <x:v>46182</x:v>
      </x:c>
      <x:c r="F1507" s="42" t="n">
        <x:v>72300.71</x:v>
      </x:c>
      <x:c r="G1507" s="42" t="n">
        <x:v>3615.04</x:v>
      </x:c>
      <x:c r="H1507" s="42" t="n">
        <x:v>248537.66</x:v>
      </x:c>
      <x:c r="I1507" s="39" t="n">
        <x:v>46002</x:v>
      </x:c>
    </x:row>
    <x:row r="1508">
      <x:c r="A1508" s="21" t="str">
        <x:v>SYN-0431</x:v>
      </x:c>
      <x:c r="B1508" s="21" t="str">
        <x:v>Synthetic Supplier 0431 LLC</x:v>
      </x:c>
      <x:c r="C1508" s="38" t="str">
        <x:f>"900 000 000 000 431"</x:f>
        <x:v>900 000 000 000 431</x:v>
      </x:c>
      <x:c r="D1508" s="21" t="str">
        <x:v>SYN-0431-INV-02</x:v>
      </x:c>
      <x:c r="E1508" s="39" t="n">
        <x:v>46229</x:v>
      </x:c>
      <x:c r="F1508" s="42" t="n">
        <x:v>35321.4</x:v>
      </x:c>
      <x:c r="G1508" s="42" t="n">
        <x:v>1766.07</x:v>
      </x:c>
      <x:c r="H1508" s="42" t="n">
        <x:v>248537.66</x:v>
      </x:c>
      <x:c r="I1508" s="39" t="n">
        <x:v>46002</x:v>
      </x:c>
    </x:row>
    <x:row r="1509">
      <x:c r="A1509" s="21" t="str">
        <x:v>SYN-0431</x:v>
      </x:c>
      <x:c r="B1509" s="21" t="str">
        <x:v>Synthetic Supplier 0431 LLC</x:v>
      </x:c>
      <x:c r="C1509" s="38" t="str">
        <x:f>"900 000 000 000 431"</x:f>
        <x:v>900 000 000 000 431</x:v>
      </x:c>
      <x:c r="D1509" s="21" t="str">
        <x:v>SYN-0431-INV-03</x:v>
      </x:c>
      <x:c r="E1509" s="39" t="n">
        <x:v>46276</x:v>
      </x:c>
      <x:c r="F1509" s="42" t="n">
        <x:v>62031.6</x:v>
      </x:c>
      <x:c r="G1509" s="42" t="n">
        <x:v>3101.58</x:v>
      </x:c>
      <x:c r="H1509" s="42" t="n">
        <x:v>248537.66</x:v>
      </x:c>
      <x:c r="I1509" s="39" t="n">
        <x:v>46002</x:v>
      </x:c>
    </x:row>
    <x:row r="1510">
      <x:c r="A1510" s="21" t="str">
        <x:v>SYN-0431</x:v>
      </x:c>
      <x:c r="B1510" s="21" t="str">
        <x:v>Synthetic Supplier 0431 LLC</x:v>
      </x:c>
      <x:c r="C1510" s="38" t="str">
        <x:f>"900 000 000 000 431"</x:f>
        <x:v>900 000 000 000 431</x:v>
      </x:c>
      <x:c r="D1510" s="21" t="str">
        <x:v>SYN-0431-INV-04</x:v>
      </x:c>
      <x:c r="E1510" s="39" t="n">
        <x:v>45963</x:v>
      </x:c>
      <x:c r="F1510" s="42" t="n">
        <x:v>37665.32</x:v>
      </x:c>
      <x:c r="G1510" s="42" t="n">
        <x:v>1883.27</x:v>
      </x:c>
      <x:c r="H1510" s="42" t="n">
        <x:v>248537.66</x:v>
      </x:c>
      <x:c r="I1510" s="39" t="n">
        <x:v>46002</x:v>
      </x:c>
    </x:row>
    <x:row r="1511">
      <x:c r="A1511" s="21" t="str">
        <x:v>SYN-0431</x:v>
      </x:c>
      <x:c r="B1511" s="21" t="str">
        <x:v>Synthetic Supplier 0431 LLC</x:v>
      </x:c>
      <x:c r="C1511" s="38" t="str">
        <x:f>"900 000 000 000 431"</x:f>
        <x:v>900 000 000 000 431</x:v>
      </x:c>
      <x:c r="D1511" s="21" t="str">
        <x:v>SYN-0431-INV-05</x:v>
      </x:c>
      <x:c r="E1511" s="39" t="n">
        <x:v>46010</x:v>
      </x:c>
      <x:c r="F1511" s="42" t="n">
        <x:v>68833.92</x:v>
      </x:c>
      <x:c r="G1511" s="42" t="n">
        <x:v>3441.7</x:v>
      </x:c>
      <x:c r="H1511" s="42" t="n">
        <x:v>248537.66</x:v>
      </x:c>
      <x:c r="I1511" s="39" t="n">
        <x:v>46002</x:v>
      </x:c>
    </x:row>
    <x:row r="1512">
      <x:c r="A1512" s="21" t="str">
        <x:v>SYN-0432</x:v>
      </x:c>
      <x:c r="B1512" s="21" t="str">
        <x:v>Synthetic Supplier 0432 LLC</x:v>
      </x:c>
      <x:c r="C1512" s="38" t="str">
        <x:f>"900 000 000 000 432"</x:f>
        <x:v>900 000 000 000 432</x:v>
      </x:c>
      <x:c r="D1512" s="21" t="str">
        <x:v>SYN-0432-INV-01</x:v>
      </x:c>
      <x:c r="E1512" s="39" t="n">
        <x:v>46195</x:v>
      </x:c>
      <x:c r="F1512" s="42" t="n">
        <x:v>63005.41</x:v>
      </x:c>
      <x:c r="G1512" s="42" t="n">
        <x:v>3150.27</x:v>
      </x:c>
      <x:c r="H1512" s="42" t="n">
        <x:v>105827.98</x:v>
      </x:c>
      <x:c r="I1512" s="39" t="n">
        <x:v>46009</x:v>
      </x:c>
    </x:row>
    <x:row r="1513">
      <x:c r="A1513" s="21" t="str">
        <x:v>SYN-0432</x:v>
      </x:c>
      <x:c r="B1513" s="21" t="str">
        <x:v>Synthetic Supplier 0432 LLC</x:v>
      </x:c>
      <x:c r="C1513" s="38" t="str">
        <x:f>"900 000 000 000 432"</x:f>
        <x:v>900 000 000 000 432</x:v>
      </x:c>
      <x:c r="D1513" s="21" t="str">
        <x:v>SYN-0432-INV-02</x:v>
      </x:c>
      <x:c r="E1513" s="39" t="n">
        <x:v>46242</x:v>
      </x:c>
      <x:c r="F1513" s="42" t="n">
        <x:v>54581.24</x:v>
      </x:c>
      <x:c r="G1513" s="42" t="n">
        <x:v>2729.06</x:v>
      </x:c>
      <x:c r="H1513" s="42" t="n">
        <x:v>105827.98</x:v>
      </x:c>
      <x:c r="I1513" s="39" t="n">
        <x:v>46009</x:v>
      </x:c>
    </x:row>
    <x:row r="1514">
      <x:c r="A1514" s="21" t="str">
        <x:v>SYN-0433</x:v>
      </x:c>
      <x:c r="B1514" s="21" t="str">
        <x:v>Synthetic Supplier 0433 LLC</x:v>
      </x:c>
      <x:c r="C1514" s="38" t="str">
        <x:f>"900 000 000 000 433"</x:f>
        <x:v>900 000 000 000 433</x:v>
      </x:c>
      <x:c r="D1514" s="21" t="str">
        <x:v>SYN-0433-INV-01</x:v>
      </x:c>
      <x:c r="E1514" s="39" t="n">
        <x:v>46208</x:v>
      </x:c>
      <x:c r="F1514" s="42" t="n">
        <x:v>44910.34</x:v>
      </x:c>
      <x:c r="G1514" s="42" t="n">
        <x:v>2245.52</x:v>
      </x:c>
      <x:c r="H1514" s="42" t="n">
        <x:v>197836.56</x:v>
      </x:c>
      <x:c r="I1514" s="39" t="n">
        <x:v>45901</x:v>
      </x:c>
    </x:row>
    <x:row r="1515">
      <x:c r="A1515" s="21" t="str">
        <x:v>SYN-0433</x:v>
      </x:c>
      <x:c r="B1515" s="21" t="str">
        <x:v>Synthetic Supplier 0433 LLC</x:v>
      </x:c>
      <x:c r="C1515" s="38" t="str">
        <x:f>"900 000 000 000 433"</x:f>
        <x:v>900 000 000 000 433</x:v>
      </x:c>
      <x:c r="D1515" s="21" t="str">
        <x:v>SYN-0433-INV-02</x:v>
      </x:c>
      <x:c r="E1515" s="39" t="n">
        <x:v>46255</x:v>
      </x:c>
      <x:c r="F1515" s="42" t="n">
        <x:v>90829.45</x:v>
      </x:c>
      <x:c r="G1515" s="42" t="n">
        <x:v>4541.47</x:v>
      </x:c>
      <x:c r="H1515" s="42" t="n">
        <x:v>197836.56</x:v>
      </x:c>
      <x:c r="I1515" s="39" t="n">
        <x:v>45901</x:v>
      </x:c>
    </x:row>
    <x:row r="1516">
      <x:c r="A1516" s="21" t="str">
        <x:v>SYN-0433</x:v>
      </x:c>
      <x:c r="B1516" s="21" t="str">
        <x:v>Synthetic Supplier 0433 LLC</x:v>
      </x:c>
      <x:c r="C1516" s="38" t="str">
        <x:f>"900 000 000 000 433"</x:f>
        <x:v>900 000 000 000 433</x:v>
      </x:c>
      <x:c r="D1516" s="21" t="str">
        <x:v>SYN-0433-INV-03</x:v>
      </x:c>
      <x:c r="E1516" s="39" t="n">
        <x:v>45942</x:v>
      </x:c>
      <x:c r="F1516" s="42" t="n">
        <x:v>84078.61</x:v>
      </x:c>
      <x:c r="G1516" s="42" t="n">
        <x:v>4203.93</x:v>
      </x:c>
      <x:c r="H1516" s="42" t="n">
        <x:v>197836.56</x:v>
      </x:c>
      <x:c r="I1516" s="39" t="n">
        <x:v>45901</x:v>
      </x:c>
    </x:row>
    <x:row r="1517">
      <x:c r="A1517" s="21" t="str">
        <x:v>SYN-0434</x:v>
      </x:c>
      <x:c r="B1517" s="21" t="str">
        <x:v>Synthetic Supplier 0434 LLC</x:v>
      </x:c>
      <x:c r="C1517" s="38" t="str">
        <x:f>"900 000 000 000 434"</x:f>
        <x:v>900 000 000 000 434</x:v>
      </x:c>
      <x:c r="D1517" s="21" t="str">
        <x:v>SYN-0434-INV-01</x:v>
      </x:c>
      <x:c r="E1517" s="39" t="n">
        <x:v>46221</x:v>
      </x:c>
      <x:c r="F1517" s="42" t="n">
        <x:v>49940.1</x:v>
      </x:c>
      <x:c r="G1517" s="42" t="n">
        <x:v>2497</x:v>
      </x:c>
      <x:c r="H1517" s="42" t="n">
        <x:v>217441.72</x:v>
      </x:c>
      <x:c r="I1517" s="39" t="n">
        <x:v>45900</x:v>
      </x:c>
    </x:row>
    <x:row r="1518">
      <x:c r="A1518" s="21" t="str">
        <x:v>SYN-0434</x:v>
      </x:c>
      <x:c r="B1518" s="21" t="str">
        <x:v>Synthetic Supplier 0434 LLC</x:v>
      </x:c>
      <x:c r="C1518" s="38" t="str">
        <x:f>"900 000 000 000 434"</x:f>
        <x:v>900 000 000 000 434</x:v>
      </x:c>
      <x:c r="D1518" s="21" t="str">
        <x:v>SYN-0434-INV-02</x:v>
      </x:c>
      <x:c r="E1518" s="39" t="n">
        <x:v>46268</x:v>
      </x:c>
      <x:c r="F1518" s="42" t="n">
        <x:v>58645.88</x:v>
      </x:c>
      <x:c r="G1518" s="42" t="n">
        <x:v>2932.29</x:v>
      </x:c>
      <x:c r="H1518" s="42" t="n">
        <x:v>217441.72</x:v>
      </x:c>
      <x:c r="I1518" s="39" t="n">
        <x:v>45900</x:v>
      </x:c>
    </x:row>
    <x:row r="1519">
      <x:c r="A1519" s="21" t="str">
        <x:v>SYN-0434</x:v>
      </x:c>
      <x:c r="B1519" s="21" t="str">
        <x:v>Synthetic Supplier 0434 LLC</x:v>
      </x:c>
      <x:c r="C1519" s="38" t="str">
        <x:f>"900 000 000 000 434"</x:f>
        <x:v>900 000 000 000 434</x:v>
      </x:c>
      <x:c r="D1519" s="21" t="str">
        <x:v>SYN-0434-INV-03</x:v>
      </x:c>
      <x:c r="E1519" s="39" t="n">
        <x:v>45955</x:v>
      </x:c>
      <x:c r="F1519" s="42" t="n">
        <x:v>47182.67</x:v>
      </x:c>
      <x:c r="G1519" s="42" t="n">
        <x:v>2359.13</x:v>
      </x:c>
      <x:c r="H1519" s="42" t="n">
        <x:v>217441.72</x:v>
      </x:c>
      <x:c r="I1519" s="39" t="n">
        <x:v>45900</x:v>
      </x:c>
    </x:row>
    <x:row r="1520">
      <x:c r="A1520" s="21" t="str">
        <x:v>SYN-0434</x:v>
      </x:c>
      <x:c r="B1520" s="21" t="str">
        <x:v>Synthetic Supplier 0434 LLC</x:v>
      </x:c>
      <x:c r="C1520" s="38" t="str">
        <x:f>"900 000 000 000 434"</x:f>
        <x:v>900 000 000 000 434</x:v>
      </x:c>
      <x:c r="D1520" s="21" t="str">
        <x:v>SYN-0434-INV-04</x:v>
      </x:c>
      <x:c r="E1520" s="39" t="n">
        <x:v>46002</x:v>
      </x:c>
      <x:c r="F1520" s="42" t="n">
        <x:v>33311.11</x:v>
      </x:c>
      <x:c r="G1520" s="42" t="n">
        <x:v>1665.56</x:v>
      </x:c>
      <x:c r="H1520" s="42" t="n">
        <x:v>217441.72</x:v>
      </x:c>
      <x:c r="I1520" s="39" t="n">
        <x:v>45900</x:v>
      </x:c>
    </x:row>
    <x:row r="1521">
      <x:c r="A1521" s="21" t="str">
        <x:v>SYN-0435</x:v>
      </x:c>
      <x:c r="B1521" s="21" t="str">
        <x:v>Synthetic Supplier 0435 LLC</x:v>
      </x:c>
      <x:c r="C1521" s="38" t="str">
        <x:f>"900 000 000 000 435"</x:f>
        <x:v>900 000 000 000 435</x:v>
      </x:c>
      <x:c r="D1521" s="21" t="str">
        <x:v>SYN-0435-INV-01</x:v>
      </x:c>
      <x:c r="E1521" s="39" t="n">
        <x:v>46234</x:v>
      </x:c>
      <x:c r="F1521" s="42" t="n">
        <x:v>48320.98</x:v>
      </x:c>
      <x:c r="G1521" s="42" t="n">
        <x:v>2416.05</x:v>
      </x:c>
      <x:c r="H1521" s="42" t="n">
        <x:v>169033.77</x:v>
      </x:c>
      <x:c r="I1521" s="39" t="n">
        <x:v>45899</x:v>
      </x:c>
    </x:row>
    <x:row r="1522">
      <x:c r="A1522" s="21" t="str">
        <x:v>SYN-0435</x:v>
      </x:c>
      <x:c r="B1522" s="21" t="str">
        <x:v>Synthetic Supplier 0435 LLC</x:v>
      </x:c>
      <x:c r="C1522" s="38" t="str">
        <x:f>"900 000 000 000 435"</x:f>
        <x:v>900 000 000 000 435</x:v>
      </x:c>
      <x:c r="D1522" s="21" t="str">
        <x:v>SYN-0435-INV-02</x:v>
      </x:c>
      <x:c r="E1522" s="39" t="n">
        <x:v>46281</x:v>
      </x:c>
      <x:c r="F1522" s="42" t="n">
        <x:v>41247.21</x:v>
      </x:c>
      <x:c r="G1522" s="42" t="n">
        <x:v>2062.36</x:v>
      </x:c>
      <x:c r="H1522" s="42" t="n">
        <x:v>169033.77</x:v>
      </x:c>
      <x:c r="I1522" s="39" t="n">
        <x:v>45899</x:v>
      </x:c>
    </x:row>
    <x:row r="1523">
      <x:c r="A1523" s="21" t="str">
        <x:v>SYN-0435</x:v>
      </x:c>
      <x:c r="B1523" s="21" t="str">
        <x:v>Synthetic Supplier 0435 LLC</x:v>
      </x:c>
      <x:c r="C1523" s="38" t="str">
        <x:f>"900 000 000 000 435"</x:f>
        <x:v>900 000 000 000 435</x:v>
      </x:c>
      <x:c r="D1523" s="21" t="str">
        <x:v>SYN-0435-INV-03</x:v>
      </x:c>
      <x:c r="E1523" s="39" t="n">
        <x:v>45968</x:v>
      </x:c>
      <x:c r="F1523" s="42" t="n">
        <x:v>45107.3</x:v>
      </x:c>
      <x:c r="G1523" s="42" t="n">
        <x:v>2255.36</x:v>
      </x:c>
      <x:c r="H1523" s="42" t="n">
        <x:v>169033.77</x:v>
      </x:c>
      <x:c r="I1523" s="39" t="n">
        <x:v>45899</x:v>
      </x:c>
    </x:row>
    <x:row r="1524">
      <x:c r="A1524" s="21" t="str">
        <x:v>SYN-0435</x:v>
      </x:c>
      <x:c r="B1524" s="21" t="str">
        <x:v>Synthetic Supplier 0435 LLC</x:v>
      </x:c>
      <x:c r="C1524" s="38" t="str">
        <x:f>"900 000 000 000 435"</x:f>
        <x:v>900 000 000 000 435</x:v>
      </x:c>
      <x:c r="D1524" s="21" t="str">
        <x:v>SYN-0435-INV-04</x:v>
      </x:c>
      <x:c r="E1524" s="39" t="n">
        <x:v>46015</x:v>
      </x:c>
      <x:c r="F1524" s="42" t="n">
        <x:v>27304.97</x:v>
      </x:c>
      <x:c r="G1524" s="42" t="n">
        <x:v>1365.25</x:v>
      </x:c>
      <x:c r="H1524" s="42" t="n">
        <x:v>169033.77</x:v>
      </x:c>
      <x:c r="I1524" s="39" t="n">
        <x:v>45899</x:v>
      </x:c>
    </x:row>
    <x:row r="1525">
      <x:c r="A1525" s="21" t="str">
        <x:v>SYN-0435</x:v>
      </x:c>
      <x:c r="B1525" s="21" t="str">
        <x:v>Synthetic Supplier 0435 LLC</x:v>
      </x:c>
      <x:c r="C1525" s="38" t="str">
        <x:f>"900 000 000 000 435"</x:f>
        <x:v>900 000 000 000 435</x:v>
      </x:c>
      <x:c r="D1525" s="21" t="str">
        <x:v>SYN-0435-INV-05</x:v>
      </x:c>
      <x:c r="E1525" s="39" t="n">
        <x:v>46062</x:v>
      </x:c>
      <x:c r="F1525" s="42" t="n">
        <x:v>25834.84</x:v>
      </x:c>
      <x:c r="G1525" s="42" t="n">
        <x:v>1291.74</x:v>
      </x:c>
      <x:c r="H1525" s="42" t="n">
        <x:v>169033.77</x:v>
      </x:c>
      <x:c r="I1525" s="39" t="n">
        <x:v>45899</x:v>
      </x:c>
    </x:row>
    <x:row r="1526">
      <x:c r="A1526" s="21" t="str">
        <x:v>SYN-0436</x:v>
      </x:c>
      <x:c r="B1526" s="21" t="str">
        <x:v>Synthetic Supplier 0436 LLC</x:v>
      </x:c>
      <x:c r="C1526" s="38" t="str">
        <x:f>"900 000 000 000 436"</x:f>
        <x:v>900 000 000 000 436</x:v>
      </x:c>
      <x:c r="D1526" s="21" t="str">
        <x:v>SYN-0436-INV-01</x:v>
      </x:c>
      <x:c r="E1526" s="39" t="n">
        <x:v>46247</x:v>
      </x:c>
      <x:c r="F1526" s="42" t="n">
        <x:v>65260.88</x:v>
      </x:c>
      <x:c r="G1526" s="42" t="n">
        <x:v>3263.04</x:v>
      </x:c>
      <x:c r="H1526" s="42" t="n">
        <x:v>118696.54</x:v>
      </x:c>
      <x:c r="I1526" s="39" t="n">
        <x:v>45898</x:v>
      </x:c>
    </x:row>
    <x:row r="1527">
      <x:c r="A1527" s="21" t="str">
        <x:v>SYN-0436</x:v>
      </x:c>
      <x:c r="B1527" s="21" t="str">
        <x:v>Synthetic Supplier 0436 LLC</x:v>
      </x:c>
      <x:c r="C1527" s="38" t="str">
        <x:f>"900 000 000 000 436"</x:f>
        <x:v>900 000 000 000 436</x:v>
      </x:c>
      <x:c r="D1527" s="21" t="str">
        <x:v>SYN-0436-INV-02</x:v>
      </x:c>
      <x:c r="E1527" s="39" t="n">
        <x:v>45934</x:v>
      </x:c>
      <x:c r="F1527" s="42" t="n">
        <x:v>66624.17</x:v>
      </x:c>
      <x:c r="G1527" s="42" t="n">
        <x:v>3331.21</x:v>
      </x:c>
      <x:c r="H1527" s="42" t="n">
        <x:v>118696.54</x:v>
      </x:c>
      <x:c r="I1527" s="39" t="n">
        <x:v>45898</x:v>
      </x:c>
    </x:row>
    <x:row r="1528">
      <x:c r="A1528" s="21" t="str">
        <x:v>SYN-0437</x:v>
      </x:c>
      <x:c r="B1528" s="21" t="str">
        <x:v>Synthetic Supplier 0437 LLC</x:v>
      </x:c>
      <x:c r="C1528" s="38" t="str">
        <x:f>"900 000 000 000 437"</x:f>
        <x:v>900 000 000 000 437</x:v>
      </x:c>
      <x:c r="D1528" s="21" t="str">
        <x:v>SYN-0437-INV-01</x:v>
      </x:c>
      <x:c r="E1528" s="39" t="n">
        <x:v>46260</x:v>
      </x:c>
      <x:c r="F1528" s="42" t="n">
        <x:v>47758.31</x:v>
      </x:c>
      <x:c r="G1528" s="42" t="n">
        <x:v>2387.92</x:v>
      </x:c>
      <x:c r="H1528" s="42" t="n">
        <x:v>136294.65</x:v>
      </x:c>
      <x:c r="I1528" s="39" t="n">
        <x:v>45897</x:v>
      </x:c>
    </x:row>
    <x:row r="1529">
      <x:c r="A1529" s="21" t="str">
        <x:v>SYN-0437</x:v>
      </x:c>
      <x:c r="B1529" s="21" t="str">
        <x:v>Synthetic Supplier 0437 LLC</x:v>
      </x:c>
      <x:c r="C1529" s="38" t="str">
        <x:f>"900 000 000 000 437"</x:f>
        <x:v>900 000 000 000 437</x:v>
      </x:c>
      <x:c r="D1529" s="21" t="str">
        <x:v>SYN-0437-INV-02</x:v>
      </x:c>
      <x:c r="E1529" s="39" t="n">
        <x:v>45947</x:v>
      </x:c>
      <x:c r="F1529" s="42" t="n">
        <x:v>34248.19</x:v>
      </x:c>
      <x:c r="G1529" s="42" t="n">
        <x:v>1712.41</x:v>
      </x:c>
      <x:c r="H1529" s="42" t="n">
        <x:v>136294.65</x:v>
      </x:c>
      <x:c r="I1529" s="39" t="n">
        <x:v>45897</x:v>
      </x:c>
    </x:row>
    <x:row r="1530">
      <x:c r="A1530" s="21" t="str">
        <x:v>SYN-0437</x:v>
      </x:c>
      <x:c r="B1530" s="21" t="str">
        <x:v>Synthetic Supplier 0437 LLC</x:v>
      </x:c>
      <x:c r="C1530" s="38" t="str">
        <x:f>"900 000 000 000 437"</x:f>
        <x:v>900 000 000 000 437</x:v>
      </x:c>
      <x:c r="D1530" s="21" t="str">
        <x:v>SYN-0437-INV-03</x:v>
      </x:c>
      <x:c r="E1530" s="39" t="n">
        <x:v>45994</x:v>
      </x:c>
      <x:c r="F1530" s="42" t="n">
        <x:v>69431.99</x:v>
      </x:c>
      <x:c r="G1530" s="42" t="n">
        <x:v>3471.6</x:v>
      </x:c>
      <x:c r="H1530" s="42" t="n">
        <x:v>136294.65</x:v>
      </x:c>
      <x:c r="I1530" s="39" t="n">
        <x:v>45897</x:v>
      </x:c>
    </x:row>
    <x:row r="1531">
      <x:c r="A1531" s="21" t="str">
        <x:v>SYN-0438</x:v>
      </x:c>
      <x:c r="B1531" s="21" t="str">
        <x:v>Synthetic Supplier 0438 LLC</x:v>
      </x:c>
      <x:c r="C1531" s="38" t="str">
        <x:f>"900 000 000 000 438"</x:f>
        <x:v>900 000 000 000 438</x:v>
      </x:c>
      <x:c r="D1531" s="21" t="str">
        <x:v>SYN-0438-INV-01</x:v>
      </x:c>
      <x:c r="E1531" s="39" t="n">
        <x:v>46273</x:v>
      </x:c>
      <x:c r="F1531" s="42" t="n">
        <x:v>24972.97</x:v>
      </x:c>
      <x:c r="G1531" s="42" t="n">
        <x:v>1248.65</x:v>
      </x:c>
      <x:c r="H1531" s="42" t="n">
        <x:v>129580.87</x:v>
      </x:c>
      <x:c r="I1531" s="39" t="n">
        <x:v>45896</x:v>
      </x:c>
    </x:row>
    <x:row r="1532">
      <x:c r="A1532" s="21" t="str">
        <x:v>SYN-0438</x:v>
      </x:c>
      <x:c r="B1532" s="21" t="str">
        <x:v>Synthetic Supplier 0438 LLC</x:v>
      </x:c>
      <x:c r="C1532" s="38" t="str">
        <x:f>"900 000 000 000 438"</x:f>
        <x:v>900 000 000 000 438</x:v>
      </x:c>
      <x:c r="D1532" s="21" t="str">
        <x:v>SYN-0438-INV-02</x:v>
      </x:c>
      <x:c r="E1532" s="39" t="n">
        <x:v>45960</x:v>
      </x:c>
      <x:c r="F1532" s="42" t="n">
        <x:v>52056.53</x:v>
      </x:c>
      <x:c r="G1532" s="42" t="n">
        <x:v>2602.83</x:v>
      </x:c>
      <x:c r="H1532" s="42" t="n">
        <x:v>129580.87</x:v>
      </x:c>
      <x:c r="I1532" s="39" t="n">
        <x:v>45896</x:v>
      </x:c>
    </x:row>
    <x:row r="1533">
      <x:c r="A1533" s="21" t="str">
        <x:v>SYN-0438</x:v>
      </x:c>
      <x:c r="B1533" s="21" t="str">
        <x:v>Synthetic Supplier 0438 LLC</x:v>
      </x:c>
      <x:c r="C1533" s="38" t="str">
        <x:f>"900 000 000 000 438"</x:f>
        <x:v>900 000 000 000 438</x:v>
      </x:c>
      <x:c r="D1533" s="21" t="str">
        <x:v>SYN-0438-INV-03</x:v>
      </x:c>
      <x:c r="E1533" s="39" t="n">
        <x:v>46007</x:v>
      </x:c>
      <x:c r="F1533" s="42" t="n">
        <x:v>35981.55</x:v>
      </x:c>
      <x:c r="G1533" s="42" t="n">
        <x:v>1799.08</x:v>
      </x:c>
      <x:c r="H1533" s="42" t="n">
        <x:v>129580.87</x:v>
      </x:c>
      <x:c r="I1533" s="39" t="n">
        <x:v>45896</x:v>
      </x:c>
    </x:row>
    <x:row r="1534">
      <x:c r="A1534" s="21" t="str">
        <x:v>SYN-0438</x:v>
      </x:c>
      <x:c r="B1534" s="21" t="str">
        <x:v>Synthetic Supplier 0438 LLC</x:v>
      </x:c>
      <x:c r="C1534" s="38" t="str">
        <x:f>"900 000 000 000 438"</x:f>
        <x:v>900 000 000 000 438</x:v>
      </x:c>
      <x:c r="D1534" s="21" t="str">
        <x:v>SYN-0438-INV-04</x:v>
      </x:c>
      <x:c r="E1534" s="39" t="n">
        <x:v>46054</x:v>
      </x:c>
      <x:c r="F1534" s="42" t="n">
        <x:v>30967.7</x:v>
      </x:c>
      <x:c r="G1534" s="42" t="n">
        <x:v>1548.38</x:v>
      </x:c>
      <x:c r="H1534" s="42" t="n">
        <x:v>129580.87</x:v>
      </x:c>
      <x:c r="I1534" s="39" t="n">
        <x:v>45896</x:v>
      </x:c>
    </x:row>
    <x:row r="1535">
      <x:c r="A1535" s="21" t="str">
        <x:v>SYN-0439</x:v>
      </x:c>
      <x:c r="B1535" s="21" t="str">
        <x:v>Synthetic Supplier 0439 LLC</x:v>
      </x:c>
      <x:c r="C1535" s="38" t="str">
        <x:f>"900 000 000 000 439"</x:f>
        <x:v>900 000 000 000 439</x:v>
      </x:c>
      <x:c r="D1535" s="21" t="str">
        <x:v>SYN-0439-INV-01</x:v>
      </x:c>
      <x:c r="E1535" s="39" t="n">
        <x:v>46286</x:v>
      </x:c>
      <x:c r="F1535" s="42" t="n">
        <x:v>58210.63</x:v>
      </x:c>
      <x:c r="G1535" s="42" t="n">
        <x:v>2910.53</x:v>
      </x:c>
      <x:c r="H1535" s="42" t="n">
        <x:v>264084.46</x:v>
      </x:c>
      <x:c r="I1535" s="39" t="n">
        <x:v>45895</x:v>
      </x:c>
    </x:row>
    <x:row r="1536">
      <x:c r="A1536" s="21" t="str">
        <x:v>SYN-0439</x:v>
      </x:c>
      <x:c r="B1536" s="21" t="str">
        <x:v>Synthetic Supplier 0439 LLC</x:v>
      </x:c>
      <x:c r="C1536" s="38" t="str">
        <x:f>"900 000 000 000 439"</x:f>
        <x:v>900 000 000 000 439</x:v>
      </x:c>
      <x:c r="D1536" s="21" t="str">
        <x:v>SYN-0439-INV-02</x:v>
      </x:c>
      <x:c r="E1536" s="39" t="n">
        <x:v>45973</x:v>
      </x:c>
      <x:c r="F1536" s="42" t="n">
        <x:v>69789.48</x:v>
      </x:c>
      <x:c r="G1536" s="42" t="n">
        <x:v>3489.47</x:v>
      </x:c>
      <x:c r="H1536" s="42" t="n">
        <x:v>264084.46</x:v>
      </x:c>
      <x:c r="I1536" s="39" t="n">
        <x:v>45895</x:v>
      </x:c>
    </x:row>
    <x:row r="1537">
      <x:c r="A1537" s="21" t="str">
        <x:v>SYN-0439</x:v>
      </x:c>
      <x:c r="B1537" s="21" t="str">
        <x:v>Synthetic Supplier 0439 LLC</x:v>
      </x:c>
      <x:c r="C1537" s="38" t="str">
        <x:f>"900 000 000 000 439"</x:f>
        <x:v>900 000 000 000 439</x:v>
      </x:c>
      <x:c r="D1537" s="21" t="str">
        <x:v>SYN-0439-INV-03</x:v>
      </x:c>
      <x:c r="E1537" s="39" t="n">
        <x:v>46020</x:v>
      </x:c>
      <x:c r="F1537" s="42" t="n">
        <x:v>56838.86</x:v>
      </x:c>
      <x:c r="G1537" s="42" t="n">
        <x:v>2841.94</x:v>
      </x:c>
      <x:c r="H1537" s="42" t="n">
        <x:v>264084.46</x:v>
      </x:c>
      <x:c r="I1537" s="39" t="n">
        <x:v>45895</x:v>
      </x:c>
    </x:row>
    <x:row r="1538">
      <x:c r="A1538" s="21" t="str">
        <x:v>SYN-0439</x:v>
      </x:c>
      <x:c r="B1538" s="21" t="str">
        <x:v>Synthetic Supplier 0439 LLC</x:v>
      </x:c>
      <x:c r="C1538" s="38" t="str">
        <x:f>"900 000 000 000 439"</x:f>
        <x:v>900 000 000 000 439</x:v>
      </x:c>
      <x:c r="D1538" s="21" t="str">
        <x:v>SYN-0439-INV-04</x:v>
      </x:c>
      <x:c r="E1538" s="39" t="n">
        <x:v>46067</x:v>
      </x:c>
      <x:c r="F1538" s="42" t="n">
        <x:v>50200.39</x:v>
      </x:c>
      <x:c r="G1538" s="42" t="n">
        <x:v>2510.02</x:v>
      </x:c>
      <x:c r="H1538" s="42" t="n">
        <x:v>264084.46</x:v>
      </x:c>
      <x:c r="I1538" s="39" t="n">
        <x:v>45895</x:v>
      </x:c>
    </x:row>
    <x:row r="1539">
      <x:c r="A1539" s="21" t="str">
        <x:v>SYN-0439</x:v>
      </x:c>
      <x:c r="B1539" s="21" t="str">
        <x:v>Synthetic Supplier 0439 LLC</x:v>
      </x:c>
      <x:c r="C1539" s="38" t="str">
        <x:f>"900 000 000 000 439"</x:f>
        <x:v>900 000 000 000 439</x:v>
      </x:c>
      <x:c r="D1539" s="21" t="str">
        <x:v>SYN-0439-INV-05</x:v>
      </x:c>
      <x:c r="E1539" s="39" t="n">
        <x:v>46114</x:v>
      </x:c>
      <x:c r="F1539" s="42" t="n">
        <x:v>58387.82</x:v>
      </x:c>
      <x:c r="G1539" s="42" t="n">
        <x:v>2919.39</x:v>
      </x:c>
      <x:c r="H1539" s="42" t="n">
        <x:v>264084.46</x:v>
      </x:c>
      <x:c r="I1539" s="39" t="n">
        <x:v>45895</x:v>
      </x:c>
    </x:row>
    <x:row r="1540">
      <x:c r="A1540" s="21" t="str">
        <x:v>SYN-0440</x:v>
      </x:c>
      <x:c r="B1540" s="21" t="str">
        <x:v>Synthetic Supplier 0440 LLC</x:v>
      </x:c>
      <x:c r="C1540" s="38" t="str">
        <x:f>"900 000 000 000 440"</x:f>
        <x:v>900 000 000 000 440</x:v>
      </x:c>
      <x:c r="D1540" s="21" t="str">
        <x:v>SYN-0440-INV-01</x:v>
      </x:c>
      <x:c r="E1540" s="39" t="n">
        <x:v>45939</x:v>
      </x:c>
      <x:c r="F1540" s="42" t="n">
        <x:v>110469.93</x:v>
      </x:c>
      <x:c r="G1540" s="42" t="n">
        <x:v>5523.5</x:v>
      </x:c>
      <x:c r="H1540" s="42" t="n">
        <x:v>230510.73</x:v>
      </x:c>
      <x:c r="I1540" s="39" t="n">
        <x:v>45894</x:v>
      </x:c>
    </x:row>
    <x:row r="1541">
      <x:c r="A1541" s="21" t="str">
        <x:v>SYN-0440</x:v>
      </x:c>
      <x:c r="B1541" s="21" t="str">
        <x:v>Synthetic Supplier 0440 LLC</x:v>
      </x:c>
      <x:c r="C1541" s="38" t="str">
        <x:f>"900 000 000 000 440"</x:f>
        <x:v>900 000 000 000 440</x:v>
      </x:c>
      <x:c r="D1541" s="21" t="str">
        <x:v>SYN-0440-INV-02</x:v>
      </x:c>
      <x:c r="E1541" s="39" t="n">
        <x:v>45986</x:v>
      </x:c>
      <x:c r="F1541" s="42" t="n">
        <x:v>145653.1</x:v>
      </x:c>
      <x:c r="G1541" s="42" t="n">
        <x:v>7282.66</x:v>
      </x:c>
      <x:c r="H1541" s="42" t="n">
        <x:v>230510.73</x:v>
      </x:c>
      <x:c r="I1541" s="39" t="n">
        <x:v>45894</x:v>
      </x:c>
    </x:row>
    <x:row r="1542">
      <x:c r="A1542" s="21" t="str">
        <x:v>SYN-0441</x:v>
      </x:c>
      <x:c r="B1542" s="21" t="str">
        <x:v>Synthetic Supplier 0441 LLC</x:v>
      </x:c>
      <x:c r="C1542" s="38" t="str">
        <x:f>"900 000 000 000 441"</x:f>
        <x:v>900 000 000 000 441</x:v>
      </x:c>
      <x:c r="D1542" s="21" t="str">
        <x:v>SYN-0441-INV-01</x:v>
      </x:c>
      <x:c r="E1542" s="39" t="n">
        <x:v>45952</x:v>
      </x:c>
      <x:c r="F1542" s="42" t="n">
        <x:v>64444.27</x:v>
      </x:c>
      <x:c r="G1542" s="42" t="n">
        <x:v>3222.21</x:v>
      </x:c>
      <x:c r="H1542" s="42" t="n">
        <x:v>300684.06</x:v>
      </x:c>
      <x:c r="I1542" s="39" t="n">
        <x:v>45893</x:v>
      </x:c>
    </x:row>
    <x:row r="1543">
      <x:c r="A1543" s="21" t="str">
        <x:v>SYN-0441</x:v>
      </x:c>
      <x:c r="B1543" s="21" t="str">
        <x:v>Synthetic Supplier 0441 LLC</x:v>
      </x:c>
      <x:c r="C1543" s="38" t="str">
        <x:f>"900 000 000 000 441"</x:f>
        <x:v>900 000 000 000 441</x:v>
      </x:c>
      <x:c r="D1543" s="21" t="str">
        <x:v>SYN-0441-INV-02</x:v>
      </x:c>
      <x:c r="E1543" s="39" t="n">
        <x:v>45999</x:v>
      </x:c>
      <x:c r="F1543" s="42" t="n">
        <x:v>118164.05</x:v>
      </x:c>
      <x:c r="G1543" s="42" t="n">
        <x:v>5908.2</x:v>
      </x:c>
      <x:c r="H1543" s="42" t="n">
        <x:v>300684.06</x:v>
      </x:c>
      <x:c r="I1543" s="39" t="n">
        <x:v>45893</x:v>
      </x:c>
    </x:row>
    <x:row r="1544">
      <x:c r="A1544" s="21" t="str">
        <x:v>SYN-0441</x:v>
      </x:c>
      <x:c r="B1544" s="21" t="str">
        <x:v>Synthetic Supplier 0441 LLC</x:v>
      </x:c>
      <x:c r="C1544" s="38" t="str">
        <x:f>"900 000 000 000 441"</x:f>
        <x:v>900 000 000 000 441</x:v>
      </x:c>
      <x:c r="D1544" s="21" t="str">
        <x:v>SYN-0441-INV-03</x:v>
      </x:c>
      <x:c r="E1544" s="39" t="n">
        <x:v>46046</x:v>
      </x:c>
      <x:c r="F1544" s="42" t="n">
        <x:v>78856.08</x:v>
      </x:c>
      <x:c r="G1544" s="42" t="n">
        <x:v>3942.8</x:v>
      </x:c>
      <x:c r="H1544" s="42" t="n">
        <x:v>300684.06</x:v>
      </x:c>
      <x:c r="I1544" s="39" t="n">
        <x:v>45893</x:v>
      </x:c>
    </x:row>
    <x:row r="1545">
      <x:c r="A1545" s="21" t="str">
        <x:v>SYN-0442</x:v>
      </x:c>
      <x:c r="B1545" s="21" t="str">
        <x:v>Synthetic Supplier 0442 LLC</x:v>
      </x:c>
      <x:c r="C1545" s="38" t="str">
        <x:f>"900 000 000 000 442"</x:f>
        <x:v>900 000 000 000 442</x:v>
      </x:c>
      <x:c r="D1545" s="21" t="str">
        <x:v>SYN-0442-INV-01</x:v>
      </x:c>
      <x:c r="E1545" s="39" t="n">
        <x:v>45965</x:v>
      </x:c>
      <x:c r="F1545" s="42" t="n">
        <x:v>131390.18</x:v>
      </x:c>
      <x:c r="G1545" s="42" t="n">
        <x:v>6569.51</x:v>
      </x:c>
      <x:c r="H1545" s="42" t="n">
        <x:v>313276.13</x:v>
      </x:c>
      <x:c r="I1545" s="39" t="n">
        <x:v>45892</x:v>
      </x:c>
    </x:row>
    <x:row r="1546">
      <x:c r="A1546" s="21" t="str">
        <x:v>SYN-0442</x:v>
      </x:c>
      <x:c r="B1546" s="21" t="str">
        <x:v>Synthetic Supplier 0442 LLC</x:v>
      </x:c>
      <x:c r="C1546" s="38" t="str">
        <x:f>"900 000 000 000 442"</x:f>
        <x:v>900 000 000 000 442</x:v>
      </x:c>
      <x:c r="D1546" s="21" t="str">
        <x:v>SYN-0442-INV-02</x:v>
      </x:c>
      <x:c r="E1546" s="39" t="n">
        <x:v>46012</x:v>
      </x:c>
      <x:c r="F1546" s="42" t="n">
        <x:v>61863.1</x:v>
      </x:c>
      <x:c r="G1546" s="42" t="n">
        <x:v>3093.16</x:v>
      </x:c>
      <x:c r="H1546" s="42" t="n">
        <x:v>313276.13</x:v>
      </x:c>
      <x:c r="I1546" s="39" t="n">
        <x:v>45892</x:v>
      </x:c>
    </x:row>
    <x:row r="1547">
      <x:c r="A1547" s="21" t="str">
        <x:v>SYN-0442</x:v>
      </x:c>
      <x:c r="B1547" s="21" t="str">
        <x:v>Synthetic Supplier 0442 LLC</x:v>
      </x:c>
      <x:c r="C1547" s="38" t="str">
        <x:f>"900 000 000 000 442"</x:f>
        <x:v>900 000 000 000 442</x:v>
      </x:c>
      <x:c r="D1547" s="21" t="str">
        <x:v>SYN-0442-INV-03</x:v>
      </x:c>
      <x:c r="E1547" s="39" t="n">
        <x:v>46059</x:v>
      </x:c>
      <x:c r="F1547" s="42" t="n">
        <x:v>83312.51</x:v>
      </x:c>
      <x:c r="G1547" s="42" t="n">
        <x:v>4165.63</x:v>
      </x:c>
      <x:c r="H1547" s="42" t="n">
        <x:v>313276.13</x:v>
      </x:c>
      <x:c r="I1547" s="39" t="n">
        <x:v>45892</x:v>
      </x:c>
    </x:row>
    <x:row r="1548">
      <x:c r="A1548" s="21" t="str">
        <x:v>SYN-0442</x:v>
      </x:c>
      <x:c r="B1548" s="21" t="str">
        <x:v>Synthetic Supplier 0442 LLC</x:v>
      </x:c>
      <x:c r="C1548" s="38" t="str">
        <x:f>"900 000 000 000 442"</x:f>
        <x:v>900 000 000 000 442</x:v>
      </x:c>
      <x:c r="D1548" s="21" t="str">
        <x:v>SYN-0442-INV-04</x:v>
      </x:c>
      <x:c r="E1548" s="39" t="n">
        <x:v>46106</x:v>
      </x:c>
      <x:c r="F1548" s="42" t="n">
        <x:v>71518.8</x:v>
      </x:c>
      <x:c r="G1548" s="42" t="n">
        <x:v>3575.94</x:v>
      </x:c>
      <x:c r="H1548" s="42" t="n">
        <x:v>313276.13</x:v>
      </x:c>
      <x:c r="I1548" s="39" t="n">
        <x:v>45892</x:v>
      </x:c>
    </x:row>
    <x:row r="1549">
      <x:c r="A1549" s="21" t="str">
        <x:v>SYN-0443</x:v>
      </x:c>
      <x:c r="B1549" s="21" t="str">
        <x:v>Synthetic Supplier 0443 LLC</x:v>
      </x:c>
      <x:c r="C1549" s="38" t="str">
        <x:f>"900 000 000 000 443"</x:f>
        <x:v>900 000 000 000 443</x:v>
      </x:c>
      <x:c r="D1549" s="21" t="str">
        <x:v>SYN-0443-INV-01</x:v>
      </x:c>
      <x:c r="E1549" s="39" t="n">
        <x:v>45978</x:v>
      </x:c>
      <x:c r="F1549" s="42" t="n">
        <x:v>38473.85</x:v>
      </x:c>
      <x:c r="G1549" s="42" t="n">
        <x:v>1923.69</x:v>
      </x:c>
      <x:c r="H1549" s="42" t="n">
        <x:v>255446.79</x:v>
      </x:c>
      <x:c r="I1549" s="39" t="n">
        <x:v>45891</x:v>
      </x:c>
    </x:row>
    <x:row r="1550">
      <x:c r="A1550" s="21" t="str">
        <x:v>SYN-0443</x:v>
      </x:c>
      <x:c r="B1550" s="21" t="str">
        <x:v>Synthetic Supplier 0443 LLC</x:v>
      </x:c>
      <x:c r="C1550" s="38" t="str">
        <x:f>"900 000 000 000 443"</x:f>
        <x:v>900 000 000 000 443</x:v>
      </x:c>
      <x:c r="D1550" s="21" t="str">
        <x:v>SYN-0443-INV-02</x:v>
      </x:c>
      <x:c r="E1550" s="39" t="n">
        <x:v>46025</x:v>
      </x:c>
      <x:c r="F1550" s="42" t="n">
        <x:v>77288.91</x:v>
      </x:c>
      <x:c r="G1550" s="42" t="n">
        <x:v>3864.45</x:v>
      </x:c>
      <x:c r="H1550" s="42" t="n">
        <x:v>255446.79</x:v>
      </x:c>
      <x:c r="I1550" s="39" t="n">
        <x:v>45891</x:v>
      </x:c>
    </x:row>
    <x:row r="1551">
      <x:c r="A1551" s="21" t="str">
        <x:v>SYN-0443</x:v>
      </x:c>
      <x:c r="B1551" s="21" t="str">
        <x:v>Synthetic Supplier 0443 LLC</x:v>
      </x:c>
      <x:c r="C1551" s="38" t="str">
        <x:f>"900 000 000 000 443"</x:f>
        <x:v>900 000 000 000 443</x:v>
      </x:c>
      <x:c r="D1551" s="21" t="str">
        <x:v>SYN-0443-INV-03</x:v>
      </x:c>
      <x:c r="E1551" s="39" t="n">
        <x:v>46072</x:v>
      </x:c>
      <x:c r="F1551" s="42" t="n">
        <x:v>41293.02</x:v>
      </x:c>
      <x:c r="G1551" s="42" t="n">
        <x:v>2064.65</x:v>
      </x:c>
      <x:c r="H1551" s="42" t="n">
        <x:v>255446.79</x:v>
      </x:c>
      <x:c r="I1551" s="39" t="n">
        <x:v>45891</x:v>
      </x:c>
    </x:row>
    <x:row r="1552">
      <x:c r="A1552" s="21" t="str">
        <x:v>SYN-0443</x:v>
      </x:c>
      <x:c r="B1552" s="21" t="str">
        <x:v>Synthetic Supplier 0443 LLC</x:v>
      </x:c>
      <x:c r="C1552" s="38" t="str">
        <x:f>"900 000 000 000 443"</x:f>
        <x:v>900 000 000 000 443</x:v>
      </x:c>
      <x:c r="D1552" s="21" t="str">
        <x:v>SYN-0443-INV-04</x:v>
      </x:c>
      <x:c r="E1552" s="39" t="n">
        <x:v>46119</x:v>
      </x:c>
      <x:c r="F1552" s="42" t="n">
        <x:v>64466.07</x:v>
      </x:c>
      <x:c r="G1552" s="42" t="n">
        <x:v>3223.3</x:v>
      </x:c>
      <x:c r="H1552" s="42" t="n">
        <x:v>255446.79</x:v>
      </x:c>
      <x:c r="I1552" s="39" t="n">
        <x:v>45891</x:v>
      </x:c>
    </x:row>
    <x:row r="1553">
      <x:c r="A1553" s="21" t="str">
        <x:v>SYN-0443</x:v>
      </x:c>
      <x:c r="B1553" s="21" t="str">
        <x:v>Synthetic Supplier 0443 LLC</x:v>
      </x:c>
      <x:c r="C1553" s="38" t="str">
        <x:f>"900 000 000 000 443"</x:f>
        <x:v>900 000 000 000 443</x:v>
      </x:c>
      <x:c r="D1553" s="21" t="str">
        <x:v>SYN-0443-INV-05</x:v>
      </x:c>
      <x:c r="E1553" s="39" t="n">
        <x:v>46166</x:v>
      </x:c>
      <x:c r="F1553" s="42" t="n">
        <x:v>62307.93</x:v>
      </x:c>
      <x:c r="G1553" s="42" t="n">
        <x:v>3115.4</x:v>
      </x:c>
      <x:c r="H1553" s="42" t="n">
        <x:v>255446.79</x:v>
      </x:c>
      <x:c r="I1553" s="39" t="n">
        <x:v>45891</x:v>
      </x:c>
    </x:row>
    <x:row r="1554">
      <x:c r="A1554" s="21" t="str">
        <x:v>SYN-0444</x:v>
      </x:c>
      <x:c r="B1554" s="21" t="str">
        <x:v>Synthetic Supplier 0444 LLC</x:v>
      </x:c>
      <x:c r="C1554" s="38" t="str">
        <x:f>"900 000 000 000 444"</x:f>
        <x:v>900 000 000 000 444</x:v>
      </x:c>
      <x:c r="D1554" s="21" t="str">
        <x:v>SYN-0444-INV-01</x:v>
      </x:c>
      <x:c r="E1554" s="39" t="n">
        <x:v>45991</x:v>
      </x:c>
      <x:c r="F1554" s="42" t="n">
        <x:v>63839.96</x:v>
      </x:c>
      <x:c r="G1554" s="42" t="n">
        <x:v>3192</x:v>
      </x:c>
      <x:c r="H1554" s="42" t="n">
        <x:v>123662.57</x:v>
      </x:c>
      <x:c r="I1554" s="39" t="n">
        <x:v>45890</x:v>
      </x:c>
    </x:row>
    <x:row r="1555">
      <x:c r="A1555" s="21" t="str">
        <x:v>SYN-0444</x:v>
      </x:c>
      <x:c r="B1555" s="21" t="str">
        <x:v>Synthetic Supplier 0444 LLC</x:v>
      </x:c>
      <x:c r="C1555" s="38" t="str">
        <x:f>"900 000 000 000 444"</x:f>
        <x:v>900 000 000 000 444</x:v>
      </x:c>
      <x:c r="D1555" s="21" t="str">
        <x:v>SYN-0444-INV-02</x:v>
      </x:c>
      <x:c r="E1555" s="39" t="n">
        <x:v>46038</x:v>
      </x:c>
      <x:c r="F1555" s="42" t="n">
        <x:v>73562.9</x:v>
      </x:c>
      <x:c r="G1555" s="42" t="n">
        <x:v>3678.15</x:v>
      </x:c>
      <x:c r="H1555" s="42" t="n">
        <x:v>123662.57</x:v>
      </x:c>
      <x:c r="I1555" s="39" t="n">
        <x:v>45890</x:v>
      </x:c>
    </x:row>
    <x:row r="1556">
      <x:c r="A1556" s="21" t="str">
        <x:v>SYN-0445</x:v>
      </x:c>
      <x:c r="B1556" s="21" t="str">
        <x:v>Synthetic Supplier 0445 LLC</x:v>
      </x:c>
      <x:c r="C1556" s="38" t="str">
        <x:f>"900 000 000 000 445"</x:f>
        <x:v>900 000 000 000 445</x:v>
      </x:c>
      <x:c r="D1556" s="21" t="str">
        <x:v>SYN-0445-INV-01</x:v>
      </x:c>
      <x:c r="E1556" s="39" t="n">
        <x:v>46004</x:v>
      </x:c>
      <x:c r="F1556" s="42" t="n">
        <x:v>97231.75</x:v>
      </x:c>
      <x:c r="G1556" s="42" t="n">
        <x:v>4861.59</x:v>
      </x:c>
      <x:c r="H1556" s="42" t="n">
        <x:v>217645.05</x:v>
      </x:c>
      <x:c r="I1556" s="39"/>
    </x:row>
    <x:row r="1557">
      <x:c r="A1557" s="21" t="str">
        <x:v>SYN-0445</x:v>
      </x:c>
      <x:c r="B1557" s="21" t="str">
        <x:v>Synthetic Supplier 0445 LLC</x:v>
      </x:c>
      <x:c r="C1557" s="38" t="str">
        <x:f>"900 000 000 000 445"</x:f>
        <x:v>900 000 000 000 445</x:v>
      </x:c>
      <x:c r="D1557" s="21" t="str">
        <x:v>SYN-0445-INV-02</x:v>
      </x:c>
      <x:c r="E1557" s="39" t="n">
        <x:v>46051</x:v>
      </x:c>
      <x:c r="F1557" s="42" t="n">
        <x:v>64960.08</x:v>
      </x:c>
      <x:c r="G1557" s="42" t="n">
        <x:v>3248</x:v>
      </x:c>
      <x:c r="H1557" s="42" t="n">
        <x:v>217645.05</x:v>
      </x:c>
      <x:c r="I1557" s="39"/>
    </x:row>
    <x:row r="1558">
      <x:c r="A1558" s="21" t="str">
        <x:v>SYN-0445</x:v>
      </x:c>
      <x:c r="B1558" s="21" t="str">
        <x:v>Synthetic Supplier 0445 LLC</x:v>
      </x:c>
      <x:c r="C1558" s="38" t="str">
        <x:f>"900 000 000 000 445"</x:f>
        <x:v>900 000 000 000 445</x:v>
      </x:c>
      <x:c r="D1558" s="21" t="str">
        <x:v>SYN-0445-INV-03</x:v>
      </x:c>
      <x:c r="E1558" s="39" t="n">
        <x:v>46098</x:v>
      </x:c>
      <x:c r="F1558" s="42" t="n">
        <x:v>79636</x:v>
      </x:c>
      <x:c r="G1558" s="42" t="n">
        <x:v>3981.8</x:v>
      </x:c>
      <x:c r="H1558" s="42" t="n">
        <x:v>217645.05</x:v>
      </x:c>
      <x:c r="I1558" s="39"/>
    </x:row>
    <x:row r="1559">
      <x:c r="A1559" s="21" t="str">
        <x:v>SYN-0446</x:v>
      </x:c>
      <x:c r="B1559" s="21" t="str">
        <x:v>Synthetic Supplier 0446 LLC</x:v>
      </x:c>
      <x:c r="C1559" s="38" t="str">
        <x:f>"900 000 000 000 446"</x:f>
        <x:v>900 000 000 000 446</x:v>
      </x:c>
      <x:c r="D1559" s="21" t="str">
        <x:v>SYN-0446-INV-01</x:v>
      </x:c>
      <x:c r="E1559" s="39" t="n">
        <x:v>46017</x:v>
      </x:c>
      <x:c r="F1559" s="42" t="n">
        <x:v>24934.61</x:v>
      </x:c>
      <x:c r="G1559" s="42" t="n">
        <x:v>1246.73</x:v>
      </x:c>
      <x:c r="H1559" s="42" t="n">
        <x:v>105435.8</x:v>
      </x:c>
      <x:c r="I1559" s="39" t="n">
        <x:v>45830</x:v>
      </x:c>
    </x:row>
    <x:row r="1560">
      <x:c r="A1560" s="21" t="str">
        <x:v>SYN-0446</x:v>
      </x:c>
      <x:c r="B1560" s="21" t="str">
        <x:v>Synthetic Supplier 0446 LLC</x:v>
      </x:c>
      <x:c r="C1560" s="38" t="str">
        <x:f>"900 000 000 000 446"</x:f>
        <x:v>900 000 000 000 446</x:v>
      </x:c>
      <x:c r="D1560" s="21" t="str">
        <x:v>SYN-0446-INV-02</x:v>
      </x:c>
      <x:c r="E1560" s="39" t="n">
        <x:v>46064</x:v>
      </x:c>
      <x:c r="F1560" s="42" t="n">
        <x:v>31453.72</x:v>
      </x:c>
      <x:c r="G1560" s="42" t="n">
        <x:v>1572.69</x:v>
      </x:c>
      <x:c r="H1560" s="42" t="n">
        <x:v>105435.8</x:v>
      </x:c>
      <x:c r="I1560" s="39" t="n">
        <x:v>45830</x:v>
      </x:c>
    </x:row>
    <x:row r="1561">
      <x:c r="A1561" s="21" t="str">
        <x:v>SYN-0446</x:v>
      </x:c>
      <x:c r="B1561" s="21" t="str">
        <x:v>Synthetic Supplier 0446 LLC</x:v>
      </x:c>
      <x:c r="C1561" s="38" t="str">
        <x:f>"900 000 000 000 446"</x:f>
        <x:v>900 000 000 000 446</x:v>
      </x:c>
      <x:c r="D1561" s="21" t="str">
        <x:v>SYN-0446-INV-03</x:v>
      </x:c>
      <x:c r="E1561" s="39" t="n">
        <x:v>46111</x:v>
      </x:c>
      <x:c r="F1561" s="42" t="n">
        <x:v>26972.07</x:v>
      </x:c>
      <x:c r="G1561" s="42" t="n">
        <x:v>1348.6</x:v>
      </x:c>
      <x:c r="H1561" s="42" t="n">
        <x:v>105435.8</x:v>
      </x:c>
      <x:c r="I1561" s="39" t="n">
        <x:v>45830</x:v>
      </x:c>
    </x:row>
    <x:row r="1562">
      <x:c r="A1562" s="21" t="str">
        <x:v>SYN-0446</x:v>
      </x:c>
      <x:c r="B1562" s="21" t="str">
        <x:v>Synthetic Supplier 0446 LLC</x:v>
      </x:c>
      <x:c r="C1562" s="38" t="str">
        <x:f>"900 000 000 000 446"</x:f>
        <x:v>900 000 000 000 446</x:v>
      </x:c>
      <x:c r="D1562" s="21" t="str">
        <x:v>SYN-0446-INV-04</x:v>
      </x:c>
      <x:c r="E1562" s="39" t="n">
        <x:v>46158</x:v>
      </x:c>
      <x:c r="F1562" s="42" t="n">
        <x:v>33790.49</x:v>
      </x:c>
      <x:c r="G1562" s="42" t="n">
        <x:v>1689.52</x:v>
      </x:c>
      <x:c r="H1562" s="42" t="n">
        <x:v>105435.8</x:v>
      </x:c>
      <x:c r="I1562" s="39" t="n">
        <x:v>45830</x:v>
      </x:c>
    </x:row>
    <x:row r="1563">
      <x:c r="A1563" s="21" t="str">
        <x:v>SYN-0447</x:v>
      </x:c>
      <x:c r="B1563" s="21" t="str">
        <x:v>Synthetic Supplier 0447 LLC</x:v>
      </x:c>
      <x:c r="C1563" s="38" t="str">
        <x:f>"900 000 000 000 447"</x:f>
        <x:v>900 000 000 000 447</x:v>
      </x:c>
      <x:c r="D1563" s="21" t="str">
        <x:v>SYN-0447-INV-01</x:v>
      </x:c>
      <x:c r="E1563" s="39" t="n">
        <x:v>46030</x:v>
      </x:c>
      <x:c r="F1563" s="42" t="n">
        <x:v>30426.08</x:v>
      </x:c>
      <x:c r="G1563" s="42" t="n">
        <x:v>1521.3</x:v>
      </x:c>
      <x:c r="H1563" s="42" t="n">
        <x:v>120691.29</x:v>
      </x:c>
      <x:c r="I1563" s="39" t="n">
        <x:v>46226</x:v>
      </x:c>
    </x:row>
    <x:row r="1564">
      <x:c r="A1564" s="21" t="str">
        <x:v>SYN-0447</x:v>
      </x:c>
      <x:c r="B1564" s="21" t="str">
        <x:v>Synthetic Supplier 0447 LLC</x:v>
      </x:c>
      <x:c r="C1564" s="38" t="str">
        <x:f>"900 000 000 000 447"</x:f>
        <x:v>900 000 000 000 447</x:v>
      </x:c>
      <x:c r="D1564" s="21" t="str">
        <x:v>SYN-0447-INV-02</x:v>
      </x:c>
      <x:c r="E1564" s="39" t="n">
        <x:v>46077</x:v>
      </x:c>
      <x:c r="F1564" s="42" t="n">
        <x:v>15595.34</x:v>
      </x:c>
      <x:c r="G1564" s="42" t="n">
        <x:v>779.77</x:v>
      </x:c>
      <x:c r="H1564" s="42" t="n">
        <x:v>120691.29</x:v>
      </x:c>
      <x:c r="I1564" s="39" t="n">
        <x:v>46226</x:v>
      </x:c>
    </x:row>
    <x:row r="1565">
      <x:c r="A1565" s="21" t="str">
        <x:v>SYN-0447</x:v>
      </x:c>
      <x:c r="B1565" s="21" t="str">
        <x:v>Synthetic Supplier 0447 LLC</x:v>
      </x:c>
      <x:c r="C1565" s="38" t="str">
        <x:f>"900 000 000 000 447"</x:f>
        <x:v>900 000 000 000 447</x:v>
      </x:c>
      <x:c r="D1565" s="21" t="str">
        <x:v>SYN-0447-INV-03</x:v>
      </x:c>
      <x:c r="E1565" s="39" t="n">
        <x:v>46124</x:v>
      </x:c>
      <x:c r="F1565" s="42" t="n">
        <x:v>28604.32</x:v>
      </x:c>
      <x:c r="G1565" s="42" t="n">
        <x:v>1430.22</x:v>
      </x:c>
      <x:c r="H1565" s="42" t="n">
        <x:v>120691.29</x:v>
      </x:c>
      <x:c r="I1565" s="39" t="n">
        <x:v>46226</x:v>
      </x:c>
    </x:row>
    <x:row r="1566">
      <x:c r="A1566" s="21" t="str">
        <x:v>SYN-0447</x:v>
      </x:c>
      <x:c r="B1566" s="21" t="str">
        <x:v>Synthetic Supplier 0447 LLC</x:v>
      </x:c>
      <x:c r="C1566" s="38" t="str">
        <x:f>"900 000 000 000 447"</x:f>
        <x:v>900 000 000 000 447</x:v>
      </x:c>
      <x:c r="D1566" s="21" t="str">
        <x:v>SYN-0447-INV-04</x:v>
      </x:c>
      <x:c r="E1566" s="39" t="n">
        <x:v>46171</x:v>
      </x:c>
      <x:c r="F1566" s="42" t="n">
        <x:v>30575.71</x:v>
      </x:c>
      <x:c r="G1566" s="42" t="n">
        <x:v>1528.79</x:v>
      </x:c>
      <x:c r="H1566" s="42" t="n">
        <x:v>120691.29</x:v>
      </x:c>
      <x:c r="I1566" s="39" t="n">
        <x:v>46226</x:v>
      </x:c>
    </x:row>
    <x:row r="1567">
      <x:c r="A1567" s="21" t="str">
        <x:v>SYN-0447</x:v>
      </x:c>
      <x:c r="B1567" s="21" t="str">
        <x:v>Synthetic Supplier 0447 LLC</x:v>
      </x:c>
      <x:c r="C1567" s="38" t="str">
        <x:f>"900 000 000 000 447"</x:f>
        <x:v>900 000 000 000 447</x:v>
      </x:c>
      <x:c r="D1567" s="21" t="str">
        <x:v>SYN-0447-INV-05</x:v>
      </x:c>
      <x:c r="E1567" s="39" t="n">
        <x:v>46218</x:v>
      </x:c>
      <x:c r="F1567" s="42" t="n">
        <x:v>28899.97</x:v>
      </x:c>
      <x:c r="G1567" s="42" t="n">
        <x:v>1445</x:v>
      </x:c>
      <x:c r="H1567" s="42" t="n">
        <x:v>120691.29</x:v>
      </x:c>
      <x:c r="I1567" s="39" t="n">
        <x:v>46226</x:v>
      </x:c>
    </x:row>
    <x:row r="1568">
      <x:c r="A1568" s="21" t="str">
        <x:v>SYN-0448</x:v>
      </x:c>
      <x:c r="B1568" s="21" t="str">
        <x:v>Synthetic Supplier 0448 LLC</x:v>
      </x:c>
      <x:c r="C1568" s="38" t="str">
        <x:f>"900 000 000 000 448"</x:f>
        <x:v>900 000 000 000 448</x:v>
      </x:c>
      <x:c r="D1568" s="21" t="str">
        <x:v>SYN-0448-INV-01</x:v>
      </x:c>
      <x:c r="E1568" s="39" t="n">
        <x:v>46043</x:v>
      </x:c>
      <x:c r="F1568" s="42" t="n">
        <x:v>84114.05</x:v>
      </x:c>
      <x:c r="G1568" s="42" t="n">
        <x:v>4205.7</x:v>
      </x:c>
      <x:c r="H1568" s="42" t="n">
        <x:v>228349.14</x:v>
      </x:c>
      <x:c r="I1568" s="39" t="n">
        <x:v>45893</x:v>
      </x:c>
    </x:row>
    <x:row r="1569">
      <x:c r="A1569" s="21" t="str">
        <x:v>SYN-0448</x:v>
      </x:c>
      <x:c r="B1569" s="21" t="str">
        <x:v>Synthetic Supplier 0448 LLC</x:v>
      </x:c>
      <x:c r="C1569" s="38" t="str">
        <x:f>"900 000 000 000 448"</x:f>
        <x:v>900 000 000 000 448</x:v>
      </x:c>
      <x:c r="D1569" s="21" t="str">
        <x:v>SYN-0448-INV-02</x:v>
      </x:c>
      <x:c r="E1569" s="39" t="n">
        <x:v>46090</x:v>
      </x:c>
      <x:c r="F1569" s="42" t="n">
        <x:v>114450.43</x:v>
      </x:c>
      <x:c r="G1569" s="42" t="n">
        <x:v>5722.52</x:v>
      </x:c>
      <x:c r="H1569" s="42" t="n">
        <x:v>228349.14</x:v>
      </x:c>
      <x:c r="I1569" s="39" t="n">
        <x:v>45893</x:v>
      </x:c>
    </x:row>
    <x:row r="1570">
      <x:c r="A1570" s="21" t="str">
        <x:v>SYN-0449</x:v>
      </x:c>
      <x:c r="B1570" s="21" t="str">
        <x:v>Synthetic Supplier 0449 LLC</x:v>
      </x:c>
      <x:c r="C1570" s="38" t="str">
        <x:f>"900 000 000 000 449"</x:f>
        <x:v>900 000 000 000 449</x:v>
      </x:c>
      <x:c r="D1570" s="21" t="str">
        <x:v>SYN-0449-INV-01</x:v>
      </x:c>
      <x:c r="E1570" s="39" t="n">
        <x:v>46056</x:v>
      </x:c>
      <x:c r="F1570" s="42" t="n">
        <x:v>126084.21</x:v>
      </x:c>
      <x:c r="G1570" s="42" t="n">
        <x:v>6304.21</x:v>
      </x:c>
      <x:c r="H1570" s="42" t="n">
        <x:v>279074.15</x:v>
      </x:c>
      <x:c r="I1570" s="39" t="n">
        <x:v>46290</x:v>
      </x:c>
    </x:row>
    <x:row r="1571">
      <x:c r="A1571" s="21" t="str">
        <x:v>SYN-0449</x:v>
      </x:c>
      <x:c r="B1571" s="21" t="str">
        <x:v>Synthetic Supplier 0449 LLC</x:v>
      </x:c>
      <x:c r="C1571" s="38" t="str">
        <x:f>"900 000 000 000 449"</x:f>
        <x:v>900 000 000 000 449</x:v>
      </x:c>
      <x:c r="D1571" s="21" t="str">
        <x:v>SYN-0449-INV-02</x:v>
      </x:c>
      <x:c r="E1571" s="39" t="n">
        <x:v>46103</x:v>
      </x:c>
      <x:c r="F1571" s="42" t="n">
        <x:v>115613.65</x:v>
      </x:c>
      <x:c r="G1571" s="42" t="n">
        <x:v>5780.68</x:v>
      </x:c>
      <x:c r="H1571" s="42" t="n">
        <x:v>279074.15</x:v>
      </x:c>
      <x:c r="I1571" s="39" t="n">
        <x:v>46290</x:v>
      </x:c>
    </x:row>
    <x:row r="1572">
      <x:c r="A1572" s="21" t="str">
        <x:v>SYN-0449</x:v>
      </x:c>
      <x:c r="B1572" s="21" t="str">
        <x:v>Synthetic Supplier 0449 LLC</x:v>
      </x:c>
      <x:c r="C1572" s="38" t="str">
        <x:f>"900 000 000 000 449"</x:f>
        <x:v>900 000 000 000 449</x:v>
      </x:c>
      <x:c r="D1572" s="21" t="str">
        <x:v>SYN-0449-INV-03</x:v>
      </x:c>
      <x:c r="E1572" s="39" t="n">
        <x:v>46150</x:v>
      </x:c>
      <x:c r="F1572" s="42" t="n">
        <x:v>68384.53</x:v>
      </x:c>
      <x:c r="G1572" s="42" t="n">
        <x:v>3419.23</x:v>
      </x:c>
      <x:c r="H1572" s="42" t="n">
        <x:v>279074.15</x:v>
      </x:c>
      <x:c r="I1572" s="39" t="n">
        <x:v>46290</x:v>
      </x:c>
    </x:row>
    <x:row r="1573">
      <x:c r="A1573" s="21" t="str">
        <x:v>SYN-0450</x:v>
      </x:c>
      <x:c r="B1573" s="21" t="str">
        <x:v>Synthetic Supplier 0450 LLC</x:v>
      </x:c>
      <x:c r="C1573" s="38" t="str">
        <x:f>"900 000 000 000 450"</x:f>
        <x:v>900 000 000 000 450</x:v>
      </x:c>
      <x:c r="D1573" s="21" t="str">
        <x:v>SYN-0450-INV-01</x:v>
      </x:c>
      <x:c r="E1573" s="39" t="n">
        <x:v>46069</x:v>
      </x:c>
      <x:c r="F1573" s="42" t="n">
        <x:v>36265.61</x:v>
      </x:c>
      <x:c r="G1573" s="42" t="n">
        <x:v>1813.28</x:v>
      </x:c>
      <x:c r="H1573" s="42" t="n">
        <x:v>148695.32</x:v>
      </x:c>
      <x:c r="I1573" s="39"/>
    </x:row>
    <x:row r="1574">
      <x:c r="A1574" s="21" t="str">
        <x:v>SYN-0450</x:v>
      </x:c>
      <x:c r="B1574" s="21" t="str">
        <x:v>Synthetic Supplier 0450 LLC</x:v>
      </x:c>
      <x:c r="C1574" s="38" t="str">
        <x:f>"900 000 000 000 450"</x:f>
        <x:v>900 000 000 000 450</x:v>
      </x:c>
      <x:c r="D1574" s="21" t="str">
        <x:v>SYN-0450-INV-02</x:v>
      </x:c>
      <x:c r="E1574" s="39" t="n">
        <x:v>46116</x:v>
      </x:c>
      <x:c r="F1574" s="42" t="n">
        <x:v>48022.43</x:v>
      </x:c>
      <x:c r="G1574" s="42" t="n">
        <x:v>2401.12</x:v>
      </x:c>
      <x:c r="H1574" s="42" t="n">
        <x:v>148695.32</x:v>
      </x:c>
      <x:c r="I1574" s="39"/>
    </x:row>
    <x:row r="1575">
      <x:c r="A1575" s="21" t="str">
        <x:v>SYN-0450</x:v>
      </x:c>
      <x:c r="B1575" s="21" t="str">
        <x:v>Synthetic Supplier 0450 LLC</x:v>
      </x:c>
      <x:c r="C1575" s="38" t="str">
        <x:f>"900 000 000 000 450"</x:f>
        <x:v>900 000 000 000 450</x:v>
      </x:c>
      <x:c r="D1575" s="21" t="str">
        <x:v>SYN-0450-INV-03</x:v>
      </x:c>
      <x:c r="E1575" s="39" t="n">
        <x:v>46163</x:v>
      </x:c>
      <x:c r="F1575" s="42" t="n">
        <x:v>40527.58</x:v>
      </x:c>
      <x:c r="G1575" s="42" t="n">
        <x:v>2026.38</x:v>
      </x:c>
      <x:c r="H1575" s="42" t="n">
        <x:v>148695.32</x:v>
      </x:c>
      <x:c r="I1575" s="39"/>
    </x:row>
    <x:row r="1576">
      <x:c r="A1576" s="21" t="str">
        <x:v>SYN-0450</x:v>
      </x:c>
      <x:c r="B1576" s="21" t="str">
        <x:v>Synthetic Supplier 0450 LLC</x:v>
      </x:c>
      <x:c r="C1576" s="38" t="str">
        <x:f>"900 000 000 000 450"</x:f>
        <x:v>900 000 000 000 450</x:v>
      </x:c>
      <x:c r="D1576" s="21" t="str">
        <x:v>SYN-0450-INV-04</x:v>
      </x:c>
      <x:c r="E1576" s="39" t="n">
        <x:v>46210</x:v>
      </x:c>
      <x:c r="F1576" s="42" t="n">
        <x:v>40401.41</x:v>
      </x:c>
      <x:c r="G1576" s="42" t="n">
        <x:v>2020.07</x:v>
      </x:c>
      <x:c r="H1576" s="42" t="n">
        <x:v>148695.32</x:v>
      </x:c>
      <x:c r="I1576" s="39"/>
    </x:row>
    <x:row r="1577">
      <x:c r="A1577" s="21" t="str">
        <x:v>SYN-0451</x:v>
      </x:c>
      <x:c r="B1577" s="21" t="str">
        <x:v>Synthetic Supplier 0451 LLC</x:v>
      </x:c>
      <x:c r="C1577" s="38" t="str">
        <x:f>"900 000 000 000 451"</x:f>
        <x:v>900 000 000 000 451</x:v>
      </x:c>
      <x:c r="D1577" s="21" t="str">
        <x:v>SYN-0451-INV-01</x:v>
      </x:c>
      <x:c r="E1577" s="39" t="n">
        <x:v>46082</x:v>
      </x:c>
      <x:c r="F1577" s="42" t="n">
        <x:v>37956.33</x:v>
      </x:c>
      <x:c r="G1577" s="42" t="n">
        <x:v>1897.82</x:v>
      </x:c>
      <x:c r="H1577" s="42" t="n">
        <x:v>185589.87</x:v>
      </x:c>
      <x:c r="I1577" s="39" t="n">
        <x:v>46055</x:v>
      </x:c>
    </x:row>
    <x:row r="1578">
      <x:c r="A1578" s="21" t="str">
        <x:v>SYN-0451</x:v>
      </x:c>
      <x:c r="B1578" s="21" t="str">
        <x:v>Synthetic Supplier 0451 LLC</x:v>
      </x:c>
      <x:c r="C1578" s="38" t="str">
        <x:f>"900 000 000 000 451"</x:f>
        <x:v>900 000 000 000 451</x:v>
      </x:c>
      <x:c r="D1578" s="21" t="str">
        <x:v>SYN-0451-INV-02</x:v>
      </x:c>
      <x:c r="E1578" s="39" t="n">
        <x:v>46129</x:v>
      </x:c>
      <x:c r="F1578" s="42" t="n">
        <x:v>44737.44</x:v>
      </x:c>
      <x:c r="G1578" s="42" t="n">
        <x:v>2236.87</x:v>
      </x:c>
      <x:c r="H1578" s="42" t="n">
        <x:v>185589.87</x:v>
      </x:c>
      <x:c r="I1578" s="39" t="n">
        <x:v>46055</x:v>
      </x:c>
    </x:row>
    <x:row r="1579">
      <x:c r="A1579" s="21" t="str">
        <x:v>SYN-0451</x:v>
      </x:c>
      <x:c r="B1579" s="21" t="str">
        <x:v>Synthetic Supplier 0451 LLC</x:v>
      </x:c>
      <x:c r="C1579" s="38" t="str">
        <x:f>"900 000 000 000 451"</x:f>
        <x:v>900 000 000 000 451</x:v>
      </x:c>
      <x:c r="D1579" s="21" t="str">
        <x:v>SYN-0451-INV-03</x:v>
      </x:c>
      <x:c r="E1579" s="39" t="n">
        <x:v>46176</x:v>
      </x:c>
      <x:c r="F1579" s="42" t="n">
        <x:v>30753.78</x:v>
      </x:c>
      <x:c r="G1579" s="42" t="n">
        <x:v>1537.69</x:v>
      </x:c>
      <x:c r="H1579" s="42" t="n">
        <x:v>185589.87</x:v>
      </x:c>
      <x:c r="I1579" s="39" t="n">
        <x:v>46055</x:v>
      </x:c>
    </x:row>
    <x:row r="1580">
      <x:c r="A1580" s="21" t="str">
        <x:v>SYN-0451</x:v>
      </x:c>
      <x:c r="B1580" s="21" t="str">
        <x:v>Synthetic Supplier 0451 LLC</x:v>
      </x:c>
      <x:c r="C1580" s="38" t="str">
        <x:f>"900 000 000 000 451"</x:f>
        <x:v>900 000 000 000 451</x:v>
      </x:c>
      <x:c r="D1580" s="21" t="str">
        <x:v>SYN-0451-INV-04</x:v>
      </x:c>
      <x:c r="E1580" s="39" t="n">
        <x:v>46223</x:v>
      </x:c>
      <x:c r="F1580" s="42" t="n">
        <x:v>52499.09</x:v>
      </x:c>
      <x:c r="G1580" s="42" t="n">
        <x:v>2624.95</x:v>
      </x:c>
      <x:c r="H1580" s="42" t="n">
        <x:v>185589.87</x:v>
      </x:c>
      <x:c r="I1580" s="39" t="n">
        <x:v>46055</x:v>
      </x:c>
    </x:row>
    <x:row r="1581">
      <x:c r="A1581" s="21" t="str">
        <x:v>SYN-0451</x:v>
      </x:c>
      <x:c r="B1581" s="21" t="str">
        <x:v>Synthetic Supplier 0451 LLC</x:v>
      </x:c>
      <x:c r="C1581" s="38" t="str">
        <x:f>"900 000 000 000 451"</x:f>
        <x:v>900 000 000 000 451</x:v>
      </x:c>
      <x:c r="D1581" s="21" t="str">
        <x:v>SYN-0451-INV-05</x:v>
      </x:c>
      <x:c r="E1581" s="39" t="n">
        <x:v>46270</x:v>
      </x:c>
      <x:c r="F1581" s="42" t="n">
        <x:v>40264.33</x:v>
      </x:c>
      <x:c r="G1581" s="42" t="n">
        <x:v>2013.22</x:v>
      </x:c>
      <x:c r="H1581" s="42" t="n">
        <x:v>185589.87</x:v>
      </x:c>
      <x:c r="I1581" s="39" t="n">
        <x:v>46055</x:v>
      </x:c>
    </x:row>
    <x:row r="1582">
      <x:c r="A1582" s="21" t="str">
        <x:v>SYN-0452</x:v>
      </x:c>
      <x:c r="B1582" s="21" t="str">
        <x:v>Synthetic Supplier 0452 LLC</x:v>
      </x:c>
      <x:c r="C1582" s="38" t="str">
        <x:f>"900 000 000 000 452"</x:f>
        <x:v>900 000 000 000 452</x:v>
      </x:c>
      <x:c r="D1582" s="21" t="str">
        <x:v>SYN-0452-INV-01</x:v>
      </x:c>
      <x:c r="E1582" s="39" t="n">
        <x:v>46095</x:v>
      </x:c>
      <x:c r="F1582" s="42" t="n">
        <x:v>111733.34</x:v>
      </x:c>
      <x:c r="G1582" s="42" t="n">
        <x:v>5586.67</x:v>
      </x:c>
      <x:c r="H1582" s="42" t="n">
        <x:v>193363.84</x:v>
      </x:c>
      <x:c r="I1582" s="39" t="n">
        <x:v>45719</x:v>
      </x:c>
    </x:row>
    <x:row r="1583">
      <x:c r="A1583" s="21" t="str">
        <x:v>SYN-0452</x:v>
      </x:c>
      <x:c r="B1583" s="21" t="str">
        <x:v>Synthetic Supplier 0452 LLC</x:v>
      </x:c>
      <x:c r="C1583" s="38" t="str">
        <x:f>"900 000 000 000 452"</x:f>
        <x:v>900 000 000 000 452</x:v>
      </x:c>
      <x:c r="D1583" s="21" t="str">
        <x:v>SYN-0452-INV-02</x:v>
      </x:c>
      <x:c r="E1583" s="39" t="n">
        <x:v>46142</x:v>
      </x:c>
      <x:c r="F1583" s="42" t="n">
        <x:v>103115.36</x:v>
      </x:c>
      <x:c r="G1583" s="42" t="n">
        <x:v>5155.77</x:v>
      </x:c>
      <x:c r="H1583" s="42" t="n">
        <x:v>193363.84</x:v>
      </x:c>
      <x:c r="I1583" s="39" t="n">
        <x:v>45719</x:v>
      </x:c>
    </x:row>
    <x:row r="1584">
      <x:c r="A1584" s="21" t="str">
        <x:v>SYN-0453</x:v>
      </x:c>
      <x:c r="B1584" s="21" t="str">
        <x:v>Synthetic Supplier 0453 LLC</x:v>
      </x:c>
      <x:c r="C1584" s="38" t="str">
        <x:f>"900 000 000 000 453"</x:f>
        <x:v>900 000 000 000 453</x:v>
      </x:c>
      <x:c r="D1584" s="21" t="str">
        <x:v>SYN-0453-INV-01</x:v>
      </x:c>
      <x:c r="E1584" s="39" t="n">
        <x:v>46108</x:v>
      </x:c>
      <x:c r="F1584" s="42" t="n">
        <x:v>87913.29</x:v>
      </x:c>
      <x:c r="G1584" s="42" t="n">
        <x:v>4395.66</x:v>
      </x:c>
      <x:c r="H1584" s="42" t="n">
        <x:v>225616.44</x:v>
      </x:c>
      <x:c r="I1584" s="39" t="n">
        <x:v>46116</x:v>
      </x:c>
    </x:row>
    <x:row r="1585">
      <x:c r="A1585" s="21" t="str">
        <x:v>SYN-0453</x:v>
      </x:c>
      <x:c r="B1585" s="21" t="str">
        <x:v>Synthetic Supplier 0453 LLC</x:v>
      </x:c>
      <x:c r="C1585" s="38" t="str">
        <x:f>"900 000 000 000 453"</x:f>
        <x:v>900 000 000 000 453</x:v>
      </x:c>
      <x:c r="D1585" s="21" t="str">
        <x:v>SYN-0453-INV-02</x:v>
      </x:c>
      <x:c r="E1585" s="39" t="n">
        <x:v>46155</x:v>
      </x:c>
      <x:c r="F1585" s="42" t="n">
        <x:v>58631.78</x:v>
      </x:c>
      <x:c r="G1585" s="42" t="n">
        <x:v>2931.59</x:v>
      </x:c>
      <x:c r="H1585" s="42" t="n">
        <x:v>225616.44</x:v>
      </x:c>
      <x:c r="I1585" s="39" t="n">
        <x:v>46116</x:v>
      </x:c>
    </x:row>
    <x:row r="1586">
      <x:c r="A1586" s="21" t="str">
        <x:v>SYN-0453</x:v>
      </x:c>
      <x:c r="B1586" s="21" t="str">
        <x:v>Synthetic Supplier 0453 LLC</x:v>
      </x:c>
      <x:c r="C1586" s="38" t="str">
        <x:f>"900 000 000 000 453"</x:f>
        <x:v>900 000 000 000 453</x:v>
      </x:c>
      <x:c r="D1586" s="21" t="str">
        <x:v>SYN-0453-INV-03</x:v>
      </x:c>
      <x:c r="E1586" s="39" t="n">
        <x:v>46202</x:v>
      </x:c>
      <x:c r="F1586" s="42" t="n">
        <x:v>104139.86</x:v>
      </x:c>
      <x:c r="G1586" s="42" t="n">
        <x:v>5206.99</x:v>
      </x:c>
      <x:c r="H1586" s="42" t="n">
        <x:v>225616.44</x:v>
      </x:c>
      <x:c r="I1586" s="39" t="n">
        <x:v>46116</x:v>
      </x:c>
    </x:row>
    <x:row r="1587">
      <x:c r="A1587" s="21" t="str">
        <x:v>SYN-0454</x:v>
      </x:c>
      <x:c r="B1587" s="21" t="str">
        <x:v>Synthetic Supplier 0454 LLC</x:v>
      </x:c>
      <x:c r="C1587" s="38" t="str">
        <x:f>"900 000 000 000 454"</x:f>
        <x:v>900 000 000 000 454</x:v>
      </x:c>
      <x:c r="D1587" s="21" t="str">
        <x:v>SYN-0454-INV-01</x:v>
      </x:c>
      <x:c r="E1587" s="39" t="n">
        <x:v>46121</x:v>
      </x:c>
      <x:c r="F1587" s="42" t="n">
        <x:v>39464.86</x:v>
      </x:c>
      <x:c r="G1587" s="42" t="n">
        <x:v>1973.24</x:v>
      </x:c>
      <x:c r="H1587" s="42" t="n">
        <x:v>122535.27</x:v>
      </x:c>
      <x:c r="I1587" s="39" t="n">
        <x:v>45782</x:v>
      </x:c>
    </x:row>
    <x:row r="1588">
      <x:c r="A1588" s="21" t="str">
        <x:v>SYN-0454</x:v>
      </x:c>
      <x:c r="B1588" s="21" t="str">
        <x:v>Synthetic Supplier 0454 LLC</x:v>
      </x:c>
      <x:c r="C1588" s="38" t="str">
        <x:f>"900 000 000 000 454"</x:f>
        <x:v>900 000 000 000 454</x:v>
      </x:c>
      <x:c r="D1588" s="21" t="str">
        <x:v>SYN-0454-INV-02</x:v>
      </x:c>
      <x:c r="E1588" s="39" t="n">
        <x:v>46168</x:v>
      </x:c>
      <x:c r="F1588" s="42" t="n">
        <x:v>32151.49</x:v>
      </x:c>
      <x:c r="G1588" s="42" t="n">
        <x:v>1607.57</x:v>
      </x:c>
      <x:c r="H1588" s="42" t="n">
        <x:v>122535.27</x:v>
      </x:c>
      <x:c r="I1588" s="39" t="n">
        <x:v>45782</x:v>
      </x:c>
    </x:row>
    <x:row r="1589">
      <x:c r="A1589" s="21" t="str">
        <x:v>SYN-0454</x:v>
      </x:c>
      <x:c r="B1589" s="21" t="str">
        <x:v>Synthetic Supplier 0454 LLC</x:v>
      </x:c>
      <x:c r="C1589" s="38" t="str">
        <x:f>"900 000 000 000 454"</x:f>
        <x:v>900 000 000 000 454</x:v>
      </x:c>
      <x:c r="D1589" s="21" t="str">
        <x:v>SYN-0454-INV-03</x:v>
      </x:c>
      <x:c r="E1589" s="39" t="n">
        <x:v>46215</x:v>
      </x:c>
      <x:c r="F1589" s="42" t="n">
        <x:v>23166.89</x:v>
      </x:c>
      <x:c r="G1589" s="42" t="n">
        <x:v>1158.34</x:v>
      </x:c>
      <x:c r="H1589" s="42" t="n">
        <x:v>122535.27</x:v>
      </x:c>
      <x:c r="I1589" s="39" t="n">
        <x:v>45782</x:v>
      </x:c>
    </x:row>
    <x:row r="1590">
      <x:c r="A1590" s="21" t="str">
        <x:v>SYN-0454</x:v>
      </x:c>
      <x:c r="B1590" s="21" t="str">
        <x:v>Synthetic Supplier 0454 LLC</x:v>
      </x:c>
      <x:c r="C1590" s="38" t="str">
        <x:f>"900 000 000 000 454"</x:f>
        <x:v>900 000 000 000 454</x:v>
      </x:c>
      <x:c r="D1590" s="21" t="str">
        <x:v>SYN-0454-INV-04</x:v>
      </x:c>
      <x:c r="E1590" s="39" t="n">
        <x:v>46262</x:v>
      </x:c>
      <x:c r="F1590" s="42" t="n">
        <x:v>41367.06</x:v>
      </x:c>
      <x:c r="G1590" s="42" t="n">
        <x:v>2068.35</x:v>
      </x:c>
      <x:c r="H1590" s="42" t="n">
        <x:v>122535.27</x:v>
      </x:c>
      <x:c r="I1590" s="39" t="n">
        <x:v>45782</x:v>
      </x:c>
    </x:row>
    <x:row r="1591">
      <x:c r="A1591" s="21" t="str">
        <x:v>SYN-0455</x:v>
      </x:c>
      <x:c r="B1591" s="21" t="str">
        <x:v>Synthetic Supplier 0455 LLC</x:v>
      </x:c>
      <x:c r="C1591" s="38" t="str">
        <x:f>"900 000 000 000 455"</x:f>
        <x:v>900 000 000 000 455</x:v>
      </x:c>
      <x:c r="D1591" s="21" t="str">
        <x:v>SYN-0455-INV-01</x:v>
      </x:c>
      <x:c r="E1591" s="39" t="n">
        <x:v>46134</x:v>
      </x:c>
      <x:c r="F1591" s="42" t="n">
        <x:v>77619.11</x:v>
      </x:c>
      <x:c r="G1591" s="42" t="n">
        <x:v>3880.96</x:v>
      </x:c>
      <x:c r="H1591" s="42" t="n">
        <x:v>348269.65</x:v>
      </x:c>
      <x:c r="I1591" s="39"/>
    </x:row>
    <x:row r="1592">
      <x:c r="A1592" s="21" t="str">
        <x:v>SYN-0455</x:v>
      </x:c>
      <x:c r="B1592" s="21" t="str">
        <x:v>Synthetic Supplier 0455 LLC</x:v>
      </x:c>
      <x:c r="C1592" s="38" t="str">
        <x:f>"900 000 000 000 455"</x:f>
        <x:v>900 000 000 000 455</x:v>
      </x:c>
      <x:c r="D1592" s="21" t="str">
        <x:v>SYN-0455-INV-02</x:v>
      </x:c>
      <x:c r="E1592" s="39" t="n">
        <x:v>46181</x:v>
      </x:c>
      <x:c r="F1592" s="42" t="n">
        <x:v>40954.04</x:v>
      </x:c>
      <x:c r="G1592" s="42" t="n">
        <x:v>2047.7</x:v>
      </x:c>
      <x:c r="H1592" s="42" t="n">
        <x:v>348269.65</x:v>
      </x:c>
      <x:c r="I1592" s="39"/>
    </x:row>
    <x:row r="1593">
      <x:c r="A1593" s="21" t="str">
        <x:v>SYN-0455</x:v>
      </x:c>
      <x:c r="B1593" s="21" t="str">
        <x:v>Synthetic Supplier 0455 LLC</x:v>
      </x:c>
      <x:c r="C1593" s="38" t="str">
        <x:f>"900 000 000 000 455"</x:f>
        <x:v>900 000 000 000 455</x:v>
      </x:c>
      <x:c r="D1593" s="21" t="str">
        <x:v>SYN-0455-INV-03</x:v>
      </x:c>
      <x:c r="E1593" s="39" t="n">
        <x:v>46228</x:v>
      </x:c>
      <x:c r="F1593" s="42" t="n">
        <x:v>50145.77</x:v>
      </x:c>
      <x:c r="G1593" s="42" t="n">
        <x:v>2507.29</x:v>
      </x:c>
      <x:c r="H1593" s="42" t="n">
        <x:v>348269.65</x:v>
      </x:c>
      <x:c r="I1593" s="39"/>
    </x:row>
    <x:row r="1594">
      <x:c r="A1594" s="21" t="str">
        <x:v>SYN-0455</x:v>
      </x:c>
      <x:c r="B1594" s="21" t="str">
        <x:v>Synthetic Supplier 0455 LLC</x:v>
      </x:c>
      <x:c r="C1594" s="38" t="str">
        <x:f>"900 000 000 000 455"</x:f>
        <x:v>900 000 000 000 455</x:v>
      </x:c>
      <x:c r="D1594" s="21" t="str">
        <x:v>SYN-0455-INV-04</x:v>
      </x:c>
      <x:c r="E1594" s="39" t="n">
        <x:v>46275</x:v>
      </x:c>
      <x:c r="F1594" s="42" t="n">
        <x:v>90770.44</x:v>
      </x:c>
      <x:c r="G1594" s="42" t="n">
        <x:v>4538.52</x:v>
      </x:c>
      <x:c r="H1594" s="42" t="n">
        <x:v>348269.65</x:v>
      </x:c>
      <x:c r="I1594" s="39"/>
    </x:row>
    <x:row r="1595">
      <x:c r="A1595" s="21" t="str">
        <x:v>SYN-0455</x:v>
      </x:c>
      <x:c r="B1595" s="21" t="str">
        <x:v>Synthetic Supplier 0455 LLC</x:v>
      </x:c>
      <x:c r="C1595" s="38" t="str">
        <x:f>"900 000 000 000 455"</x:f>
        <x:v>900 000 000 000 455</x:v>
      </x:c>
      <x:c r="D1595" s="21" t="str">
        <x:v>SYN-0455-INV-05</x:v>
      </x:c>
      <x:c r="E1595" s="39" t="n">
        <x:v>45962</x:v>
      </x:c>
      <x:c r="F1595" s="42" t="n">
        <x:v>43353.82</x:v>
      </x:c>
      <x:c r="G1595" s="42" t="n">
        <x:v>2167.69</x:v>
      </x:c>
      <x:c r="H1595" s="42" t="n">
        <x:v>348269.65</x:v>
      </x:c>
      <x:c r="I1595" s="39"/>
    </x:row>
    <x:row r="1596">
      <x:c r="A1596" s="21" t="str">
        <x:v>SYN-0456</x:v>
      </x:c>
      <x:c r="B1596" s="21" t="str">
        <x:v>Synthetic Supplier 0456 LLC</x:v>
      </x:c>
      <x:c r="C1596" s="38" t="str">
        <x:f>"900 000 000 000 456"</x:f>
        <x:v>900 000 000 000 456</x:v>
      </x:c>
      <x:c r="D1596" s="21" t="str">
        <x:v>SYN-0456-INV-01</x:v>
      </x:c>
      <x:c r="E1596" s="39" t="n">
        <x:v>46147</x:v>
      </x:c>
      <x:c r="F1596" s="42" t="n">
        <x:v>89671.12</x:v>
      </x:c>
      <x:c r="G1596" s="42" t="n">
        <x:v>4483.56</x:v>
      </x:c>
      <x:c r="H1596" s="42" t="n">
        <x:v>204157.81</x:v>
      </x:c>
      <x:c r="I1596" s="39" t="n">
        <x:v>45845</x:v>
      </x:c>
    </x:row>
    <x:row r="1597">
      <x:c r="A1597" s="21" t="str">
        <x:v>SYN-0456</x:v>
      </x:c>
      <x:c r="B1597" s="21" t="str">
        <x:v>Synthetic Supplier 0456 LLC</x:v>
      </x:c>
      <x:c r="C1597" s="38" t="str">
        <x:f>"900 000 000 000 456"</x:f>
        <x:v>900 000 000 000 456</x:v>
      </x:c>
      <x:c r="D1597" s="21" t="str">
        <x:v>SYN-0456-INV-02</x:v>
      </x:c>
      <x:c r="E1597" s="39" t="n">
        <x:v>46194</x:v>
      </x:c>
      <x:c r="F1597" s="42" t="n">
        <x:v>137170.89</x:v>
      </x:c>
      <x:c r="G1597" s="42" t="n">
        <x:v>6858.54</x:v>
      </x:c>
      <x:c r="H1597" s="42" t="n">
        <x:v>204157.81</x:v>
      </x:c>
      <x:c r="I1597" s="39" t="n">
        <x:v>45845</x:v>
      </x:c>
    </x:row>
    <x:row r="1598">
      <x:c r="A1598" s="21" t="str">
        <x:v>SYN-0457</x:v>
      </x:c>
      <x:c r="B1598" s="21" t="str">
        <x:v>Synthetic Supplier 0457 LLC</x:v>
      </x:c>
      <x:c r="C1598" s="38" t="str">
        <x:f>"900 000 000 000 457"</x:f>
        <x:v>900 000 000 000 457</x:v>
      </x:c>
      <x:c r="D1598" s="21" t="str">
        <x:v>SYN-0457-INV-01</x:v>
      </x:c>
      <x:c r="E1598" s="39" t="n">
        <x:v>46160</x:v>
      </x:c>
      <x:c r="F1598" s="42" t="n">
        <x:v>101216.37</x:v>
      </x:c>
      <x:c r="G1598" s="42" t="n">
        <x:v>5060.82</x:v>
      </x:c>
      <x:c r="H1598" s="42" t="n">
        <x:v>286097.23</x:v>
      </x:c>
      <x:c r="I1598" s="39" t="n">
        <x:v>46242</x:v>
      </x:c>
    </x:row>
    <x:row r="1599">
      <x:c r="A1599" s="21" t="str">
        <x:v>SYN-0457</x:v>
      </x:c>
      <x:c r="B1599" s="21" t="str">
        <x:v>Synthetic Supplier 0457 LLC</x:v>
      </x:c>
      <x:c r="C1599" s="38" t="str">
        <x:f>"900 000 000 000 457"</x:f>
        <x:v>900 000 000 000 457</x:v>
      </x:c>
      <x:c r="D1599" s="21" t="str">
        <x:v>SYN-0457-INV-02</x:v>
      </x:c>
      <x:c r="E1599" s="39" t="n">
        <x:v>46207</x:v>
      </x:c>
      <x:c r="F1599" s="42" t="n">
        <x:v>121571.74</x:v>
      </x:c>
      <x:c r="G1599" s="42" t="n">
        <x:v>6078.59</x:v>
      </x:c>
      <x:c r="H1599" s="42" t="n">
        <x:v>286097.23</x:v>
      </x:c>
      <x:c r="I1599" s="39" t="n">
        <x:v>46242</x:v>
      </x:c>
    </x:row>
    <x:row r="1600">
      <x:c r="A1600" s="21" t="str">
        <x:v>SYN-0457</x:v>
      </x:c>
      <x:c r="B1600" s="21" t="str">
        <x:v>Synthetic Supplier 0457 LLC</x:v>
      </x:c>
      <x:c r="C1600" s="38" t="str">
        <x:f>"900 000 000 000 457"</x:f>
        <x:v>900 000 000 000 457</x:v>
      </x:c>
      <x:c r="D1600" s="21" t="str">
        <x:v>SYN-0457-INV-03</x:v>
      </x:c>
      <x:c r="E1600" s="39" t="n">
        <x:v>46254</x:v>
      </x:c>
      <x:c r="F1600" s="42" t="n">
        <x:v>95097.7</x:v>
      </x:c>
      <x:c r="G1600" s="42" t="n">
        <x:v>4754.89</x:v>
      </x:c>
      <x:c r="H1600" s="42" t="n">
        <x:v>286097.23</x:v>
      </x:c>
      <x:c r="I1600" s="39" t="n">
        <x:v>46242</x:v>
      </x:c>
    </x:row>
    <x:row r="1601">
      <x:c r="A1601" s="21" t="str">
        <x:v>SYN-0458</x:v>
      </x:c>
      <x:c r="B1601" s="21" t="str">
        <x:v>Synthetic Supplier 0458 LLC</x:v>
      </x:c>
      <x:c r="C1601" s="38" t="str">
        <x:f>"900 000 000 000 458"</x:f>
        <x:v>900 000 000 000 458</x:v>
      </x:c>
      <x:c r="D1601" s="21" t="str">
        <x:v>SYN-0458-INV-01</x:v>
      </x:c>
      <x:c r="E1601" s="39" t="n">
        <x:v>46173</x:v>
      </x:c>
      <x:c r="F1601" s="42" t="n">
        <x:v>65241.12</x:v>
      </x:c>
      <x:c r="G1601" s="42" t="n">
        <x:v>3262.06</x:v>
      </x:c>
      <x:c r="H1601" s="42" t="n">
        <x:v>266511.94</x:v>
      </x:c>
      <x:c r="I1601" s="39" t="n">
        <x:v>45909</x:v>
      </x:c>
    </x:row>
    <x:row r="1602">
      <x:c r="A1602" s="21" t="str">
        <x:v>SYN-0458</x:v>
      </x:c>
      <x:c r="B1602" s="21" t="str">
        <x:v>Synthetic Supplier 0458 LLC</x:v>
      </x:c>
      <x:c r="C1602" s="38" t="str">
        <x:f>"900 000 000 000 458"</x:f>
        <x:v>900 000 000 000 458</x:v>
      </x:c>
      <x:c r="D1602" s="21" t="str">
        <x:v>SYN-0458-INV-02</x:v>
      </x:c>
      <x:c r="E1602" s="39" t="n">
        <x:v>46220</x:v>
      </x:c>
      <x:c r="F1602" s="42" t="n">
        <x:v>94955.99</x:v>
      </x:c>
      <x:c r="G1602" s="42" t="n">
        <x:v>4747.8</x:v>
      </x:c>
      <x:c r="H1602" s="42" t="n">
        <x:v>266511.94</x:v>
      </x:c>
      <x:c r="I1602" s="39" t="n">
        <x:v>45909</x:v>
      </x:c>
    </x:row>
    <x:row r="1603">
      <x:c r="A1603" s="21" t="str">
        <x:v>SYN-0458</x:v>
      </x:c>
      <x:c r="B1603" s="21" t="str">
        <x:v>Synthetic Supplier 0458 LLC</x:v>
      </x:c>
      <x:c r="C1603" s="38" t="str">
        <x:f>"900 000 000 000 458"</x:f>
        <x:v>900 000 000 000 458</x:v>
      </x:c>
      <x:c r="D1603" s="21" t="str">
        <x:v>SYN-0458-INV-03</x:v>
      </x:c>
      <x:c r="E1603" s="39" t="n">
        <x:v>46267</x:v>
      </x:c>
      <x:c r="F1603" s="42" t="n">
        <x:v>72285.08</x:v>
      </x:c>
      <x:c r="G1603" s="42" t="n">
        <x:v>3614.25</x:v>
      </x:c>
      <x:c r="H1603" s="42" t="n">
        <x:v>266511.94</x:v>
      </x:c>
      <x:c r="I1603" s="39" t="n">
        <x:v>45909</x:v>
      </x:c>
    </x:row>
    <x:row r="1604">
      <x:c r="A1604" s="21" t="str">
        <x:v>SYN-0458</x:v>
      </x:c>
      <x:c r="B1604" s="21" t="str">
        <x:v>Synthetic Supplier 0458 LLC</x:v>
      </x:c>
      <x:c r="C1604" s="38" t="str">
        <x:f>"900 000 000 000 458"</x:f>
        <x:v>900 000 000 000 458</x:v>
      </x:c>
      <x:c r="D1604" s="21" t="str">
        <x:v>SYN-0458-INV-04</x:v>
      </x:c>
      <x:c r="E1604" s="39" t="n">
        <x:v>45954</x:v>
      </x:c>
      <x:c r="F1604" s="42" t="n">
        <x:v>63642.19</x:v>
      </x:c>
      <x:c r="G1604" s="42" t="n">
        <x:v>3182.11</x:v>
      </x:c>
      <x:c r="H1604" s="42" t="n">
        <x:v>266511.94</x:v>
      </x:c>
      <x:c r="I1604" s="39" t="n">
        <x:v>45909</x:v>
      </x:c>
    </x:row>
    <x:row r="1605">
      <x:c r="A1605" s="21" t="str">
        <x:v>SYN-0459</x:v>
      </x:c>
      <x:c r="B1605" s="21" t="str">
        <x:v>Synthetic Supplier 0459 LLC</x:v>
      </x:c>
      <x:c r="C1605" s="38" t="str">
        <x:f>"900 000 000 000 459"</x:f>
        <x:v>900 000 000 000 459</x:v>
      </x:c>
      <x:c r="D1605" s="21" t="str">
        <x:v>SYN-0459-INV-01</x:v>
      </x:c>
      <x:c r="E1605" s="39" t="n">
        <x:v>46186</x:v>
      </x:c>
      <x:c r="F1605" s="42" t="n">
        <x:v>40662.63</x:v>
      </x:c>
      <x:c r="G1605" s="42" t="n">
        <x:v>2033.13</x:v>
      </x:c>
      <x:c r="H1605" s="42" t="n">
        <x:v>169615.54</x:v>
      </x:c>
      <x:c r="I1605" s="39" t="n">
        <x:v>46032</x:v>
      </x:c>
    </x:row>
    <x:row r="1606">
      <x:c r="A1606" s="21" t="str">
        <x:v>SYN-0459</x:v>
      </x:c>
      <x:c r="B1606" s="21" t="str">
        <x:v>Synthetic Supplier 0459 LLC</x:v>
      </x:c>
      <x:c r="C1606" s="38" t="str">
        <x:f>"900 000 000 000 459"</x:f>
        <x:v>900 000 000 000 459</x:v>
      </x:c>
      <x:c r="D1606" s="21" t="str">
        <x:v>SYN-0459-INV-02</x:v>
      </x:c>
      <x:c r="E1606" s="39" t="n">
        <x:v>46233</x:v>
      </x:c>
      <x:c r="F1606" s="42" t="n">
        <x:v>35863.69</x:v>
      </x:c>
      <x:c r="G1606" s="42" t="n">
        <x:v>1793.18</x:v>
      </x:c>
      <x:c r="H1606" s="42" t="n">
        <x:v>169615.54</x:v>
      </x:c>
      <x:c r="I1606" s="39" t="n">
        <x:v>46032</x:v>
      </x:c>
    </x:row>
    <x:row r="1607">
      <x:c r="A1607" s="21" t="str">
        <x:v>SYN-0459</x:v>
      </x:c>
      <x:c r="B1607" s="21" t="str">
        <x:v>Synthetic Supplier 0459 LLC</x:v>
      </x:c>
      <x:c r="C1607" s="38" t="str">
        <x:f>"900 000 000 000 459"</x:f>
        <x:v>900 000 000 000 459</x:v>
      </x:c>
      <x:c r="D1607" s="21" t="str">
        <x:v>SYN-0459-INV-03</x:v>
      </x:c>
      <x:c r="E1607" s="39" t="n">
        <x:v>46280</x:v>
      </x:c>
      <x:c r="F1607" s="42" t="n">
        <x:v>28701.96</x:v>
      </x:c>
      <x:c r="G1607" s="42" t="n">
        <x:v>1435.1</x:v>
      </x:c>
      <x:c r="H1607" s="42" t="n">
        <x:v>169615.54</x:v>
      </x:c>
      <x:c r="I1607" s="39" t="n">
        <x:v>46032</x:v>
      </x:c>
    </x:row>
    <x:row r="1608">
      <x:c r="A1608" s="21" t="str">
        <x:v>SYN-0459</x:v>
      </x:c>
      <x:c r="B1608" s="21" t="str">
        <x:v>Synthetic Supplier 0459 LLC</x:v>
      </x:c>
      <x:c r="C1608" s="38" t="str">
        <x:f>"900 000 000 000 459"</x:f>
        <x:v>900 000 000 000 459</x:v>
      </x:c>
      <x:c r="D1608" s="21" t="str">
        <x:v>SYN-0459-INV-04</x:v>
      </x:c>
      <x:c r="E1608" s="39" t="n">
        <x:v>45967</x:v>
      </x:c>
      <x:c r="F1608" s="42" t="n">
        <x:v>33065.17</x:v>
      </x:c>
      <x:c r="G1608" s="42" t="n">
        <x:v>1653.26</x:v>
      </x:c>
      <x:c r="H1608" s="42" t="n">
        <x:v>169615.54</x:v>
      </x:c>
      <x:c r="I1608" s="39" t="n">
        <x:v>46032</x:v>
      </x:c>
    </x:row>
    <x:row r="1609">
      <x:c r="A1609" s="21" t="str">
        <x:v>SYN-0459</x:v>
      </x:c>
      <x:c r="B1609" s="21" t="str">
        <x:v>Synthetic Supplier 0459 LLC</x:v>
      </x:c>
      <x:c r="C1609" s="38" t="str">
        <x:f>"900 000 000 000 459"</x:f>
        <x:v>900 000 000 000 459</x:v>
      </x:c>
      <x:c r="D1609" s="21" t="str">
        <x:v>SYN-0459-INV-05</x:v>
      </x:c>
      <x:c r="E1609" s="39" t="n">
        <x:v>46014</x:v>
      </x:c>
      <x:c r="F1609" s="42" t="n">
        <x:v>50168.27</x:v>
      </x:c>
      <x:c r="G1609" s="42" t="n">
        <x:v>2508.41</x:v>
      </x:c>
      <x:c r="H1609" s="42" t="n">
        <x:v>169615.54</x:v>
      </x:c>
      <x:c r="I1609" s="39" t="n">
        <x:v>46032</x:v>
      </x:c>
    </x:row>
    <x:row r="1610">
      <x:c r="A1610" s="21" t="str">
        <x:v>SYN-0460</x:v>
      </x:c>
      <x:c r="B1610" s="21" t="str">
        <x:v>Synthetic Supplier 0460 LLC</x:v>
      </x:c>
      <x:c r="C1610" s="38" t="str">
        <x:f>"900 000 000 000 460"</x:f>
        <x:v>900 000 000 000 460</x:v>
      </x:c>
      <x:c r="D1610" s="21" t="str">
        <x:v>SYN-0460-INV-01</x:v>
      </x:c>
      <x:c r="E1610" s="39" t="n">
        <x:v>46199</x:v>
      </x:c>
      <x:c r="F1610" s="42" t="n">
        <x:v>186316.58</x:v>
      </x:c>
      <x:c r="G1610" s="42" t="n">
        <x:v>9315.83</x:v>
      </x:c>
      <x:c r="H1610" s="42" t="n">
        <x:v>257221.74</x:v>
      </x:c>
      <x:c r="I1610" s="39"/>
    </x:row>
    <x:row r="1611">
      <x:c r="A1611" s="21" t="str">
        <x:v>SYN-0460</x:v>
      </x:c>
      <x:c r="B1611" s="21" t="str">
        <x:v>Synthetic Supplier 0460 LLC</x:v>
      </x:c>
      <x:c r="C1611" s="38" t="str">
        <x:f>"900 000 000 000 460"</x:f>
        <x:v>900 000 000 000 460</x:v>
      </x:c>
      <x:c r="D1611" s="21" t="str">
        <x:v>SYN-0460-INV-02</x:v>
      </x:c>
      <x:c r="E1611" s="39" t="n">
        <x:v>46246</x:v>
      </x:c>
      <x:c r="F1611" s="42" t="n">
        <x:v>99485.35</x:v>
      </x:c>
      <x:c r="G1611" s="42" t="n">
        <x:v>4974.27</x:v>
      </x:c>
      <x:c r="H1611" s="42" t="n">
        <x:v>257221.74</x:v>
      </x:c>
      <x:c r="I1611" s="39"/>
    </x:row>
    <x:row r="1612">
      <x:c r="A1612" s="21" t="str">
        <x:v>SYN-0461</x:v>
      </x:c>
      <x:c r="B1612" s="21" t="str">
        <x:v>Synthetic Supplier 0461 LLC</x:v>
      </x:c>
      <x:c r="C1612" s="38" t="str">
        <x:f>"900 000 000 000 461"</x:f>
        <x:v>900 000 000 000 461</x:v>
      </x:c>
      <x:c r="D1612" s="21" t="str">
        <x:v>SYN-0461-INV-01</x:v>
      </x:c>
      <x:c r="E1612" s="39" t="n">
        <x:v>46212</x:v>
      </x:c>
      <x:c r="F1612" s="42" t="n">
        <x:v>92399.84</x:v>
      </x:c>
      <x:c r="G1612" s="42" t="n">
        <x:v>4619.99</x:v>
      </x:c>
      <x:c r="H1612" s="42" t="n">
        <x:v>263770.11</x:v>
      </x:c>
      <x:c r="I1612" s="39" t="n">
        <x:v>46093</x:v>
      </x:c>
    </x:row>
    <x:row r="1613">
      <x:c r="A1613" s="21" t="str">
        <x:v>SYN-0461</x:v>
      </x:c>
      <x:c r="B1613" s="21" t="str">
        <x:v>Synthetic Supplier 0461 LLC</x:v>
      </x:c>
      <x:c r="C1613" s="38" t="str">
        <x:f>"900 000 000 000 461"</x:f>
        <x:v>900 000 000 000 461</x:v>
      </x:c>
      <x:c r="D1613" s="21" t="str">
        <x:v>SYN-0461-INV-02</x:v>
      </x:c>
      <x:c r="E1613" s="39" t="n">
        <x:v>46259</x:v>
      </x:c>
      <x:c r="F1613" s="42" t="n">
        <x:v>101284.54</x:v>
      </x:c>
      <x:c r="G1613" s="42" t="n">
        <x:v>5064.23</x:v>
      </x:c>
      <x:c r="H1613" s="42" t="n">
        <x:v>263770.11</x:v>
      </x:c>
      <x:c r="I1613" s="39" t="n">
        <x:v>46093</x:v>
      </x:c>
    </x:row>
    <x:row r="1614">
      <x:c r="A1614" s="21" t="str">
        <x:v>SYN-0461</x:v>
      </x:c>
      <x:c r="B1614" s="21" t="str">
        <x:v>Synthetic Supplier 0461 LLC</x:v>
      </x:c>
      <x:c r="C1614" s="38" t="str">
        <x:f>"900 000 000 000 461"</x:f>
        <x:v>900 000 000 000 461</x:v>
      </x:c>
      <x:c r="D1614" s="21" t="str">
        <x:v>SYN-0461-INV-03</x:v>
      </x:c>
      <x:c r="E1614" s="39" t="n">
        <x:v>45946</x:v>
      </x:c>
      <x:c r="F1614" s="42" t="n">
        <x:v>99393.52</x:v>
      </x:c>
      <x:c r="G1614" s="42" t="n">
        <x:v>4969.68</x:v>
      </x:c>
      <x:c r="H1614" s="42" t="n">
        <x:v>263770.11</x:v>
      </x:c>
      <x:c r="I1614" s="39" t="n">
        <x:v>46093</x:v>
      </x:c>
    </x:row>
    <x:row r="1615">
      <x:c r="A1615" s="21" t="str">
        <x:v>SYN-0462</x:v>
      </x:c>
      <x:c r="B1615" s="21" t="str">
        <x:v>Synthetic Supplier 0462 LLC</x:v>
      </x:c>
      <x:c r="C1615" s="38" t="str">
        <x:f>"900 000 000 000 462"</x:f>
        <x:v>900 000 000 000 462</x:v>
      </x:c>
      <x:c r="D1615" s="21" t="str">
        <x:v>SYN-0462-INV-01</x:v>
      </x:c>
      <x:c r="E1615" s="39" t="n">
        <x:v>46225</x:v>
      </x:c>
      <x:c r="F1615" s="42" t="n">
        <x:v>42359.02</x:v>
      </x:c>
      <x:c r="G1615" s="42" t="n">
        <x:v>2117.95</x:v>
      </x:c>
      <x:c r="H1615" s="42" t="n">
        <x:v>272508.45</x:v>
      </x:c>
      <x:c r="I1615" s="39" t="n">
        <x:v>45760</x:v>
      </x:c>
    </x:row>
    <x:row r="1616">
      <x:c r="A1616" s="21" t="str">
        <x:v>SYN-0462</x:v>
      </x:c>
      <x:c r="B1616" s="21" t="str">
        <x:v>Synthetic Supplier 0462 LLC</x:v>
      </x:c>
      <x:c r="C1616" s="38" t="str">
        <x:f>"900 000 000 000 462"</x:f>
        <x:v>900 000 000 000 462</x:v>
      </x:c>
      <x:c r="D1616" s="21" t="str">
        <x:v>SYN-0462-INV-02</x:v>
      </x:c>
      <x:c r="E1616" s="39" t="n">
        <x:v>46272</x:v>
      </x:c>
      <x:c r="F1616" s="42" t="n">
        <x:v>68233.02</x:v>
      </x:c>
      <x:c r="G1616" s="42" t="n">
        <x:v>3411.65</x:v>
      </x:c>
      <x:c r="H1616" s="42" t="n">
        <x:v>272508.45</x:v>
      </x:c>
      <x:c r="I1616" s="39" t="n">
        <x:v>45760</x:v>
      </x:c>
    </x:row>
    <x:row r="1617">
      <x:c r="A1617" s="21" t="str">
        <x:v>SYN-0462</x:v>
      </x:c>
      <x:c r="B1617" s="21" t="str">
        <x:v>Synthetic Supplier 0462 LLC</x:v>
      </x:c>
      <x:c r="C1617" s="38" t="str">
        <x:f>"900 000 000 000 462"</x:f>
        <x:v>900 000 000 000 462</x:v>
      </x:c>
      <x:c r="D1617" s="21" t="str">
        <x:v>SYN-0462-INV-03</x:v>
      </x:c>
      <x:c r="E1617" s="39" t="n">
        <x:v>45959</x:v>
      </x:c>
      <x:c r="F1617" s="42" t="n">
        <x:v>75101.03</x:v>
      </x:c>
      <x:c r="G1617" s="42" t="n">
        <x:v>3755.05</x:v>
      </x:c>
      <x:c r="H1617" s="42" t="n">
        <x:v>272508.45</x:v>
      </x:c>
      <x:c r="I1617" s="39" t="n">
        <x:v>45760</x:v>
      </x:c>
    </x:row>
    <x:row r="1618">
      <x:c r="A1618" s="21" t="str">
        <x:v>SYN-0462</x:v>
      </x:c>
      <x:c r="B1618" s="21" t="str">
        <x:v>Synthetic Supplier 0462 LLC</x:v>
      </x:c>
      <x:c r="C1618" s="38" t="str">
        <x:f>"900 000 000 000 462"</x:f>
        <x:v>900 000 000 000 462</x:v>
      </x:c>
      <x:c r="D1618" s="21" t="str">
        <x:v>SYN-0462-INV-04</x:v>
      </x:c>
      <x:c r="E1618" s="39" t="n">
        <x:v>46006</x:v>
      </x:c>
      <x:c r="F1618" s="42" t="n">
        <x:v>51270.79</x:v>
      </x:c>
      <x:c r="G1618" s="42" t="n">
        <x:v>2563.54</x:v>
      </x:c>
      <x:c r="H1618" s="42" t="n">
        <x:v>272508.45</x:v>
      </x:c>
      <x:c r="I1618" s="39" t="n">
        <x:v>45760</x:v>
      </x:c>
    </x:row>
    <x:row r="1619">
      <x:c r="A1619" s="21" t="str">
        <x:v>SYN-0463</x:v>
      </x:c>
      <x:c r="B1619" s="21" t="str">
        <x:v>Synthetic Supplier 0463 LLC</x:v>
      </x:c>
      <x:c r="C1619" s="38" t="str">
        <x:f>"900 000 000 000 463"</x:f>
        <x:v>900 000 000 000 463</x:v>
      </x:c>
      <x:c r="D1619" s="21" t="str">
        <x:v>SYN-0463-INV-01</x:v>
      </x:c>
      <x:c r="E1619" s="39" t="n">
        <x:v>46238</x:v>
      </x:c>
      <x:c r="F1619" s="42" t="n">
        <x:v>23996.43</x:v>
      </x:c>
      <x:c r="G1619" s="42" t="n">
        <x:v>1199.82</x:v>
      </x:c>
      <x:c r="H1619" s="42" t="n">
        <x:v>128098.42</x:v>
      </x:c>
      <x:c r="I1619" s="39" t="n">
        <x:v>46156</x:v>
      </x:c>
    </x:row>
    <x:row r="1620">
      <x:c r="A1620" s="21" t="str">
        <x:v>SYN-0463</x:v>
      </x:c>
      <x:c r="B1620" s="21" t="str">
        <x:v>Synthetic Supplier 0463 LLC</x:v>
      </x:c>
      <x:c r="C1620" s="38" t="str">
        <x:f>"900 000 000 000 463"</x:f>
        <x:v>900 000 000 000 463</x:v>
      </x:c>
      <x:c r="D1620" s="21" t="str">
        <x:v>SYN-0463-INV-02</x:v>
      </x:c>
      <x:c r="E1620" s="39" t="n">
        <x:v>46285</x:v>
      </x:c>
      <x:c r="F1620" s="42" t="n">
        <x:v>23995.4</x:v>
      </x:c>
      <x:c r="G1620" s="42" t="n">
        <x:v>1199.77</x:v>
      </x:c>
      <x:c r="H1620" s="42" t="n">
        <x:v>128098.42</x:v>
      </x:c>
      <x:c r="I1620" s="39" t="n">
        <x:v>46156</x:v>
      </x:c>
    </x:row>
    <x:row r="1621">
      <x:c r="A1621" s="21" t="str">
        <x:v>SYN-0463</x:v>
      </x:c>
      <x:c r="B1621" s="21" t="str">
        <x:v>Synthetic Supplier 0463 LLC</x:v>
      </x:c>
      <x:c r="C1621" s="38" t="str">
        <x:f>"900 000 000 000 463"</x:f>
        <x:v>900 000 000 000 463</x:v>
      </x:c>
      <x:c r="D1621" s="21" t="str">
        <x:v>SYN-0463-INV-03</x:v>
      </x:c>
      <x:c r="E1621" s="39" t="n">
        <x:v>45972</x:v>
      </x:c>
      <x:c r="F1621" s="42" t="n">
        <x:v>30685.77</x:v>
      </x:c>
      <x:c r="G1621" s="42" t="n">
        <x:v>1534.29</x:v>
      </x:c>
      <x:c r="H1621" s="42" t="n">
        <x:v>128098.42</x:v>
      </x:c>
      <x:c r="I1621" s="39" t="n">
        <x:v>46156</x:v>
      </x:c>
    </x:row>
    <x:row r="1622">
      <x:c r="A1622" s="21" t="str">
        <x:v>SYN-0463</x:v>
      </x:c>
      <x:c r="B1622" s="21" t="str">
        <x:v>Synthetic Supplier 0463 LLC</x:v>
      </x:c>
      <x:c r="C1622" s="38" t="str">
        <x:f>"900 000 000 000 463"</x:f>
        <x:v>900 000 000 000 463</x:v>
      </x:c>
      <x:c r="D1622" s="21" t="str">
        <x:v>SYN-0463-INV-04</x:v>
      </x:c>
      <x:c r="E1622" s="39" t="n">
        <x:v>46019</x:v>
      </x:c>
      <x:c r="F1622" s="42" t="n">
        <x:v>34472.26</x:v>
      </x:c>
      <x:c r="G1622" s="42" t="n">
        <x:v>1723.61</x:v>
      </x:c>
      <x:c r="H1622" s="42" t="n">
        <x:v>128098.42</x:v>
      </x:c>
      <x:c r="I1622" s="39" t="n">
        <x:v>46156</x:v>
      </x:c>
    </x:row>
    <x:row r="1623">
      <x:c r="A1623" s="21" t="str">
        <x:v>SYN-0463</x:v>
      </x:c>
      <x:c r="B1623" s="21" t="str">
        <x:v>Synthetic Supplier 0463 LLC</x:v>
      </x:c>
      <x:c r="C1623" s="38" t="str">
        <x:f>"900 000 000 000 463"</x:f>
        <x:v>900 000 000 000 463</x:v>
      </x:c>
      <x:c r="D1623" s="21" t="str">
        <x:v>SYN-0463-INV-05</x:v>
      </x:c>
      <x:c r="E1623" s="39" t="n">
        <x:v>46066</x:v>
      </x:c>
      <x:c r="F1623" s="42" t="n">
        <x:v>29181.72</x:v>
      </x:c>
      <x:c r="G1623" s="42" t="n">
        <x:v>1459.09</x:v>
      </x:c>
      <x:c r="H1623" s="42" t="n">
        <x:v>128098.42</x:v>
      </x:c>
      <x:c r="I1623" s="39" t="n">
        <x:v>46156</x:v>
      </x:c>
    </x:row>
    <x:row r="1624">
      <x:c r="A1624" s="21" t="str">
        <x:v>SYN-0464</x:v>
      </x:c>
      <x:c r="B1624" s="21" t="str">
        <x:v>Synthetic Supplier 0464 LLC</x:v>
      </x:c>
      <x:c r="C1624" s="38" t="str">
        <x:f>"900 000 000 000 464"</x:f>
        <x:v>900 000 000 000 464</x:v>
      </x:c>
      <x:c r="D1624" s="21" t="str">
        <x:v>SYN-0464-INV-01</x:v>
      </x:c>
      <x:c r="E1624" s="39" t="n">
        <x:v>46251</x:v>
      </x:c>
      <x:c r="F1624" s="42" t="n">
        <x:v>75491.23</x:v>
      </x:c>
      <x:c r="G1624" s="42" t="n">
        <x:v>3774.56</x:v>
      </x:c>
      <x:c r="H1624" s="42" t="n">
        <x:v>127394.55</x:v>
      </x:c>
      <x:c r="I1624" s="39" t="n">
        <x:v>45823</x:v>
      </x:c>
    </x:row>
    <x:row r="1625">
      <x:c r="A1625" s="21" t="str">
        <x:v>SYN-0464</x:v>
      </x:c>
      <x:c r="B1625" s="21" t="str">
        <x:v>Synthetic Supplier 0464 LLC</x:v>
      </x:c>
      <x:c r="C1625" s="38" t="str">
        <x:f>"900 000 000 000 464"</x:f>
        <x:v>900 000 000 000 464</x:v>
      </x:c>
      <x:c r="D1625" s="21" t="str">
        <x:v>SYN-0464-INV-02</x:v>
      </x:c>
      <x:c r="E1625" s="39" t="n">
        <x:v>45938</x:v>
      </x:c>
      <x:c r="F1625" s="42" t="n">
        <x:v>66058.26</x:v>
      </x:c>
      <x:c r="G1625" s="42" t="n">
        <x:v>3302.91</x:v>
      </x:c>
      <x:c r="H1625" s="42" t="n">
        <x:v>127394.55</x:v>
      </x:c>
      <x:c r="I1625" s="39" t="n">
        <x:v>45823</x:v>
      </x:c>
    </x:row>
    <x:row r="1626">
      <x:c r="A1626" s="21" t="str">
        <x:v>SYN-0465</x:v>
      </x:c>
      <x:c r="B1626" s="21" t="str">
        <x:v>Synthetic Supplier 0465 LLC</x:v>
      </x:c>
      <x:c r="C1626" s="38" t="str">
        <x:f>"900 000 000 000 465"</x:f>
        <x:v>900 000 000 000 465</x:v>
      </x:c>
      <x:c r="D1626" s="21" t="str">
        <x:v>SYN-0465-INV-01</x:v>
      </x:c>
      <x:c r="E1626" s="39" t="n">
        <x:v>46264</x:v>
      </x:c>
      <x:c r="F1626" s="42" t="n">
        <x:v>99444.75</x:v>
      </x:c>
      <x:c r="G1626" s="42" t="n">
        <x:v>4972.24</x:v>
      </x:c>
      <x:c r="H1626" s="42" t="n">
        <x:v>221313.78</x:v>
      </x:c>
      <x:c r="I1626" s="39"/>
    </x:row>
    <x:row r="1627">
      <x:c r="A1627" s="21" t="str">
        <x:v>SYN-0465</x:v>
      </x:c>
      <x:c r="B1627" s="21" t="str">
        <x:v>Synthetic Supplier 0465 LLC</x:v>
      </x:c>
      <x:c r="C1627" s="38" t="str">
        <x:f>"900 000 000 000 465"</x:f>
        <x:v>900 000 000 000 465</x:v>
      </x:c>
      <x:c r="D1627" s="21" t="str">
        <x:v>SYN-0465-INV-02</x:v>
      </x:c>
      <x:c r="E1627" s="39" t="n">
        <x:v>45951</x:v>
      </x:c>
      <x:c r="F1627" s="42" t="n">
        <x:v>87133.16</x:v>
      </x:c>
      <x:c r="G1627" s="42" t="n">
        <x:v>4356.66</x:v>
      </x:c>
      <x:c r="H1627" s="42" t="n">
        <x:v>221313.78</x:v>
      </x:c>
      <x:c r="I1627" s="39"/>
    </x:row>
    <x:row r="1628">
      <x:c r="A1628" s="21" t="str">
        <x:v>SYN-0465</x:v>
      </x:c>
      <x:c r="B1628" s="21" t="str">
        <x:v>Synthetic Supplier 0465 LLC</x:v>
      </x:c>
      <x:c r="C1628" s="38" t="str">
        <x:f>"900 000 000 000 465"</x:f>
        <x:v>900 000 000 000 465</x:v>
      </x:c>
      <x:c r="D1628" s="21" t="str">
        <x:v>SYN-0465-INV-03</x:v>
      </x:c>
      <x:c r="E1628" s="39" t="n">
        <x:v>45998</x:v>
      </x:c>
      <x:c r="F1628" s="42" t="n">
        <x:v>59326.29</x:v>
      </x:c>
      <x:c r="G1628" s="42" t="n">
        <x:v>2966.31</x:v>
      </x:c>
      <x:c r="H1628" s="42" t="n">
        <x:v>221313.78</x:v>
      </x:c>
      <x:c r="I1628" s="39"/>
    </x:row>
    <x:row r="1629">
      <x:c r="A1629" s="21" t="str">
        <x:v>SYN-0466</x:v>
      </x:c>
      <x:c r="B1629" s="21" t="str">
        <x:v>Synthetic Supplier 0466 LLC</x:v>
      </x:c>
      <x:c r="C1629" s="38" t="str">
        <x:f>"900 000 000 000 466"</x:f>
        <x:v>900 000 000 000 466</x:v>
      </x:c>
      <x:c r="D1629" s="21" t="str">
        <x:v>SYN-0466-INV-01</x:v>
      </x:c>
      <x:c r="E1629" s="39" t="n">
        <x:v>46277</x:v>
      </x:c>
      <x:c r="F1629" s="42" t="n">
        <x:v>54121.13</x:v>
      </x:c>
      <x:c r="G1629" s="42" t="n">
        <x:v>2706.06</x:v>
      </x:c>
      <x:c r="H1629" s="42" t="n">
        <x:v>246881.98</x:v>
      </x:c>
      <x:c r="I1629" s="39" t="n">
        <x:v>45886</x:v>
      </x:c>
    </x:row>
    <x:row r="1630">
      <x:c r="A1630" s="21" t="str">
        <x:v>SYN-0466</x:v>
      </x:c>
      <x:c r="B1630" s="21" t="str">
        <x:v>Synthetic Supplier 0466 LLC</x:v>
      </x:c>
      <x:c r="C1630" s="38" t="str">
        <x:f>"900 000 000 000 466"</x:f>
        <x:v>900 000 000 000 466</x:v>
      </x:c>
      <x:c r="D1630" s="21" t="str">
        <x:v>SYN-0466-INV-02</x:v>
      </x:c>
      <x:c r="E1630" s="39" t="n">
        <x:v>45964</x:v>
      </x:c>
      <x:c r="F1630" s="42" t="n">
        <x:v>71250.51</x:v>
      </x:c>
      <x:c r="G1630" s="42" t="n">
        <x:v>3562.53</x:v>
      </x:c>
      <x:c r="H1630" s="42" t="n">
        <x:v>246881.98</x:v>
      </x:c>
      <x:c r="I1630" s="39" t="n">
        <x:v>45886</x:v>
      </x:c>
    </x:row>
    <x:row r="1631">
      <x:c r="A1631" s="21" t="str">
        <x:v>SYN-0466</x:v>
      </x:c>
      <x:c r="B1631" s="21" t="str">
        <x:v>Synthetic Supplier 0466 LLC</x:v>
      </x:c>
      <x:c r="C1631" s="38" t="str">
        <x:f>"900 000 000 000 466"</x:f>
        <x:v>900 000 000 000 466</x:v>
      </x:c>
      <x:c r="D1631" s="21" t="str">
        <x:v>SYN-0466-INV-03</x:v>
      </x:c>
      <x:c r="E1631" s="39" t="n">
        <x:v>46011</x:v>
      </x:c>
      <x:c r="F1631" s="42" t="n">
        <x:v>73664.53</x:v>
      </x:c>
      <x:c r="G1631" s="42" t="n">
        <x:v>3683.23</x:v>
      </x:c>
      <x:c r="H1631" s="42" t="n">
        <x:v>246881.98</x:v>
      </x:c>
      <x:c r="I1631" s="39" t="n">
        <x:v>45886</x:v>
      </x:c>
    </x:row>
    <x:row r="1632">
      <x:c r="A1632" s="21" t="str">
        <x:v>SYN-0466</x:v>
      </x:c>
      <x:c r="B1632" s="21" t="str">
        <x:v>Synthetic Supplier 0466 LLC</x:v>
      </x:c>
      <x:c r="C1632" s="38" t="str">
        <x:f>"900 000 000 000 466"</x:f>
        <x:v>900 000 000 000 466</x:v>
      </x:c>
      <x:c r="D1632" s="21" t="str">
        <x:v>SYN-0466-INV-04</x:v>
      </x:c>
      <x:c r="E1632" s="39" t="n">
        <x:v>46058</x:v>
      </x:c>
      <x:c r="F1632" s="42" t="n">
        <x:v>75277.15</x:v>
      </x:c>
      <x:c r="G1632" s="42" t="n">
        <x:v>3763.86</x:v>
      </x:c>
      <x:c r="H1632" s="42" t="n">
        <x:v>246881.98</x:v>
      </x:c>
      <x:c r="I1632" s="39" t="n">
        <x:v>45886</x:v>
      </x:c>
    </x:row>
    <x:row r="1633">
      <x:c r="A1633" s="21" t="str">
        <x:v>SYN-0467</x:v>
      </x:c>
      <x:c r="B1633" s="21" t="str">
        <x:v>Synthetic Supplier 0467 LLC</x:v>
      </x:c>
      <x:c r="C1633" s="38" t="str">
        <x:f>"900 000 000 000 467"</x:f>
        <x:v>900 000 000 000 467</x:v>
      </x:c>
      <x:c r="D1633" s="21" t="str">
        <x:v>SYN-0467-INV-01</x:v>
      </x:c>
      <x:c r="E1633" s="39" t="n">
        <x:v>46290</x:v>
      </x:c>
      <x:c r="F1633" s="42" t="n">
        <x:v>57255.71</x:v>
      </x:c>
      <x:c r="G1633" s="42" t="n">
        <x:v>2862.79</x:v>
      </x:c>
      <x:c r="H1633" s="42" t="n">
        <x:v>250071.5</x:v>
      </x:c>
      <x:c r="I1633" s="39" t="n">
        <x:v>46283</x:v>
      </x:c>
    </x:row>
    <x:row r="1634">
      <x:c r="A1634" s="21" t="str">
        <x:v>SYN-0467</x:v>
      </x:c>
      <x:c r="B1634" s="21" t="str">
        <x:v>Synthetic Supplier 0467 LLC</x:v>
      </x:c>
      <x:c r="C1634" s="38" t="str">
        <x:f>"900 000 000 000 467"</x:f>
        <x:v>900 000 000 000 467</x:v>
      </x:c>
      <x:c r="D1634" s="21" t="str">
        <x:v>SYN-0467-INV-02</x:v>
      </x:c>
      <x:c r="E1634" s="39" t="n">
        <x:v>45977</x:v>
      </x:c>
      <x:c r="F1634" s="42" t="n">
        <x:v>37965.26</x:v>
      </x:c>
      <x:c r="G1634" s="42" t="n">
        <x:v>1898.26</x:v>
      </x:c>
      <x:c r="H1634" s="42" t="n">
        <x:v>250071.5</x:v>
      </x:c>
      <x:c r="I1634" s="39" t="n">
        <x:v>46283</x:v>
      </x:c>
    </x:row>
    <x:row r="1635">
      <x:c r="A1635" s="21" t="str">
        <x:v>SYN-0467</x:v>
      </x:c>
      <x:c r="B1635" s="21" t="str">
        <x:v>Synthetic Supplier 0467 LLC</x:v>
      </x:c>
      <x:c r="C1635" s="38" t="str">
        <x:f>"900 000 000 000 467"</x:f>
        <x:v>900 000 000 000 467</x:v>
      </x:c>
      <x:c r="D1635" s="21" t="str">
        <x:v>SYN-0467-INV-03</x:v>
      </x:c>
      <x:c r="E1635" s="39" t="n">
        <x:v>46024</x:v>
      </x:c>
      <x:c r="F1635" s="42" t="n">
        <x:v>62713.14</x:v>
      </x:c>
      <x:c r="G1635" s="42" t="n">
        <x:v>3135.66</x:v>
      </x:c>
      <x:c r="H1635" s="42" t="n">
        <x:v>250071.5</x:v>
      </x:c>
      <x:c r="I1635" s="39" t="n">
        <x:v>46283</x:v>
      </x:c>
    </x:row>
    <x:row r="1636">
      <x:c r="A1636" s="21" t="str">
        <x:v>SYN-0467</x:v>
      </x:c>
      <x:c r="B1636" s="21" t="str">
        <x:v>Synthetic Supplier 0467 LLC</x:v>
      </x:c>
      <x:c r="C1636" s="38" t="str">
        <x:f>"900 000 000 000 467"</x:f>
        <x:v>900 000 000 000 467</x:v>
      </x:c>
      <x:c r="D1636" s="21" t="str">
        <x:v>SYN-0467-INV-04</x:v>
      </x:c>
      <x:c r="E1636" s="39" t="n">
        <x:v>46071</x:v>
      </x:c>
      <x:c r="F1636" s="42" t="n">
        <x:v>49623.27</x:v>
      </x:c>
      <x:c r="G1636" s="42" t="n">
        <x:v>2481.16</x:v>
      </x:c>
      <x:c r="H1636" s="42" t="n">
        <x:v>250071.5</x:v>
      </x:c>
      <x:c r="I1636" s="39" t="n">
        <x:v>46283</x:v>
      </x:c>
    </x:row>
    <x:row r="1637">
      <x:c r="A1637" s="21" t="str">
        <x:v>SYN-0467</x:v>
      </x:c>
      <x:c r="B1637" s="21" t="str">
        <x:v>Synthetic Supplier 0467 LLC</x:v>
      </x:c>
      <x:c r="C1637" s="38" t="str">
        <x:f>"900 000 000 000 467"</x:f>
        <x:v>900 000 000 000 467</x:v>
      </x:c>
      <x:c r="D1637" s="21" t="str">
        <x:v>SYN-0467-INV-05</x:v>
      </x:c>
      <x:c r="E1637" s="39" t="n">
        <x:v>46118</x:v>
      </x:c>
      <x:c r="F1637" s="42" t="n">
        <x:v>70299.84</x:v>
      </x:c>
      <x:c r="G1637" s="42" t="n">
        <x:v>3514.99</x:v>
      </x:c>
      <x:c r="H1637" s="42" t="n">
        <x:v>250071.5</x:v>
      </x:c>
      <x:c r="I1637" s="39" t="n">
        <x:v>46283</x:v>
      </x:c>
    </x:row>
    <x:row r="1638">
      <x:c r="A1638" s="21" t="str">
        <x:v>SYN-0468</x:v>
      </x:c>
      <x:c r="B1638" s="21" t="str">
        <x:v>Synthetic Supplier 0468 LLC</x:v>
      </x:c>
      <x:c r="C1638" s="38" t="str">
        <x:f>"900 000 000 000 468"</x:f>
        <x:v>900 000 000 000 468</x:v>
      </x:c>
      <x:c r="D1638" s="21" t="str">
        <x:v>SYN-0468-INV-01</x:v>
      </x:c>
      <x:c r="E1638" s="39" t="n">
        <x:v>45943</x:v>
      </x:c>
      <x:c r="F1638" s="42" t="n">
        <x:v>44666.4</x:v>
      </x:c>
      <x:c r="G1638" s="42" t="n">
        <x:v>2233.32</x:v>
      </x:c>
      <x:c r="H1638" s="42" t="n">
        <x:v>115079.1</x:v>
      </x:c>
      <x:c r="I1638" s="39" t="n">
        <x:v>45676</x:v>
      </x:c>
    </x:row>
    <x:row r="1639">
      <x:c r="A1639" s="21" t="str">
        <x:v>SYN-0468</x:v>
      </x:c>
      <x:c r="B1639" s="21" t="str">
        <x:v>Synthetic Supplier 0468 LLC</x:v>
      </x:c>
      <x:c r="C1639" s="38" t="str">
        <x:f>"900 000 000 000 468"</x:f>
        <x:v>900 000 000 000 468</x:v>
      </x:c>
      <x:c r="D1639" s="21" t="str">
        <x:v>SYN-0468-INV-02</x:v>
      </x:c>
      <x:c r="E1639" s="39" t="n">
        <x:v>45990</x:v>
      </x:c>
      <x:c r="F1639" s="42" t="n">
        <x:v>83199.28</x:v>
      </x:c>
      <x:c r="G1639" s="42" t="n">
        <x:v>4159.96</x:v>
      </x:c>
      <x:c r="H1639" s="42" t="n">
        <x:v>115079.1</x:v>
      </x:c>
      <x:c r="I1639" s="39" t="n">
        <x:v>45676</x:v>
      </x:c>
    </x:row>
    <x:row r="1640">
      <x:c r="A1640" s="21" t="str">
        <x:v>SYN-0469</x:v>
      </x:c>
      <x:c r="B1640" s="21" t="str">
        <x:v>Synthetic Supplier 0469 LLC</x:v>
      </x:c>
      <x:c r="C1640" s="38" t="str">
        <x:f>"900 000 000 000 469"</x:f>
        <x:v>900 000 000 000 469</x:v>
      </x:c>
      <x:c r="D1640" s="21" t="str">
        <x:v>SYN-0469-INV-01</x:v>
      </x:c>
      <x:c r="E1640" s="39" t="n">
        <x:v>45956</x:v>
      </x:c>
      <x:c r="F1640" s="42" t="n">
        <x:v>88171.23</x:v>
      </x:c>
      <x:c r="G1640" s="42" t="n">
        <x:v>4408.56</x:v>
      </x:c>
      <x:c r="H1640" s="42" t="n">
        <x:v>355142.38</x:v>
      </x:c>
      <x:c r="I1640" s="39" t="n">
        <x:v>46073</x:v>
      </x:c>
    </x:row>
    <x:row r="1641">
      <x:c r="A1641" s="21" t="str">
        <x:v>SYN-0469</x:v>
      </x:c>
      <x:c r="B1641" s="21" t="str">
        <x:v>Synthetic Supplier 0469 LLC</x:v>
      </x:c>
      <x:c r="C1641" s="38" t="str">
        <x:f>"900 000 000 000 469"</x:f>
        <x:v>900 000 000 000 469</x:v>
      </x:c>
      <x:c r="D1641" s="21" t="str">
        <x:v>SYN-0469-INV-02</x:v>
      </x:c>
      <x:c r="E1641" s="39" t="n">
        <x:v>46003</x:v>
      </x:c>
      <x:c r="F1641" s="42" t="n">
        <x:v>96481.25</x:v>
      </x:c>
      <x:c r="G1641" s="42" t="n">
        <x:v>4824.06</x:v>
      </x:c>
      <x:c r="H1641" s="42" t="n">
        <x:v>355142.38</x:v>
      </x:c>
      <x:c r="I1641" s="39" t="n">
        <x:v>46073</x:v>
      </x:c>
    </x:row>
    <x:row r="1642">
      <x:c r="A1642" s="21" t="str">
        <x:v>SYN-0469</x:v>
      </x:c>
      <x:c r="B1642" s="21" t="str">
        <x:v>Synthetic Supplier 0469 LLC</x:v>
      </x:c>
      <x:c r="C1642" s="38" t="str">
        <x:f>"900 000 000 000 469"</x:f>
        <x:v>900 000 000 000 469</x:v>
      </x:c>
      <x:c r="D1642" s="21" t="str">
        <x:v>SYN-0469-INV-03</x:v>
      </x:c>
      <x:c r="E1642" s="39" t="n">
        <x:v>46050</x:v>
      </x:c>
      <x:c r="F1642" s="42" t="n">
        <x:v>124166.97</x:v>
      </x:c>
      <x:c r="G1642" s="42" t="n">
        <x:v>6208.35</x:v>
      </x:c>
      <x:c r="H1642" s="42" t="n">
        <x:v>355142.38</x:v>
      </x:c>
      <x:c r="I1642" s="39" t="n">
        <x:v>46073</x:v>
      </x:c>
    </x:row>
    <x:row r="1643">
      <x:c r="A1643" s="21" t="str">
        <x:v>SYN-0470</x:v>
      </x:c>
      <x:c r="B1643" s="21" t="str">
        <x:v>Synthetic Supplier 0470 LLC</x:v>
      </x:c>
      <x:c r="C1643" s="38" t="str">
        <x:f>"900 000 000 000 470"</x:f>
        <x:v>900 000 000 000 470</x:v>
      </x:c>
      <x:c r="D1643" s="21" t="str">
        <x:v>SYN-0470-INV-01</x:v>
      </x:c>
      <x:c r="E1643" s="39" t="n">
        <x:v>45969</x:v>
      </x:c>
      <x:c r="F1643" s="42" t="n">
        <x:v>50309.85</x:v>
      </x:c>
      <x:c r="G1643" s="42" t="n">
        <x:v>2515.49</x:v>
      </x:c>
      <x:c r="H1643" s="42" t="n">
        <x:v>162618.39</x:v>
      </x:c>
      <x:c r="I1643" s="39"/>
    </x:row>
    <x:row r="1644">
      <x:c r="A1644" s="21" t="str">
        <x:v>SYN-0470</x:v>
      </x:c>
      <x:c r="B1644" s="21" t="str">
        <x:v>Synthetic Supplier 0470 LLC</x:v>
      </x:c>
      <x:c r="C1644" s="38" t="str">
        <x:f>"900 000 000 000 470"</x:f>
        <x:v>900 000 000 000 470</x:v>
      </x:c>
      <x:c r="D1644" s="21" t="str">
        <x:v>SYN-0470-INV-02</x:v>
      </x:c>
      <x:c r="E1644" s="39" t="n">
        <x:v>46016</x:v>
      </x:c>
      <x:c r="F1644" s="42" t="n">
        <x:v>36977.33</x:v>
      </x:c>
      <x:c r="G1644" s="42" t="n">
        <x:v>1848.87</x:v>
      </x:c>
      <x:c r="H1644" s="42" t="n">
        <x:v>162618.39</x:v>
      </x:c>
      <x:c r="I1644" s="39"/>
    </x:row>
    <x:row r="1645">
      <x:c r="A1645" s="21" t="str">
        <x:v>SYN-0470</x:v>
      </x:c>
      <x:c r="B1645" s="21" t="str">
        <x:v>Synthetic Supplier 0470 LLC</x:v>
      </x:c>
      <x:c r="C1645" s="38" t="str">
        <x:f>"900 000 000 000 470"</x:f>
        <x:v>900 000 000 000 470</x:v>
      </x:c>
      <x:c r="D1645" s="21" t="str">
        <x:v>SYN-0470-INV-03</x:v>
      </x:c>
      <x:c r="E1645" s="39" t="n">
        <x:v>46063</x:v>
      </x:c>
      <x:c r="F1645" s="42" t="n">
        <x:v>44347.42</x:v>
      </x:c>
      <x:c r="G1645" s="42" t="n">
        <x:v>2217.37</x:v>
      </x:c>
      <x:c r="H1645" s="42" t="n">
        <x:v>162618.39</x:v>
      </x:c>
      <x:c r="I1645" s="39"/>
    </x:row>
    <x:row r="1646">
      <x:c r="A1646" s="21" t="str">
        <x:v>SYN-0470</x:v>
      </x:c>
      <x:c r="B1646" s="21" t="str">
        <x:v>Synthetic Supplier 0470 LLC</x:v>
      </x:c>
      <x:c r="C1646" s="38" t="str">
        <x:f>"900 000 000 000 470"</x:f>
        <x:v>900 000 000 000 470</x:v>
      </x:c>
      <x:c r="D1646" s="21" t="str">
        <x:v>SYN-0470-INV-04</x:v>
      </x:c>
      <x:c r="E1646" s="39" t="n">
        <x:v>46110</x:v>
      </x:c>
      <x:c r="F1646" s="42" t="n">
        <x:v>49052.5</x:v>
      </x:c>
      <x:c r="G1646" s="42" t="n">
        <x:v>2452.62</x:v>
      </x:c>
      <x:c r="H1646" s="42" t="n">
        <x:v>162618.39</x:v>
      </x:c>
      <x:c r="I1646" s="39"/>
    </x:row>
    <x:row r="1647">
      <x:c r="A1647" s="21" t="str">
        <x:v>SYN-0471</x:v>
      </x:c>
      <x:c r="B1647" s="21" t="str">
        <x:v>Synthetic Supplier 0471 LLC</x:v>
      </x:c>
      <x:c r="C1647" s="38" t="str">
        <x:f>"900 000 000 000 471"</x:f>
        <x:v>900 000 000 000 471</x:v>
      </x:c>
      <x:c r="D1647" s="21" t="str">
        <x:v>SYN-0471-INV-01</x:v>
      </x:c>
      <x:c r="E1647" s="39" t="n">
        <x:v>45982</x:v>
      </x:c>
      <x:c r="F1647" s="42" t="n">
        <x:v>41892.87</x:v>
      </x:c>
      <x:c r="G1647" s="42" t="n">
        <x:v>2094.64</x:v>
      </x:c>
      <x:c r="H1647" s="42" t="n">
        <x:v>233788.86</x:v>
      </x:c>
      <x:c r="I1647" s="39" t="n">
        <x:v>46134</x:v>
      </x:c>
    </x:row>
    <x:row r="1648">
      <x:c r="A1648" s="21" t="str">
        <x:v>SYN-0471</x:v>
      </x:c>
      <x:c r="B1648" s="21" t="str">
        <x:v>Synthetic Supplier 0471 LLC</x:v>
      </x:c>
      <x:c r="C1648" s="38" t="str">
        <x:f>"900 000 000 000 471"</x:f>
        <x:v>900 000 000 000 471</x:v>
      </x:c>
      <x:c r="D1648" s="21" t="str">
        <x:v>SYN-0471-INV-02</x:v>
      </x:c>
      <x:c r="E1648" s="39" t="n">
        <x:v>46029</x:v>
      </x:c>
      <x:c r="F1648" s="42" t="n">
        <x:v>35440.31</x:v>
      </x:c>
      <x:c r="G1648" s="42" t="n">
        <x:v>1772.02</x:v>
      </x:c>
      <x:c r="H1648" s="42" t="n">
        <x:v>233788.86</x:v>
      </x:c>
      <x:c r="I1648" s="39" t="n">
        <x:v>46134</x:v>
      </x:c>
    </x:row>
    <x:row r="1649">
      <x:c r="A1649" s="21" t="str">
        <x:v>SYN-0471</x:v>
      </x:c>
      <x:c r="B1649" s="21" t="str">
        <x:v>Synthetic Supplier 0471 LLC</x:v>
      </x:c>
      <x:c r="C1649" s="38" t="str">
        <x:f>"900 000 000 000 471"</x:f>
        <x:v>900 000 000 000 471</x:v>
      </x:c>
      <x:c r="D1649" s="21" t="str">
        <x:v>SYN-0471-INV-03</x:v>
      </x:c>
      <x:c r="E1649" s="39" t="n">
        <x:v>46076</x:v>
      </x:c>
      <x:c r="F1649" s="42" t="n">
        <x:v>68503.5</x:v>
      </x:c>
      <x:c r="G1649" s="42" t="n">
        <x:v>3425.17</x:v>
      </x:c>
      <x:c r="H1649" s="42" t="n">
        <x:v>233788.86</x:v>
      </x:c>
      <x:c r="I1649" s="39" t="n">
        <x:v>46134</x:v>
      </x:c>
    </x:row>
    <x:row r="1650">
      <x:c r="A1650" s="21" t="str">
        <x:v>SYN-0471</x:v>
      </x:c>
      <x:c r="B1650" s="21" t="str">
        <x:v>Synthetic Supplier 0471 LLC</x:v>
      </x:c>
      <x:c r="C1650" s="38" t="str">
        <x:f>"900 000 000 000 471"</x:f>
        <x:v>900 000 000 000 471</x:v>
      </x:c>
      <x:c r="D1650" s="21" t="str">
        <x:v>SYN-0471-INV-04</x:v>
      </x:c>
      <x:c r="E1650" s="39" t="n">
        <x:v>46123</x:v>
      </x:c>
      <x:c r="F1650" s="42" t="n">
        <x:v>66026.25</x:v>
      </x:c>
      <x:c r="G1650" s="42" t="n">
        <x:v>3301.31</x:v>
      </x:c>
      <x:c r="H1650" s="42" t="n">
        <x:v>233788.86</x:v>
      </x:c>
      <x:c r="I1650" s="39" t="n">
        <x:v>46134</x:v>
      </x:c>
    </x:row>
    <x:row r="1651">
      <x:c r="A1651" s="21" t="str">
        <x:v>SYN-0471</x:v>
      </x:c>
      <x:c r="B1651" s="21" t="str">
        <x:v>Synthetic Supplier 0471 LLC</x:v>
      </x:c>
      <x:c r="C1651" s="38" t="str">
        <x:f>"900 000 000 000 471"</x:f>
        <x:v>900 000 000 000 471</x:v>
      </x:c>
      <x:c r="D1651" s="21" t="str">
        <x:v>SYN-0471-INV-05</x:v>
      </x:c>
      <x:c r="E1651" s="39" t="n">
        <x:v>46170</x:v>
      </x:c>
      <x:c r="F1651" s="42" t="n">
        <x:v>47902.47</x:v>
      </x:c>
      <x:c r="G1651" s="42" t="n">
        <x:v>2395.12</x:v>
      </x:c>
      <x:c r="H1651" s="42" t="n">
        <x:v>233788.86</x:v>
      </x:c>
      <x:c r="I1651" s="39" t="n">
        <x:v>46134</x:v>
      </x:c>
    </x:row>
    <x:row r="1652">
      <x:c r="A1652" s="21" t="str">
        <x:v>SYN-0472</x:v>
      </x:c>
      <x:c r="B1652" s="21" t="str">
        <x:v>Synthetic Supplier 0472 LLC</x:v>
      </x:c>
      <x:c r="C1652" s="38" t="str">
        <x:f>"900 000 000 000 472"</x:f>
        <x:v>900 000 000 000 472</x:v>
      </x:c>
      <x:c r="D1652" s="21" t="str">
        <x:v>SYN-0472-INV-01</x:v>
      </x:c>
      <x:c r="E1652" s="39" t="n">
        <x:v>45995</x:v>
      </x:c>
      <x:c r="F1652" s="42" t="n">
        <x:v>84826.7</x:v>
      </x:c>
      <x:c r="G1652" s="42" t="n">
        <x:v>4241.33</x:v>
      </x:c>
      <x:c r="H1652" s="42" t="n">
        <x:v>116825.82</x:v>
      </x:c>
      <x:c r="I1652" s="39" t="n">
        <x:v>45800</x:v>
      </x:c>
    </x:row>
    <x:row r="1653">
      <x:c r="A1653" s="21" t="str">
        <x:v>SYN-0472</x:v>
      </x:c>
      <x:c r="B1653" s="21" t="str">
        <x:v>Synthetic Supplier 0472 LLC</x:v>
      </x:c>
      <x:c r="C1653" s="38" t="str">
        <x:f>"900 000 000 000 472"</x:f>
        <x:v>900 000 000 000 472</x:v>
      </x:c>
      <x:c r="D1653" s="21" t="str">
        <x:v>SYN-0472-INV-02</x:v>
      </x:c>
      <x:c r="E1653" s="39" t="n">
        <x:v>46042</x:v>
      </x:c>
      <x:c r="F1653" s="42" t="n">
        <x:v>44979.78</x:v>
      </x:c>
      <x:c r="G1653" s="42" t="n">
        <x:v>2248.99</x:v>
      </x:c>
      <x:c r="H1653" s="42" t="n">
        <x:v>116825.82</x:v>
      </x:c>
      <x:c r="I1653" s="39" t="n">
        <x:v>45800</x:v>
      </x:c>
    </x:row>
    <x:row r="1654">
      <x:c r="A1654" s="21" t="str">
        <x:v>SYN-0473</x:v>
      </x:c>
      <x:c r="B1654" s="21" t="str">
        <x:v>Synthetic Supplier 0473 LLC</x:v>
      </x:c>
      <x:c r="C1654" s="38" t="str">
        <x:f>"900 000 000 000 473"</x:f>
        <x:v>900 000 000 000 473</x:v>
      </x:c>
      <x:c r="D1654" s="21" t="str">
        <x:v>SYN-0473-INV-01</x:v>
      </x:c>
      <x:c r="E1654" s="39" t="n">
        <x:v>46008</x:v>
      </x:c>
      <x:c r="F1654" s="42" t="n">
        <x:v>115792.02</x:v>
      </x:c>
      <x:c r="G1654" s="42" t="n">
        <x:v>5789.6</x:v>
      </x:c>
      <x:c r="H1654" s="42" t="n">
        <x:v>296509.22</x:v>
      </x:c>
      <x:c r="I1654" s="39" t="n">
        <x:v>46197</x:v>
      </x:c>
    </x:row>
    <x:row r="1655">
      <x:c r="A1655" s="21" t="str">
        <x:v>SYN-0473</x:v>
      </x:c>
      <x:c r="B1655" s="21" t="str">
        <x:v>Synthetic Supplier 0473 LLC</x:v>
      </x:c>
      <x:c r="C1655" s="38" t="str">
        <x:f>"900 000 000 000 473"</x:f>
        <x:v>900 000 000 000 473</x:v>
      </x:c>
      <x:c r="D1655" s="21" t="str">
        <x:v>SYN-0473-INV-02</x:v>
      </x:c>
      <x:c r="E1655" s="39" t="n">
        <x:v>46055</x:v>
      </x:c>
      <x:c r="F1655" s="42" t="n">
        <x:v>82860.39</x:v>
      </x:c>
      <x:c r="G1655" s="42" t="n">
        <x:v>4143.02</x:v>
      </x:c>
      <x:c r="H1655" s="42" t="n">
        <x:v>296509.22</x:v>
      </x:c>
      <x:c r="I1655" s="39" t="n">
        <x:v>46197</x:v>
      </x:c>
    </x:row>
    <x:row r="1656">
      <x:c r="A1656" s="21" t="str">
        <x:v>SYN-0473</x:v>
      </x:c>
      <x:c r="B1656" s="21" t="str">
        <x:v>Synthetic Supplier 0473 LLC</x:v>
      </x:c>
      <x:c r="C1656" s="38" t="str">
        <x:f>"900 000 000 000 473"</x:f>
        <x:v>900 000 000 000 473</x:v>
      </x:c>
      <x:c r="D1656" s="21" t="str">
        <x:v>SYN-0473-INV-03</x:v>
      </x:c>
      <x:c r="E1656" s="39" t="n">
        <x:v>46102</x:v>
      </x:c>
      <x:c r="F1656" s="42" t="n">
        <x:v>130802.28</x:v>
      </x:c>
      <x:c r="G1656" s="42" t="n">
        <x:v>6540.11</x:v>
      </x:c>
      <x:c r="H1656" s="42" t="n">
        <x:v>296509.22</x:v>
      </x:c>
      <x:c r="I1656" s="39" t="n">
        <x:v>46197</x:v>
      </x:c>
    </x:row>
    <x:row r="1657">
      <x:c r="A1657" s="21" t="str">
        <x:v>SYN-0474</x:v>
      </x:c>
      <x:c r="B1657" s="21" t="str">
        <x:v>Synthetic Supplier 0474 LLC</x:v>
      </x:c>
      <x:c r="C1657" s="38" t="str">
        <x:f>"900 000 000 000 474"</x:f>
        <x:v>900 000 000 000 474</x:v>
      </x:c>
      <x:c r="D1657" s="21" t="str">
        <x:v>SYN-0474-INV-01</x:v>
      </x:c>
      <x:c r="E1657" s="39" t="n">
        <x:v>46021</x:v>
      </x:c>
      <x:c r="F1657" s="42" t="n">
        <x:v>82806.62</x:v>
      </x:c>
      <x:c r="G1657" s="42" t="n">
        <x:v>4140.33</x:v>
      </x:c>
      <x:c r="H1657" s="42" t="n">
        <x:v>280744.87</x:v>
      </x:c>
      <x:c r="I1657" s="39" t="n">
        <x:v>45863</x:v>
      </x:c>
    </x:row>
    <x:row r="1658">
      <x:c r="A1658" s="21" t="str">
        <x:v>SYN-0474</x:v>
      </x:c>
      <x:c r="B1658" s="21" t="str">
        <x:v>Synthetic Supplier 0474 LLC</x:v>
      </x:c>
      <x:c r="C1658" s="38" t="str">
        <x:f>"900 000 000 000 474"</x:f>
        <x:v>900 000 000 000 474</x:v>
      </x:c>
      <x:c r="D1658" s="21" t="str">
        <x:v>SYN-0474-INV-02</x:v>
      </x:c>
      <x:c r="E1658" s="39" t="n">
        <x:v>46068</x:v>
      </x:c>
      <x:c r="F1658" s="42" t="n">
        <x:v>63859.7</x:v>
      </x:c>
      <x:c r="G1658" s="42" t="n">
        <x:v>3192.98</x:v>
      </x:c>
      <x:c r="H1658" s="42" t="n">
        <x:v>280744.87</x:v>
      </x:c>
      <x:c r="I1658" s="39" t="n">
        <x:v>45863</x:v>
      </x:c>
    </x:row>
    <x:row r="1659">
      <x:c r="A1659" s="21" t="str">
        <x:v>SYN-0474</x:v>
      </x:c>
      <x:c r="B1659" s="21" t="str">
        <x:v>Synthetic Supplier 0474 LLC</x:v>
      </x:c>
      <x:c r="C1659" s="38" t="str">
        <x:f>"900 000 000 000 474"</x:f>
        <x:v>900 000 000 000 474</x:v>
      </x:c>
      <x:c r="D1659" s="21" t="str">
        <x:v>SYN-0474-INV-03</x:v>
      </x:c>
      <x:c r="E1659" s="39" t="n">
        <x:v>46115</x:v>
      </x:c>
      <x:c r="F1659" s="42" t="n">
        <x:v>79187.36</x:v>
      </x:c>
      <x:c r="G1659" s="42" t="n">
        <x:v>3959.37</x:v>
      </x:c>
      <x:c r="H1659" s="42" t="n">
        <x:v>280744.87</x:v>
      </x:c>
      <x:c r="I1659" s="39" t="n">
        <x:v>45863</x:v>
      </x:c>
    </x:row>
    <x:row r="1660">
      <x:c r="A1660" s="21" t="str">
        <x:v>SYN-0474</x:v>
      </x:c>
      <x:c r="B1660" s="21" t="str">
        <x:v>Synthetic Supplier 0474 LLC</x:v>
      </x:c>
      <x:c r="C1660" s="38" t="str">
        <x:f>"900 000 000 000 474"</x:f>
        <x:v>900 000 000 000 474</x:v>
      </x:c>
      <x:c r="D1660" s="21" t="str">
        <x:v>SYN-0474-INV-04</x:v>
      </x:c>
      <x:c r="E1660" s="39" t="n">
        <x:v>46162</x:v>
      </x:c>
      <x:c r="F1660" s="42" t="n">
        <x:v>86085.06</x:v>
      </x:c>
      <x:c r="G1660" s="42" t="n">
        <x:v>4304.25</x:v>
      </x:c>
      <x:c r="H1660" s="42" t="n">
        <x:v>280744.87</x:v>
      </x:c>
      <x:c r="I1660" s="39" t="n">
        <x:v>45863</x:v>
      </x:c>
    </x:row>
    <x:row r="1661">
      <x:c r="A1661" s="21" t="str">
        <x:v>SYN-0475</x:v>
      </x:c>
      <x:c r="B1661" s="21" t="str">
        <x:v>Synthetic Supplier 0475 LLC</x:v>
      </x:c>
      <x:c r="C1661" s="38" t="str">
        <x:f>"900 000 000 000 475"</x:f>
        <x:v>900 000 000 000 475</x:v>
      </x:c>
      <x:c r="D1661" s="21" t="str">
        <x:v>SYN-0475-INV-01</x:v>
      </x:c>
      <x:c r="E1661" s="39" t="n">
        <x:v>46034</x:v>
      </x:c>
      <x:c r="F1661" s="42" t="n">
        <x:v>46991.2</x:v>
      </x:c>
      <x:c r="G1661" s="42" t="n">
        <x:v>2349.56</x:v>
      </x:c>
      <x:c r="H1661" s="42" t="n">
        <x:v>233492.27</x:v>
      </x:c>
      <x:c r="I1661" s="39"/>
    </x:row>
    <x:row r="1662">
      <x:c r="A1662" s="21" t="str">
        <x:v>SYN-0475</x:v>
      </x:c>
      <x:c r="B1662" s="21" t="str">
        <x:v>Synthetic Supplier 0475 LLC</x:v>
      </x:c>
      <x:c r="C1662" s="38" t="str">
        <x:f>"900 000 000 000 475"</x:f>
        <x:v>900 000 000 000 475</x:v>
      </x:c>
      <x:c r="D1662" s="21" t="str">
        <x:v>SYN-0475-INV-02</x:v>
      </x:c>
      <x:c r="E1662" s="39" t="n">
        <x:v>46081</x:v>
      </x:c>
      <x:c r="F1662" s="42" t="n">
        <x:v>41545.86</x:v>
      </x:c>
      <x:c r="G1662" s="42" t="n">
        <x:v>2077.29</x:v>
      </x:c>
      <x:c r="H1662" s="42" t="n">
        <x:v>233492.27</x:v>
      </x:c>
      <x:c r="I1662" s="39"/>
    </x:row>
    <x:row r="1663">
      <x:c r="A1663" s="21" t="str">
        <x:v>SYN-0475</x:v>
      </x:c>
      <x:c r="B1663" s="21" t="str">
        <x:v>Synthetic Supplier 0475 LLC</x:v>
      </x:c>
      <x:c r="C1663" s="38" t="str">
        <x:f>"900 000 000 000 475"</x:f>
        <x:v>900 000 000 000 475</x:v>
      </x:c>
      <x:c r="D1663" s="21" t="str">
        <x:v>SYN-0475-INV-03</x:v>
      </x:c>
      <x:c r="E1663" s="39" t="n">
        <x:v>46128</x:v>
      </x:c>
      <x:c r="F1663" s="42" t="n">
        <x:v>46103.75</x:v>
      </x:c>
      <x:c r="G1663" s="42" t="n">
        <x:v>2305.19</x:v>
      </x:c>
      <x:c r="H1663" s="42" t="n">
        <x:v>233492.27</x:v>
      </x:c>
      <x:c r="I1663" s="39"/>
    </x:row>
    <x:row r="1664">
      <x:c r="A1664" s="21" t="str">
        <x:v>SYN-0475</x:v>
      </x:c>
      <x:c r="B1664" s="21" t="str">
        <x:v>Synthetic Supplier 0475 LLC</x:v>
      </x:c>
      <x:c r="C1664" s="38" t="str">
        <x:f>"900 000 000 000 475"</x:f>
        <x:v>900 000 000 000 475</x:v>
      </x:c>
      <x:c r="D1664" s="21" t="str">
        <x:v>SYN-0475-INV-04</x:v>
      </x:c>
      <x:c r="E1664" s="39" t="n">
        <x:v>46175</x:v>
      </x:c>
      <x:c r="F1664" s="42" t="n">
        <x:v>53448.37</x:v>
      </x:c>
      <x:c r="G1664" s="42" t="n">
        <x:v>2672.42</x:v>
      </x:c>
      <x:c r="H1664" s="42" t="n">
        <x:v>233492.27</x:v>
      </x:c>
      <x:c r="I1664" s="39"/>
    </x:row>
    <x:row r="1665">
      <x:c r="A1665" s="21" t="str">
        <x:v>SYN-0475</x:v>
      </x:c>
      <x:c r="B1665" s="21" t="str">
        <x:v>Synthetic Supplier 0475 LLC</x:v>
      </x:c>
      <x:c r="C1665" s="38" t="str">
        <x:f>"900 000 000 000 475"</x:f>
        <x:v>900 000 000 000 475</x:v>
      </x:c>
      <x:c r="D1665" s="21" t="str">
        <x:v>SYN-0475-INV-05</x:v>
      </x:c>
      <x:c r="E1665" s="39" t="n">
        <x:v>46222</x:v>
      </x:c>
      <x:c r="F1665" s="42" t="n">
        <x:v>71346.66</x:v>
      </x:c>
      <x:c r="G1665" s="42" t="n">
        <x:v>3567.33</x:v>
      </x:c>
      <x:c r="H1665" s="42" t="n">
        <x:v>233492.27</x:v>
      </x:c>
      <x:c r="I1665" s="39"/>
    </x:row>
    <x:row r="1666">
      <x:c r="A1666" s="21" t="str">
        <x:v>SYN-0476</x:v>
      </x:c>
      <x:c r="B1666" s="21" t="str">
        <x:v>Synthetic Supplier 0476 LLC</x:v>
      </x:c>
      <x:c r="C1666" s="38" t="str">
        <x:f>"900 000 000 000 476"</x:f>
        <x:v>900 000 000 000 476</x:v>
      </x:c>
      <x:c r="D1666" s="21" t="str">
        <x:v>SYN-0476-INV-01</x:v>
      </x:c>
      <x:c r="E1666" s="39" t="n">
        <x:v>46047</x:v>
      </x:c>
      <x:c r="F1666" s="42" t="n">
        <x:v>99711.35</x:v>
      </x:c>
      <x:c r="G1666" s="42" t="n">
        <x:v>4985.57</x:v>
      </x:c>
      <x:c r="H1666" s="42" t="n">
        <x:v>164585.84</x:v>
      </x:c>
      <x:c r="I1666" s="39" t="n">
        <x:v>45902</x:v>
      </x:c>
    </x:row>
    <x:row r="1667">
      <x:c r="A1667" s="21" t="str">
        <x:v>SYN-0476</x:v>
      </x:c>
      <x:c r="B1667" s="21" t="str">
        <x:v>Synthetic Supplier 0476 LLC</x:v>
      </x:c>
      <x:c r="C1667" s="38" t="str">
        <x:f>"900 000 000 000 476"</x:f>
        <x:v>900 000 000 000 476</x:v>
      </x:c>
      <x:c r="D1667" s="21" t="str">
        <x:v>SYN-0476-INV-02</x:v>
      </x:c>
      <x:c r="E1667" s="39" t="n">
        <x:v>46094</x:v>
      </x:c>
      <x:c r="F1667" s="42" t="n">
        <x:v>43406.77</x:v>
      </x:c>
      <x:c r="G1667" s="42" t="n">
        <x:v>2170.34</x:v>
      </x:c>
      <x:c r="H1667" s="42" t="n">
        <x:v>164585.84</x:v>
      </x:c>
      <x:c r="I1667" s="39" t="n">
        <x:v>45902</x:v>
      </x:c>
    </x:row>
    <x:row r="1668">
      <x:c r="A1668" s="21" t="str">
        <x:v>SYN-0477</x:v>
      </x:c>
      <x:c r="B1668" s="21" t="str">
        <x:v>Synthetic Supplier 0477 LLC</x:v>
      </x:c>
      <x:c r="C1668" s="38" t="str">
        <x:f>"900 000 000 000 477"</x:f>
        <x:v>900 000 000 000 477</x:v>
      </x:c>
      <x:c r="D1668" s="21" t="str">
        <x:v>SYN-0477-INV-01</x:v>
      </x:c>
      <x:c r="E1668" s="39" t="n">
        <x:v>46060</x:v>
      </x:c>
      <x:c r="F1668" s="42" t="n">
        <x:v>139727.6</x:v>
      </x:c>
      <x:c r="G1668" s="42" t="n">
        <x:v>6986.38</x:v>
      </x:c>
      <x:c r="H1668" s="42" t="n">
        <x:v>249171.14</x:v>
      </x:c>
      <x:c r="I1668" s="39" t="n">
        <x:v>46025</x:v>
      </x:c>
    </x:row>
    <x:row r="1669">
      <x:c r="A1669" s="21" t="str">
        <x:v>SYN-0477</x:v>
      </x:c>
      <x:c r="B1669" s="21" t="str">
        <x:v>Synthetic Supplier 0477 LLC</x:v>
      </x:c>
      <x:c r="C1669" s="38" t="str">
        <x:f>"900 000 000 000 477"</x:f>
        <x:v>900 000 000 000 477</x:v>
      </x:c>
      <x:c r="D1669" s="21" t="str">
        <x:v>SYN-0477-INV-02</x:v>
      </x:c>
      <x:c r="E1669" s="39" t="n">
        <x:v>46107</x:v>
      </x:c>
      <x:c r="F1669" s="42" t="n">
        <x:v>59653.27</x:v>
      </x:c>
      <x:c r="G1669" s="42" t="n">
        <x:v>2982.66</x:v>
      </x:c>
      <x:c r="H1669" s="42" t="n">
        <x:v>249171.14</x:v>
      </x:c>
      <x:c r="I1669" s="39" t="n">
        <x:v>46025</x:v>
      </x:c>
    </x:row>
    <x:row r="1670">
      <x:c r="A1670" s="21" t="str">
        <x:v>SYN-0477</x:v>
      </x:c>
      <x:c r="B1670" s="21" t="str">
        <x:v>Synthetic Supplier 0477 LLC</x:v>
      </x:c>
      <x:c r="C1670" s="38" t="str">
        <x:f>"900 000 000 000 477"</x:f>
        <x:v>900 000 000 000 477</x:v>
      </x:c>
      <x:c r="D1670" s="21" t="str">
        <x:v>SYN-0477-INV-03</x:v>
      </x:c>
      <x:c r="E1670" s="39" t="n">
        <x:v>46154</x:v>
      </x:c>
      <x:c r="F1670" s="42" t="n">
        <x:v>77475.96</x:v>
      </x:c>
      <x:c r="G1670" s="42" t="n">
        <x:v>3873.8</x:v>
      </x:c>
      <x:c r="H1670" s="42" t="n">
        <x:v>249171.14</x:v>
      </x:c>
      <x:c r="I1670" s="39" t="n">
        <x:v>46025</x:v>
      </x:c>
    </x:row>
    <x:row r="1671">
      <x:c r="A1671" s="21" t="str">
        <x:v>SYN-0478</x:v>
      </x:c>
      <x:c r="B1671" s="21" t="str">
        <x:v>Synthetic Supplier 0478 LLC</x:v>
      </x:c>
      <x:c r="C1671" s="38" t="str">
        <x:f>"900 000 000 000 478"</x:f>
        <x:v>900 000 000 000 478</x:v>
      </x:c>
      <x:c r="D1671" s="21" t="str">
        <x:v>SYN-0478-INV-01</x:v>
      </x:c>
      <x:c r="E1671" s="39" t="n">
        <x:v>46073</x:v>
      </x:c>
      <x:c r="F1671" s="42" t="n">
        <x:v>69831.61</x:v>
      </x:c>
      <x:c r="G1671" s="42" t="n">
        <x:v>3491.58</x:v>
      </x:c>
      <x:c r="H1671" s="42" t="n">
        <x:v>278427.9</x:v>
      </x:c>
      <x:c r="I1671" s="39" t="n">
        <x:v>45692</x:v>
      </x:c>
    </x:row>
    <x:row r="1672">
      <x:c r="A1672" s="21" t="str">
        <x:v>SYN-0478</x:v>
      </x:c>
      <x:c r="B1672" s="21" t="str">
        <x:v>Synthetic Supplier 0478 LLC</x:v>
      </x:c>
      <x:c r="C1672" s="38" t="str">
        <x:f>"900 000 000 000 478"</x:f>
        <x:v>900 000 000 000 478</x:v>
      </x:c>
      <x:c r="D1672" s="21" t="str">
        <x:v>SYN-0478-INV-02</x:v>
      </x:c>
      <x:c r="E1672" s="39" t="n">
        <x:v>46120</x:v>
      </x:c>
      <x:c r="F1672" s="42" t="n">
        <x:v>112160.04</x:v>
      </x:c>
      <x:c r="G1672" s="42" t="n">
        <x:v>5608</x:v>
      </x:c>
      <x:c r="H1672" s="42" t="n">
        <x:v>278427.9</x:v>
      </x:c>
      <x:c r="I1672" s="39" t="n">
        <x:v>45692</x:v>
      </x:c>
    </x:row>
    <x:row r="1673">
      <x:c r="A1673" s="21" t="str">
        <x:v>SYN-0478</x:v>
      </x:c>
      <x:c r="B1673" s="21" t="str">
        <x:v>Synthetic Supplier 0478 LLC</x:v>
      </x:c>
      <x:c r="C1673" s="38" t="str">
        <x:f>"900 000 000 000 478"</x:f>
        <x:v>900 000 000 000 478</x:v>
      </x:c>
      <x:c r="D1673" s="21" t="str">
        <x:v>SYN-0478-INV-03</x:v>
      </x:c>
      <x:c r="E1673" s="39" t="n">
        <x:v>46167</x:v>
      </x:c>
      <x:c r="F1673" s="42" t="n">
        <x:v>54454.43</x:v>
      </x:c>
      <x:c r="G1673" s="42" t="n">
        <x:v>2722.72</x:v>
      </x:c>
      <x:c r="H1673" s="42" t="n">
        <x:v>278427.9</x:v>
      </x:c>
      <x:c r="I1673" s="39" t="n">
        <x:v>45692</x:v>
      </x:c>
    </x:row>
    <x:row r="1674">
      <x:c r="A1674" s="21" t="str">
        <x:v>SYN-0478</x:v>
      </x:c>
      <x:c r="B1674" s="21" t="str">
        <x:v>Synthetic Supplier 0478 LLC</x:v>
      </x:c>
      <x:c r="C1674" s="38" t="str">
        <x:f>"900 000 000 000 478"</x:f>
        <x:v>900 000 000 000 478</x:v>
      </x:c>
      <x:c r="D1674" s="21" t="str">
        <x:v>SYN-0478-INV-04</x:v>
      </x:c>
      <x:c r="E1674" s="39" t="n">
        <x:v>46214</x:v>
      </x:c>
      <x:c r="F1674" s="42" t="n">
        <x:v>72918.25</x:v>
      </x:c>
      <x:c r="G1674" s="42" t="n">
        <x:v>3645.91</x:v>
      </x:c>
      <x:c r="H1674" s="42" t="n">
        <x:v>278427.9</x:v>
      </x:c>
      <x:c r="I1674" s="39" t="n">
        <x:v>45692</x:v>
      </x:c>
    </x:row>
    <x:row r="1675">
      <x:c r="A1675" s="21" t="str">
        <x:v>SYN-0479</x:v>
      </x:c>
      <x:c r="B1675" s="21" t="str">
        <x:v>Synthetic Supplier 0479 LLC</x:v>
      </x:c>
      <x:c r="C1675" s="38" t="str">
        <x:f>"900 000 000 000 479"</x:f>
        <x:v>900 000 000 000 479</x:v>
      </x:c>
      <x:c r="D1675" s="21" t="str">
        <x:v>SYN-0479-INV-01</x:v>
      </x:c>
      <x:c r="E1675" s="39" t="n">
        <x:v>46086</x:v>
      </x:c>
      <x:c r="F1675" s="42" t="n">
        <x:v>81310.79</x:v>
      </x:c>
      <x:c r="G1675" s="42" t="n">
        <x:v>4065.54</x:v>
      </x:c>
      <x:c r="H1675" s="42" t="n">
        <x:v>288559.68</x:v>
      </x:c>
      <x:c r="I1675" s="39" t="n">
        <x:v>46086</x:v>
      </x:c>
    </x:row>
    <x:row r="1676">
      <x:c r="A1676" s="21" t="str">
        <x:v>SYN-0479</x:v>
      </x:c>
      <x:c r="B1676" s="21" t="str">
        <x:v>Synthetic Supplier 0479 LLC</x:v>
      </x:c>
      <x:c r="C1676" s="38" t="str">
        <x:f>"900 000 000 000 479"</x:f>
        <x:v>900 000 000 000 479</x:v>
      </x:c>
      <x:c r="D1676" s="21" t="str">
        <x:v>SYN-0479-INV-02</x:v>
      </x:c>
      <x:c r="E1676" s="39" t="n">
        <x:v>46133</x:v>
      </x:c>
      <x:c r="F1676" s="42" t="n">
        <x:v>61252.13</x:v>
      </x:c>
      <x:c r="G1676" s="42" t="n">
        <x:v>3062.61</x:v>
      </x:c>
      <x:c r="H1676" s="42" t="n">
        <x:v>288559.68</x:v>
      </x:c>
      <x:c r="I1676" s="39" t="n">
        <x:v>46086</x:v>
      </x:c>
    </x:row>
    <x:row r="1677">
      <x:c r="A1677" s="21" t="str">
        <x:v>SYN-0479</x:v>
      </x:c>
      <x:c r="B1677" s="21" t="str">
        <x:v>Synthetic Supplier 0479 LLC</x:v>
      </x:c>
      <x:c r="C1677" s="38" t="str">
        <x:f>"900 000 000 000 479"</x:f>
        <x:v>900 000 000 000 479</x:v>
      </x:c>
      <x:c r="D1677" s="21" t="str">
        <x:v>SYN-0479-INV-03</x:v>
      </x:c>
      <x:c r="E1677" s="39" t="n">
        <x:v>46180</x:v>
      </x:c>
      <x:c r="F1677" s="42" t="n">
        <x:v>51273.85</x:v>
      </x:c>
      <x:c r="G1677" s="42" t="n">
        <x:v>2563.69</x:v>
      </x:c>
      <x:c r="H1677" s="42" t="n">
        <x:v>288559.68</x:v>
      </x:c>
      <x:c r="I1677" s="39" t="n">
        <x:v>46086</x:v>
      </x:c>
    </x:row>
    <x:row r="1678">
      <x:c r="A1678" s="21" t="str">
        <x:v>SYN-0479</x:v>
      </x:c>
      <x:c r="B1678" s="21" t="str">
        <x:v>Synthetic Supplier 0479 LLC</x:v>
      </x:c>
      <x:c r="C1678" s="38" t="str">
        <x:f>"900 000 000 000 479"</x:f>
        <x:v>900 000 000 000 479</x:v>
      </x:c>
      <x:c r="D1678" s="21" t="str">
        <x:v>SYN-0479-INV-04</x:v>
      </x:c>
      <x:c r="E1678" s="39" t="n">
        <x:v>46227</x:v>
      </x:c>
      <x:c r="F1678" s="42" t="n">
        <x:v>80628.26</x:v>
      </x:c>
      <x:c r="G1678" s="42" t="n">
        <x:v>4031.41</x:v>
      </x:c>
      <x:c r="H1678" s="42" t="n">
        <x:v>288559.68</x:v>
      </x:c>
      <x:c r="I1678" s="39" t="n">
        <x:v>46086</x:v>
      </x:c>
    </x:row>
    <x:row r="1679">
      <x:c r="A1679" s="21" t="str">
        <x:v>SYN-0479</x:v>
      </x:c>
      <x:c r="B1679" s="21" t="str">
        <x:v>Synthetic Supplier 0479 LLC</x:v>
      </x:c>
      <x:c r="C1679" s="38" t="str">
        <x:f>"900 000 000 000 479"</x:f>
        <x:v>900 000 000 000 479</x:v>
      </x:c>
      <x:c r="D1679" s="21" t="str">
        <x:v>SYN-0479-INV-05</x:v>
      </x:c>
      <x:c r="E1679" s="39" t="n">
        <x:v>46274</x:v>
      </x:c>
      <x:c r="F1679" s="42" t="n">
        <x:v>46156.85</x:v>
      </x:c>
      <x:c r="G1679" s="42" t="n">
        <x:v>2307.84</x:v>
      </x:c>
      <x:c r="H1679" s="42" t="n">
        <x:v>288559.68</x:v>
      </x:c>
      <x:c r="I1679" s="39" t="n">
        <x:v>46086</x:v>
      </x:c>
    </x:row>
    <x:row r="1680">
      <x:c r="A1680" s="21" t="str">
        <x:v>SYN-0480</x:v>
      </x:c>
      <x:c r="B1680" s="21" t="str">
        <x:v>Synthetic Supplier 0480 LLC</x:v>
      </x:c>
      <x:c r="C1680" s="38" t="str">
        <x:f>"900 000 000 000 480"</x:f>
        <x:v>900 000 000 000 480</x:v>
      </x:c>
      <x:c r="D1680" s="21" t="str">
        <x:v>SYN-0480-INV-01</x:v>
      </x:c>
      <x:c r="E1680" s="39" t="n">
        <x:v>46099</x:v>
      </x:c>
      <x:c r="F1680" s="42" t="n">
        <x:v>121723.15</x:v>
      </x:c>
      <x:c r="G1680" s="42" t="n">
        <x:v>6086.16</x:v>
      </x:c>
      <x:c r="H1680" s="42" t="n">
        <x:v>213346.48</x:v>
      </x:c>
      <x:c r="I1680" s="39"/>
    </x:row>
    <x:row r="1681">
      <x:c r="A1681" s="21" t="str">
        <x:v>SYN-0480</x:v>
      </x:c>
      <x:c r="B1681" s="21" t="str">
        <x:v>Synthetic Supplier 0480 LLC</x:v>
      </x:c>
      <x:c r="C1681" s="38" t="str">
        <x:f>"900 000 000 000 480"</x:f>
        <x:v>900 000 000 000 480</x:v>
      </x:c>
      <x:c r="D1681" s="21" t="str">
        <x:v>SYN-0480-INV-02</x:v>
      </x:c>
      <x:c r="E1681" s="39" t="n">
        <x:v>46146</x:v>
      </x:c>
      <x:c r="F1681" s="42" t="n">
        <x:v>115328.49</x:v>
      </x:c>
      <x:c r="G1681" s="42" t="n">
        <x:v>5766.42</x:v>
      </x:c>
      <x:c r="H1681" s="42" t="n">
        <x:v>213346.48</x:v>
      </x:c>
      <x:c r="I1681" s="39"/>
    </x:row>
    <x:row r="1682">
      <x:c r="A1682" s="21" t="str">
        <x:v>SYN-0481</x:v>
      </x:c>
      <x:c r="B1682" s="21" t="str">
        <x:v>Synthetic Supplier 0481 LLC</x:v>
      </x:c>
      <x:c r="C1682" s="38" t="str">
        <x:f>"900 000 000 000 481"</x:f>
        <x:v>900 000 000 000 481</x:v>
      </x:c>
      <x:c r="D1682" s="21" t="str">
        <x:v>SYN-0481-INV-01</x:v>
      </x:c>
      <x:c r="E1682" s="39" t="n">
        <x:v>46112</x:v>
      </x:c>
      <x:c r="F1682" s="42" t="n">
        <x:v>71963.88</x:v>
      </x:c>
      <x:c r="G1682" s="42" t="n">
        <x:v>3598.19</x:v>
      </x:c>
      <x:c r="H1682" s="42" t="n">
        <x:v>208604.18</x:v>
      </x:c>
      <x:c r="I1682" s="39" t="n">
        <x:v>46149</x:v>
      </x:c>
    </x:row>
    <x:row r="1683">
      <x:c r="A1683" s="21" t="str">
        <x:v>SYN-0481</x:v>
      </x:c>
      <x:c r="B1683" s="21" t="str">
        <x:v>Synthetic Supplier 0481 LLC</x:v>
      </x:c>
      <x:c r="C1683" s="38" t="str">
        <x:f>"900 000 000 000 481"</x:f>
        <x:v>900 000 000 000 481</x:v>
      </x:c>
      <x:c r="D1683" s="21" t="str">
        <x:v>SYN-0481-INV-02</x:v>
      </x:c>
      <x:c r="E1683" s="39" t="n">
        <x:v>46159</x:v>
      </x:c>
      <x:c r="F1683" s="42" t="n">
        <x:v>72211.64</x:v>
      </x:c>
      <x:c r="G1683" s="42" t="n">
        <x:v>3610.58</x:v>
      </x:c>
      <x:c r="H1683" s="42" t="n">
        <x:v>208604.18</x:v>
      </x:c>
      <x:c r="I1683" s="39" t="n">
        <x:v>46149</x:v>
      </x:c>
    </x:row>
    <x:row r="1684">
      <x:c r="A1684" s="21" t="str">
        <x:v>SYN-0481</x:v>
      </x:c>
      <x:c r="B1684" s="21" t="str">
        <x:v>Synthetic Supplier 0481 LLC</x:v>
      </x:c>
      <x:c r="C1684" s="38" t="str">
        <x:f>"900 000 000 000 481"</x:f>
        <x:v>900 000 000 000 481</x:v>
      </x:c>
      <x:c r="D1684" s="21" t="str">
        <x:v>SYN-0481-INV-03</x:v>
      </x:c>
      <x:c r="E1684" s="39" t="n">
        <x:v>46206</x:v>
      </x:c>
      <x:c r="F1684" s="42" t="n">
        <x:v>87606.91</x:v>
      </x:c>
      <x:c r="G1684" s="42" t="n">
        <x:v>4380.35</x:v>
      </x:c>
      <x:c r="H1684" s="42" t="n">
        <x:v>208604.18</x:v>
      </x:c>
      <x:c r="I1684" s="39" t="n">
        <x:v>46149</x:v>
      </x:c>
    </x:row>
    <x:row r="1685">
      <x:c r="A1685" s="21" t="str">
        <x:v>SYN-0482</x:v>
      </x:c>
      <x:c r="B1685" s="21" t="str">
        <x:v>Synthetic Supplier 0482 LLC</x:v>
      </x:c>
      <x:c r="C1685" s="38" t="str">
        <x:f>"900 000 000 000 482"</x:f>
        <x:v>900 000 000 000 482</x:v>
      </x:c>
      <x:c r="D1685" s="21" t="str">
        <x:v>SYN-0482-INV-01</x:v>
      </x:c>
      <x:c r="E1685" s="39" t="n">
        <x:v>46125</x:v>
      </x:c>
      <x:c r="F1685" s="42" t="n">
        <x:v>110179.07</x:v>
      </x:c>
      <x:c r="G1685" s="42" t="n">
        <x:v>5508.95</x:v>
      </x:c>
      <x:c r="H1685" s="42" t="n">
        <x:v>304955.8</x:v>
      </x:c>
      <x:c r="I1685" s="39" t="n">
        <x:v>45816</x:v>
      </x:c>
    </x:row>
    <x:row r="1686">
      <x:c r="A1686" s="21" t="str">
        <x:v>SYN-0482</x:v>
      </x:c>
      <x:c r="B1686" s="21" t="str">
        <x:v>Synthetic Supplier 0482 LLC</x:v>
      </x:c>
      <x:c r="C1686" s="38" t="str">
        <x:f>"900 000 000 000 482"</x:f>
        <x:v>900 000 000 000 482</x:v>
      </x:c>
      <x:c r="D1686" s="21" t="str">
        <x:v>SYN-0482-INV-02</x:v>
      </x:c>
      <x:c r="E1686" s="39" t="n">
        <x:v>46172</x:v>
      </x:c>
      <x:c r="F1686" s="42" t="n">
        <x:v>105058.18</x:v>
      </x:c>
      <x:c r="G1686" s="42" t="n">
        <x:v>5252.91</x:v>
      </x:c>
      <x:c r="H1686" s="42" t="n">
        <x:v>304955.8</x:v>
      </x:c>
      <x:c r="I1686" s="39" t="n">
        <x:v>45816</x:v>
      </x:c>
    </x:row>
    <x:row r="1687">
      <x:c r="A1687" s="21" t="str">
        <x:v>SYN-0482</x:v>
      </x:c>
      <x:c r="B1687" s="21" t="str">
        <x:v>Synthetic Supplier 0482 LLC</x:v>
      </x:c>
      <x:c r="C1687" s="38" t="str">
        <x:f>"900 000 000 000 482"</x:f>
        <x:v>900 000 000 000 482</x:v>
      </x:c>
      <x:c r="D1687" s="21" t="str">
        <x:v>SYN-0482-INV-03</x:v>
      </x:c>
      <x:c r="E1687" s="39" t="n">
        <x:v>46219</x:v>
      </x:c>
      <x:c r="F1687" s="42" t="n">
        <x:v>51137.65</x:v>
      </x:c>
      <x:c r="G1687" s="42" t="n">
        <x:v>2556.88</x:v>
      </x:c>
      <x:c r="H1687" s="42" t="n">
        <x:v>304955.8</x:v>
      </x:c>
      <x:c r="I1687" s="39" t="n">
        <x:v>45816</x:v>
      </x:c>
    </x:row>
    <x:row r="1688">
      <x:c r="A1688" s="21" t="str">
        <x:v>SYN-0482</x:v>
      </x:c>
      <x:c r="B1688" s="21" t="str">
        <x:v>Synthetic Supplier 0482 LLC</x:v>
      </x:c>
      <x:c r="C1688" s="38" t="str">
        <x:f>"900 000 000 000 482"</x:f>
        <x:v>900 000 000 000 482</x:v>
      </x:c>
      <x:c r="D1688" s="21" t="str">
        <x:v>SYN-0482-INV-04</x:v>
      </x:c>
      <x:c r="E1688" s="39" t="n">
        <x:v>46266</x:v>
      </x:c>
      <x:c r="F1688" s="42" t="n">
        <x:v>72464.88</x:v>
      </x:c>
      <x:c r="G1688" s="42" t="n">
        <x:v>3623.24</x:v>
      </x:c>
      <x:c r="H1688" s="42" t="n">
        <x:v>304955.8</x:v>
      </x:c>
      <x:c r="I1688" s="39" t="n">
        <x:v>45816</x:v>
      </x:c>
    </x:row>
    <x:row r="1689">
      <x:c r="A1689" s="21" t="str">
        <x:v>SYN-0483</x:v>
      </x:c>
      <x:c r="B1689" s="21" t="str">
        <x:v>Synthetic Supplier 0483 LLC</x:v>
      </x:c>
      <x:c r="C1689" s="38" t="str">
        <x:f>"900 000 000 000 483"</x:f>
        <x:v>900 000 000 000 483</x:v>
      </x:c>
      <x:c r="D1689" s="21" t="str">
        <x:v>SYN-0483-INV-01</x:v>
      </x:c>
      <x:c r="E1689" s="39" t="n">
        <x:v>46138</x:v>
      </x:c>
      <x:c r="F1689" s="42" t="n">
        <x:v>45444.45</x:v>
      </x:c>
      <x:c r="G1689" s="42" t="n">
        <x:v>2272.22</x:v>
      </x:c>
      <x:c r="H1689" s="42" t="n">
        <x:v>266762.57</x:v>
      </x:c>
      <x:c r="I1689" s="39" t="n">
        <x:v>46212</x:v>
      </x:c>
    </x:row>
    <x:row r="1690">
      <x:c r="A1690" s="21" t="str">
        <x:v>SYN-0483</x:v>
      </x:c>
      <x:c r="B1690" s="21" t="str">
        <x:v>Synthetic Supplier 0483 LLC</x:v>
      </x:c>
      <x:c r="C1690" s="38" t="str">
        <x:f>"900 000 000 000 483"</x:f>
        <x:v>900 000 000 000 483</x:v>
      </x:c>
      <x:c r="D1690" s="21" t="str">
        <x:v>SYN-0483-INV-02</x:v>
      </x:c>
      <x:c r="E1690" s="39" t="n">
        <x:v>46185</x:v>
      </x:c>
      <x:c r="F1690" s="42" t="n">
        <x:v>43298.35</x:v>
      </x:c>
      <x:c r="G1690" s="42" t="n">
        <x:v>2164.92</x:v>
      </x:c>
      <x:c r="H1690" s="42" t="n">
        <x:v>266762.57</x:v>
      </x:c>
      <x:c r="I1690" s="39" t="n">
        <x:v>46212</x:v>
      </x:c>
    </x:row>
    <x:row r="1691">
      <x:c r="A1691" s="21" t="str">
        <x:v>SYN-0483</x:v>
      </x:c>
      <x:c r="B1691" s="21" t="str">
        <x:v>Synthetic Supplier 0483 LLC</x:v>
      </x:c>
      <x:c r="C1691" s="38" t="str">
        <x:f>"900 000 000 000 483"</x:f>
        <x:v>900 000 000 000 483</x:v>
      </x:c>
      <x:c r="D1691" s="21" t="str">
        <x:v>SYN-0483-INV-03</x:v>
      </x:c>
      <x:c r="E1691" s="39" t="n">
        <x:v>46232</x:v>
      </x:c>
      <x:c r="F1691" s="42" t="n">
        <x:v>45077.01</x:v>
      </x:c>
      <x:c r="G1691" s="42" t="n">
        <x:v>2253.85</x:v>
      </x:c>
      <x:c r="H1691" s="42" t="n">
        <x:v>266762.57</x:v>
      </x:c>
      <x:c r="I1691" s="39" t="n">
        <x:v>46212</x:v>
      </x:c>
    </x:row>
    <x:row r="1692">
      <x:c r="A1692" s="21" t="str">
        <x:v>SYN-0483</x:v>
      </x:c>
      <x:c r="B1692" s="21" t="str">
        <x:v>Synthetic Supplier 0483 LLC</x:v>
      </x:c>
      <x:c r="C1692" s="38" t="str">
        <x:f>"900 000 000 000 483"</x:f>
        <x:v>900 000 000 000 483</x:v>
      </x:c>
      <x:c r="D1692" s="21" t="str">
        <x:v>SYN-0483-INV-04</x:v>
      </x:c>
      <x:c r="E1692" s="39" t="n">
        <x:v>46279</x:v>
      </x:c>
      <x:c r="F1692" s="42" t="n">
        <x:v>39215.7</x:v>
      </x:c>
      <x:c r="G1692" s="42" t="n">
        <x:v>1960.79</x:v>
      </x:c>
      <x:c r="H1692" s="42" t="n">
        <x:v>266762.57</x:v>
      </x:c>
      <x:c r="I1692" s="39" t="n">
        <x:v>46212</x:v>
      </x:c>
    </x:row>
    <x:row r="1693">
      <x:c r="A1693" s="21" t="str">
        <x:v>SYN-0483</x:v>
      </x:c>
      <x:c r="B1693" s="21" t="str">
        <x:v>Synthetic Supplier 0483 LLC</x:v>
      </x:c>
      <x:c r="C1693" s="38" t="str">
        <x:f>"900 000 000 000 483"</x:f>
        <x:v>900 000 000 000 483</x:v>
      </x:c>
      <x:c r="D1693" s="21" t="str">
        <x:v>SYN-0483-INV-05</x:v>
      </x:c>
      <x:c r="E1693" s="39" t="n">
        <x:v>45966</x:v>
      </x:c>
      <x:c r="F1693" s="42" t="n">
        <x:v>58931.94</x:v>
      </x:c>
      <x:c r="G1693" s="42" t="n">
        <x:v>2946.6</x:v>
      </x:c>
      <x:c r="H1693" s="42" t="n">
        <x:v>266762.57</x:v>
      </x:c>
      <x:c r="I1693" s="39" t="n">
        <x:v>46212</x:v>
      </x:c>
    </x:row>
    <x:row r="1694">
      <x:c r="A1694" s="21" t="str">
        <x:v>SYN-0484</x:v>
      </x:c>
      <x:c r="B1694" s="21" t="str">
        <x:v>Synthetic Supplier 0484 LLC</x:v>
      </x:c>
      <x:c r="C1694" s="38" t="str">
        <x:f>"900 000 000 000 484"</x:f>
        <x:v>900 000 000 000 484</x:v>
      </x:c>
      <x:c r="D1694" s="21" t="str">
        <x:v>SYN-0484-INV-01</x:v>
      </x:c>
      <x:c r="E1694" s="39" t="n">
        <x:v>46151</x:v>
      </x:c>
      <x:c r="F1694" s="42" t="n">
        <x:v>39391.34</x:v>
      </x:c>
      <x:c r="G1694" s="42" t="n">
        <x:v>1969.57</x:v>
      </x:c>
      <x:c r="H1694" s="42" t="n">
        <x:v>107917.62</x:v>
      </x:c>
      <x:c r="I1694" s="39" t="n">
        <x:v>45879</x:v>
      </x:c>
    </x:row>
    <x:row r="1695">
      <x:c r="A1695" s="21" t="str">
        <x:v>SYN-0484</x:v>
      </x:c>
      <x:c r="B1695" s="21" t="str">
        <x:v>Synthetic Supplier 0484 LLC</x:v>
      </x:c>
      <x:c r="C1695" s="38" t="str">
        <x:f>"900 000 000 000 484"</x:f>
        <x:v>900 000 000 000 484</x:v>
      </x:c>
      <x:c r="D1695" s="21" t="str">
        <x:v>SYN-0484-INV-02</x:v>
      </x:c>
      <x:c r="E1695" s="39" t="n">
        <x:v>46198</x:v>
      </x:c>
      <x:c r="F1695" s="42" t="n">
        <x:v>80517.13</x:v>
      </x:c>
      <x:c r="G1695" s="42" t="n">
        <x:v>4025.86</x:v>
      </x:c>
      <x:c r="H1695" s="42" t="n">
        <x:v>107917.62</x:v>
      </x:c>
      <x:c r="I1695" s="39" t="n">
        <x:v>45879</x:v>
      </x:c>
    </x:row>
    <x:row r="1696">
      <x:c r="A1696" s="21" t="str">
        <x:v>SYN-0485</x:v>
      </x:c>
      <x:c r="B1696" s="21" t="str">
        <x:v>Synthetic Supplier 0485 LLC</x:v>
      </x:c>
      <x:c r="C1696" s="38" t="str">
        <x:f>"900 000 000 000 485"</x:f>
        <x:v>900 000 000 000 485</x:v>
      </x:c>
      <x:c r="D1696" s="21" t="str">
        <x:v>SYN-0485-INV-01</x:v>
      </x:c>
      <x:c r="E1696" s="39" t="n">
        <x:v>46164</x:v>
      </x:c>
      <x:c r="F1696" s="42" t="n">
        <x:v>84562.62</x:v>
      </x:c>
      <x:c r="G1696" s="42" t="n">
        <x:v>4228.13</x:v>
      </x:c>
      <x:c r="H1696" s="42" t="n">
        <x:v>193973.4</x:v>
      </x:c>
      <x:c r="I1696" s="39"/>
    </x:row>
    <x:row r="1697">
      <x:c r="A1697" s="21" t="str">
        <x:v>SYN-0485</x:v>
      </x:c>
      <x:c r="B1697" s="21" t="str">
        <x:v>Synthetic Supplier 0485 LLC</x:v>
      </x:c>
      <x:c r="C1697" s="38" t="str">
        <x:f>"900 000 000 000 485"</x:f>
        <x:v>900 000 000 000 485</x:v>
      </x:c>
      <x:c r="D1697" s="21" t="str">
        <x:v>SYN-0485-INV-02</x:v>
      </x:c>
      <x:c r="E1697" s="39" t="n">
        <x:v>46211</x:v>
      </x:c>
      <x:c r="F1697" s="42" t="n">
        <x:v>66065.84</x:v>
      </x:c>
      <x:c r="G1697" s="42" t="n">
        <x:v>3303.29</x:v>
      </x:c>
      <x:c r="H1697" s="42" t="n">
        <x:v>193973.4</x:v>
      </x:c>
      <x:c r="I1697" s="39"/>
    </x:row>
    <x:row r="1698">
      <x:c r="A1698" s="21" t="str">
        <x:v>SYN-0485</x:v>
      </x:c>
      <x:c r="B1698" s="21" t="str">
        <x:v>Synthetic Supplier 0485 LLC</x:v>
      </x:c>
      <x:c r="C1698" s="38" t="str">
        <x:f>"900 000 000 000 485"</x:f>
        <x:v>900 000 000 000 485</x:v>
      </x:c>
      <x:c r="D1698" s="21" t="str">
        <x:v>SYN-0485-INV-03</x:v>
      </x:c>
      <x:c r="E1698" s="39" t="n">
        <x:v>46258</x:v>
      </x:c>
      <x:c r="F1698" s="42" t="n">
        <x:v>64897.54</x:v>
      </x:c>
      <x:c r="G1698" s="42" t="n">
        <x:v>3244.88</x:v>
      </x:c>
      <x:c r="H1698" s="42" t="n">
        <x:v>193973.4</x:v>
      </x:c>
      <x:c r="I1698" s="39"/>
    </x:row>
    <x:row r="1699">
      <x:c r="A1699" s="21" t="str">
        <x:v>SYN-0486</x:v>
      </x:c>
      <x:c r="B1699" s="21" t="str">
        <x:v>Synthetic Supplier 0486 LLC</x:v>
      </x:c>
      <x:c r="C1699" s="38" t="str">
        <x:f>"900 000 000 000 486"</x:f>
        <x:v>900 000 000 000 486</x:v>
      </x:c>
      <x:c r="D1699" s="21" t="str">
        <x:v>SYN-0486-INV-01</x:v>
      </x:c>
      <x:c r="E1699" s="39" t="n">
        <x:v>46177</x:v>
      </x:c>
      <x:c r="F1699" s="42" t="n">
        <x:v>46945.1</x:v>
      </x:c>
      <x:c r="G1699" s="42" t="n">
        <x:v>2347.25</x:v>
      </x:c>
      <x:c r="H1699" s="42" t="n">
        <x:v>180806.62</x:v>
      </x:c>
      <x:c r="I1699" s="39" t="n">
        <x:v>45669</x:v>
      </x:c>
    </x:row>
    <x:row r="1700">
      <x:c r="A1700" s="21" t="str">
        <x:v>SYN-0486</x:v>
      </x:c>
      <x:c r="B1700" s="21" t="str">
        <x:v>Synthetic Supplier 0486 LLC</x:v>
      </x:c>
      <x:c r="C1700" s="38" t="str">
        <x:f>"900 000 000 000 486"</x:f>
        <x:v>900 000 000 000 486</x:v>
      </x:c>
      <x:c r="D1700" s="21" t="str">
        <x:v>SYN-0486-INV-02</x:v>
      </x:c>
      <x:c r="E1700" s="39" t="n">
        <x:v>46224</x:v>
      </x:c>
      <x:c r="F1700" s="42" t="n">
        <x:v>37730.25</x:v>
      </x:c>
      <x:c r="G1700" s="42" t="n">
        <x:v>1886.51</x:v>
      </x:c>
      <x:c r="H1700" s="42" t="n">
        <x:v>180806.62</x:v>
      </x:c>
      <x:c r="I1700" s="39" t="n">
        <x:v>45669</x:v>
      </x:c>
    </x:row>
    <x:row r="1701">
      <x:c r="A1701" s="21" t="str">
        <x:v>SYN-0486</x:v>
      </x:c>
      <x:c r="B1701" s="21" t="str">
        <x:v>Synthetic Supplier 0486 LLC</x:v>
      </x:c>
      <x:c r="C1701" s="38" t="str">
        <x:f>"900 000 000 000 486"</x:f>
        <x:v>900 000 000 000 486</x:v>
      </x:c>
      <x:c r="D1701" s="21" t="str">
        <x:v>SYN-0486-INV-03</x:v>
      </x:c>
      <x:c r="E1701" s="39" t="n">
        <x:v>46271</x:v>
      </x:c>
      <x:c r="F1701" s="42" t="n">
        <x:v>71363.6</x:v>
      </x:c>
      <x:c r="G1701" s="42" t="n">
        <x:v>3568.18</x:v>
      </x:c>
      <x:c r="H1701" s="42" t="n">
        <x:v>180806.62</x:v>
      </x:c>
      <x:c r="I1701" s="39" t="n">
        <x:v>45669</x:v>
      </x:c>
    </x:row>
    <x:row r="1702">
      <x:c r="A1702" s="21" t="str">
        <x:v>SYN-0486</x:v>
      </x:c>
      <x:c r="B1702" s="21" t="str">
        <x:v>Synthetic Supplier 0486 LLC</x:v>
      </x:c>
      <x:c r="C1702" s="38" t="str">
        <x:f>"900 000 000 000 486"</x:f>
        <x:v>900 000 000 000 486</x:v>
      </x:c>
      <x:c r="D1702" s="21" t="str">
        <x:v>SYN-0486-INV-04</x:v>
      </x:c>
      <x:c r="E1702" s="39" t="n">
        <x:v>45958</x:v>
      </x:c>
      <x:c r="F1702" s="42" t="n">
        <x:v>44857.3</x:v>
      </x:c>
      <x:c r="G1702" s="42" t="n">
        <x:v>2242.86</x:v>
      </x:c>
      <x:c r="H1702" s="42" t="n">
        <x:v>180806.62</x:v>
      </x:c>
      <x:c r="I1702" s="39" t="n">
        <x:v>45669</x:v>
      </x:c>
    </x:row>
    <x:row r="1703">
      <x:c r="A1703" s="21" t="str">
        <x:v>SYN-0487</x:v>
      </x:c>
      <x:c r="B1703" s="21" t="str">
        <x:v>Synthetic Supplier 0487 LLC</x:v>
      </x:c>
      <x:c r="C1703" s="38" t="str">
        <x:f>"900 000 000 000 487"</x:f>
        <x:v>900 000 000 000 487</x:v>
      </x:c>
      <x:c r="D1703" s="21" t="str">
        <x:v>SYN-0487-INV-01</x:v>
      </x:c>
      <x:c r="E1703" s="39" t="n">
        <x:v>46190</x:v>
      </x:c>
      <x:c r="F1703" s="42" t="n">
        <x:v>27346.1</x:v>
      </x:c>
      <x:c r="G1703" s="42" t="n">
        <x:v>1367.3</x:v>
      </x:c>
      <x:c r="H1703" s="42" t="n">
        <x:v>144613.89</x:v>
      </x:c>
      <x:c r="I1703" s="39" t="n">
        <x:v>46066</x:v>
      </x:c>
    </x:row>
    <x:row r="1704">
      <x:c r="A1704" s="21" t="str">
        <x:v>SYN-0487</x:v>
      </x:c>
      <x:c r="B1704" s="21" t="str">
        <x:v>Synthetic Supplier 0487 LLC</x:v>
      </x:c>
      <x:c r="C1704" s="38" t="str">
        <x:f>"900 000 000 000 487"</x:f>
        <x:v>900 000 000 000 487</x:v>
      </x:c>
      <x:c r="D1704" s="21" t="str">
        <x:v>SYN-0487-INV-02</x:v>
      </x:c>
      <x:c r="E1704" s="39" t="n">
        <x:v>46237</x:v>
      </x:c>
      <x:c r="F1704" s="42" t="n">
        <x:v>46823.29</x:v>
      </x:c>
      <x:c r="G1704" s="42" t="n">
        <x:v>2341.16</x:v>
      </x:c>
      <x:c r="H1704" s="42" t="n">
        <x:v>144613.89</x:v>
      </x:c>
      <x:c r="I1704" s="39" t="n">
        <x:v>46066</x:v>
      </x:c>
    </x:row>
    <x:row r="1705">
      <x:c r="A1705" s="21" t="str">
        <x:v>SYN-0487</x:v>
      </x:c>
      <x:c r="B1705" s="21" t="str">
        <x:v>Synthetic Supplier 0487 LLC</x:v>
      </x:c>
      <x:c r="C1705" s="38" t="str">
        <x:f>"900 000 000 000 487"</x:f>
        <x:v>900 000 000 000 487</x:v>
      </x:c>
      <x:c r="D1705" s="21" t="str">
        <x:v>SYN-0487-INV-03</x:v>
      </x:c>
      <x:c r="E1705" s="39" t="n">
        <x:v>46284</x:v>
      </x:c>
      <x:c r="F1705" s="42" t="n">
        <x:v>23408.05</x:v>
      </x:c>
      <x:c r="G1705" s="42" t="n">
        <x:v>1170.4</x:v>
      </x:c>
      <x:c r="H1705" s="42" t="n">
        <x:v>144613.89</x:v>
      </x:c>
      <x:c r="I1705" s="39" t="n">
        <x:v>46066</x:v>
      </x:c>
    </x:row>
    <x:row r="1706">
      <x:c r="A1706" s="21" t="str">
        <x:v>SYN-0487</x:v>
      </x:c>
      <x:c r="B1706" s="21" t="str">
        <x:v>Synthetic Supplier 0487 LLC</x:v>
      </x:c>
      <x:c r="C1706" s="38" t="str">
        <x:f>"900 000 000 000 487"</x:f>
        <x:v>900 000 000 000 487</x:v>
      </x:c>
      <x:c r="D1706" s="21" t="str">
        <x:v>SYN-0487-INV-04</x:v>
      </x:c>
      <x:c r="E1706" s="39" t="n">
        <x:v>45971</x:v>
      </x:c>
      <x:c r="F1706" s="42" t="n">
        <x:v>39318.19</x:v>
      </x:c>
      <x:c r="G1706" s="42" t="n">
        <x:v>1965.91</x:v>
      </x:c>
      <x:c r="H1706" s="42" t="n">
        <x:v>144613.89</x:v>
      </x:c>
      <x:c r="I1706" s="39" t="n">
        <x:v>46066</x:v>
      </x:c>
    </x:row>
    <x:row r="1707">
      <x:c r="A1707" s="21" t="str">
        <x:v>SYN-0487</x:v>
      </x:c>
      <x:c r="B1707" s="21" t="str">
        <x:v>Synthetic Supplier 0487 LLC</x:v>
      </x:c>
      <x:c r="C1707" s="38" t="str">
        <x:f>"900 000 000 000 487"</x:f>
        <x:v>900 000 000 000 487</x:v>
      </x:c>
      <x:c r="D1707" s="21" t="str">
        <x:v>SYN-0487-INV-05</x:v>
      </x:c>
      <x:c r="E1707" s="39" t="n">
        <x:v>46018</x:v>
      </x:c>
      <x:c r="F1707" s="42" t="n">
        <x:v>23786.46</x:v>
      </x:c>
      <x:c r="G1707" s="42" t="n">
        <x:v>1189.32</x:v>
      </x:c>
      <x:c r="H1707" s="42" t="n">
        <x:v>144613.89</x:v>
      </x:c>
      <x:c r="I1707" s="39" t="n">
        <x:v>46066</x:v>
      </x:c>
    </x:row>
    <x:row r="1708">
      <x:c r="A1708" s="21" t="str">
        <x:v>SYN-0488</x:v>
      </x:c>
      <x:c r="B1708" s="21" t="str">
        <x:v>Synthetic Supplier 0488 LLC</x:v>
      </x:c>
      <x:c r="C1708" s="38" t="str">
        <x:f>"900 000 000 000 488"</x:f>
        <x:v>900 000 000 000 488</x:v>
      </x:c>
      <x:c r="D1708" s="21" t="str">
        <x:v>SYN-0488-INV-01</x:v>
      </x:c>
      <x:c r="E1708" s="39" t="n">
        <x:v>46203</x:v>
      </x:c>
      <x:c r="F1708" s="42" t="n">
        <x:v>70393.77</x:v>
      </x:c>
      <x:c r="G1708" s="42" t="n">
        <x:v>3519.69</x:v>
      </x:c>
      <x:c r="H1708" s="42" t="n">
        <x:v>104091.94</x:v>
      </x:c>
      <x:c r="I1708" s="39" t="n">
        <x:v>45730</x:v>
      </x:c>
    </x:row>
    <x:row r="1709">
      <x:c r="A1709" s="21" t="str">
        <x:v>SYN-0488</x:v>
      </x:c>
      <x:c r="B1709" s="21" t="str">
        <x:v>Synthetic Supplier 0488 LLC</x:v>
      </x:c>
      <x:c r="C1709" s="38" t="str">
        <x:f>"900 000 000 000 488"</x:f>
        <x:v>900 000 000 000 488</x:v>
      </x:c>
      <x:c r="D1709" s="21" t="str">
        <x:v>SYN-0488-INV-02</x:v>
      </x:c>
      <x:c r="E1709" s="39" t="n">
        <x:v>46250</x:v>
      </x:c>
      <x:c r="F1709" s="42" t="n">
        <x:v>45263.94</x:v>
      </x:c>
      <x:c r="G1709" s="42" t="n">
        <x:v>2263.2</x:v>
      </x:c>
      <x:c r="H1709" s="42" t="n">
        <x:v>104091.94</x:v>
      </x:c>
      <x:c r="I1709" s="39" t="n">
        <x:v>45730</x:v>
      </x:c>
    </x:row>
    <x:row r="1710">
      <x:c r="A1710" s="21" t="str">
        <x:v>SYN-0489</x:v>
      </x:c>
      <x:c r="B1710" s="21" t="str">
        <x:v>Synthetic Supplier 0489 LLC</x:v>
      </x:c>
      <x:c r="C1710" s="38" t="str">
        <x:f>"900 000 000 000 489"</x:f>
        <x:v>900 000 000 000 489</x:v>
      </x:c>
      <x:c r="D1710" s="21" t="str">
        <x:v>SYN-0489-INV-01</x:v>
      </x:c>
      <x:c r="E1710" s="39" t="n">
        <x:v>46216</x:v>
      </x:c>
      <x:c r="F1710" s="42" t="n">
        <x:v>37842.97</x:v>
      </x:c>
      <x:c r="G1710" s="42" t="n">
        <x:v>1892.15</x:v>
      </x:c>
      <x:c r="H1710" s="42" t="n">
        <x:v>109415.8</x:v>
      </x:c>
      <x:c r="I1710" s="39" t="n">
        <x:v>46127</x:v>
      </x:c>
    </x:row>
    <x:row r="1711">
      <x:c r="A1711" s="21" t="str">
        <x:v>SYN-0489</x:v>
      </x:c>
      <x:c r="B1711" s="21" t="str">
        <x:v>Synthetic Supplier 0489 LLC</x:v>
      </x:c>
      <x:c r="C1711" s="38" t="str">
        <x:f>"900 000 000 000 489"</x:f>
        <x:v>900 000 000 000 489</x:v>
      </x:c>
      <x:c r="D1711" s="21" t="str">
        <x:v>SYN-0489-INV-02</x:v>
      </x:c>
      <x:c r="E1711" s="39" t="n">
        <x:v>46263</x:v>
      </x:c>
      <x:c r="F1711" s="42" t="n">
        <x:v>39774.6</x:v>
      </x:c>
      <x:c r="G1711" s="42" t="n">
        <x:v>1988.73</x:v>
      </x:c>
      <x:c r="H1711" s="42" t="n">
        <x:v>109415.8</x:v>
      </x:c>
      <x:c r="I1711" s="39" t="n">
        <x:v>46127</x:v>
      </x:c>
    </x:row>
    <x:row r="1712">
      <x:c r="A1712" s="21" t="str">
        <x:v>SYN-0489</x:v>
      </x:c>
      <x:c r="B1712" s="21" t="str">
        <x:v>Synthetic Supplier 0489 LLC</x:v>
      </x:c>
      <x:c r="C1712" s="38" t="str">
        <x:f>"900 000 000 000 489"</x:f>
        <x:v>900 000 000 000 489</x:v>
      </x:c>
      <x:c r="D1712" s="21" t="str">
        <x:v>SYN-0489-INV-03</x:v>
      </x:c>
      <x:c r="E1712" s="39" t="n">
        <x:v>45950</x:v>
      </x:c>
      <x:c r="F1712" s="42" t="n">
        <x:v>43955.54</x:v>
      </x:c>
      <x:c r="G1712" s="42" t="n">
        <x:v>2197.78</x:v>
      </x:c>
      <x:c r="H1712" s="42" t="n">
        <x:v>109415.8</x:v>
      </x:c>
      <x:c r="I1712" s="39" t="n">
        <x:v>46127</x:v>
      </x:c>
    </x:row>
    <x:row r="1713">
      <x:c r="A1713" s="21" t="str">
        <x:v>SYN-0490</x:v>
      </x:c>
      <x:c r="B1713" s="21" t="str">
        <x:v>Synthetic Supplier 0490 LLC</x:v>
      </x:c>
      <x:c r="C1713" s="38" t="str">
        <x:f>"900 000 000 000 490"</x:f>
        <x:v>900 000 000 000 490</x:v>
      </x:c>
      <x:c r="D1713" s="21" t="str">
        <x:v>SYN-0490-INV-01</x:v>
      </x:c>
      <x:c r="E1713" s="39" t="n">
        <x:v>46229</x:v>
      </x:c>
      <x:c r="F1713" s="42" t="n">
        <x:v>24771.12</x:v>
      </x:c>
      <x:c r="G1713" s="42" t="n">
        <x:v>1238.56</x:v>
      </x:c>
      <x:c r="H1713" s="42" t="n">
        <x:v>128542.25</x:v>
      </x:c>
      <x:c r="I1713" s="39"/>
    </x:row>
    <x:row r="1714">
      <x:c r="A1714" s="21" t="str">
        <x:v>SYN-0490</x:v>
      </x:c>
      <x:c r="B1714" s="21" t="str">
        <x:v>Synthetic Supplier 0490 LLC</x:v>
      </x:c>
      <x:c r="C1714" s="38" t="str">
        <x:f>"900 000 000 000 490"</x:f>
        <x:v>900 000 000 000 490</x:v>
      </x:c>
      <x:c r="D1714" s="21" t="str">
        <x:v>SYN-0490-INV-02</x:v>
      </x:c>
      <x:c r="E1714" s="39" t="n">
        <x:v>46276</x:v>
      </x:c>
      <x:c r="F1714" s="42" t="n">
        <x:v>19139.6</x:v>
      </x:c>
      <x:c r="G1714" s="42" t="n">
        <x:v>956.98</x:v>
      </x:c>
      <x:c r="H1714" s="42" t="n">
        <x:v>128542.25</x:v>
      </x:c>
      <x:c r="I1714" s="39"/>
    </x:row>
    <x:row r="1715">
      <x:c r="A1715" s="21" t="str">
        <x:v>SYN-0490</x:v>
      </x:c>
      <x:c r="B1715" s="21" t="str">
        <x:v>Synthetic Supplier 0490 LLC</x:v>
      </x:c>
      <x:c r="C1715" s="38" t="str">
        <x:f>"900 000 000 000 490"</x:f>
        <x:v>900 000 000 000 490</x:v>
      </x:c>
      <x:c r="D1715" s="21" t="str">
        <x:v>SYN-0490-INV-03</x:v>
      </x:c>
      <x:c r="E1715" s="39" t="n">
        <x:v>45963</x:v>
      </x:c>
      <x:c r="F1715" s="42" t="n">
        <x:v>38574.81</x:v>
      </x:c>
      <x:c r="G1715" s="42" t="n">
        <x:v>1928.74</x:v>
      </x:c>
      <x:c r="H1715" s="42" t="n">
        <x:v>128542.25</x:v>
      </x:c>
      <x:c r="I1715" s="39"/>
    </x:row>
    <x:row r="1716">
      <x:c r="A1716" s="21" t="str">
        <x:v>SYN-0490</x:v>
      </x:c>
      <x:c r="B1716" s="21" t="str">
        <x:v>Synthetic Supplier 0490 LLC</x:v>
      </x:c>
      <x:c r="C1716" s="38" t="str">
        <x:f>"900 000 000 000 490"</x:f>
        <x:v>900 000 000 000 490</x:v>
      </x:c>
      <x:c r="D1716" s="21" t="str">
        <x:v>SYN-0490-INV-04</x:v>
      </x:c>
      <x:c r="E1716" s="39" t="n">
        <x:v>46010</x:v>
      </x:c>
      <x:c r="F1716" s="42" t="n">
        <x:v>29290.33</x:v>
      </x:c>
      <x:c r="G1716" s="42" t="n">
        <x:v>1464.52</x:v>
      </x:c>
      <x:c r="H1716" s="42" t="n">
        <x:v>128542.25</x:v>
      </x:c>
      <x:c r="I1716" s="39"/>
    </x:row>
    <x:row r="1717">
      <x:c r="A1717" s="21" t="str">
        <x:v>SYN-0491</x:v>
      </x:c>
      <x:c r="B1717" s="21" t="str">
        <x:v>Synthetic Supplier 0491 LLC</x:v>
      </x:c>
      <x:c r="C1717" s="38" t="str">
        <x:f>"900 000 000 000 491"</x:f>
        <x:v>900 000 000 000 491</x:v>
      </x:c>
      <x:c r="D1717" s="21" t="str">
        <x:v>SYN-0491-INV-01</x:v>
      </x:c>
      <x:c r="E1717" s="39" t="n">
        <x:v>46242</x:v>
      </x:c>
      <x:c r="F1717" s="42" t="n">
        <x:v>59696.35</x:v>
      </x:c>
      <x:c r="G1717" s="42" t="n">
        <x:v>2984.82</x:v>
      </x:c>
      <x:c r="H1717" s="42" t="n">
        <x:v>236285.84</x:v>
      </x:c>
      <x:c r="I1717" s="39" t="n">
        <x:v>46190</x:v>
      </x:c>
    </x:row>
    <x:row r="1718">
      <x:c r="A1718" s="21" t="str">
        <x:v>SYN-0491</x:v>
      </x:c>
      <x:c r="B1718" s="21" t="str">
        <x:v>Synthetic Supplier 0491 LLC</x:v>
      </x:c>
      <x:c r="C1718" s="38" t="str">
        <x:f>"900 000 000 000 491"</x:f>
        <x:v>900 000 000 000 491</x:v>
      </x:c>
      <x:c r="D1718" s="21" t="str">
        <x:v>SYN-0491-INV-02</x:v>
      </x:c>
      <x:c r="E1718" s="39" t="n">
        <x:v>46289</x:v>
      </x:c>
      <x:c r="F1718" s="42" t="n">
        <x:v>75658.23</x:v>
      </x:c>
      <x:c r="G1718" s="42" t="n">
        <x:v>3782.91</x:v>
      </x:c>
      <x:c r="H1718" s="42" t="n">
        <x:v>236285.84</x:v>
      </x:c>
      <x:c r="I1718" s="39" t="n">
        <x:v>46190</x:v>
      </x:c>
    </x:row>
    <x:row r="1719">
      <x:c r="A1719" s="21" t="str">
        <x:v>SYN-0491</x:v>
      </x:c>
      <x:c r="B1719" s="21" t="str">
        <x:v>Synthetic Supplier 0491 LLC</x:v>
      </x:c>
      <x:c r="C1719" s="38" t="str">
        <x:f>"900 000 000 000 491"</x:f>
        <x:v>900 000 000 000 491</x:v>
      </x:c>
      <x:c r="D1719" s="21" t="str">
        <x:v>SYN-0491-INV-03</x:v>
      </x:c>
      <x:c r="E1719" s="39" t="n">
        <x:v>45976</x:v>
      </x:c>
      <x:c r="F1719" s="42" t="n">
        <x:v>57683.15</x:v>
      </x:c>
      <x:c r="G1719" s="42" t="n">
        <x:v>2884.16</x:v>
      </x:c>
      <x:c r="H1719" s="42" t="n">
        <x:v>236285.84</x:v>
      </x:c>
      <x:c r="I1719" s="39" t="n">
        <x:v>46190</x:v>
      </x:c>
    </x:row>
    <x:row r="1720">
      <x:c r="A1720" s="21" t="str">
        <x:v>SYN-0491</x:v>
      </x:c>
      <x:c r="B1720" s="21" t="str">
        <x:v>Synthetic Supplier 0491 LLC</x:v>
      </x:c>
      <x:c r="C1720" s="38" t="str">
        <x:f>"900 000 000 000 491"</x:f>
        <x:v>900 000 000 000 491</x:v>
      </x:c>
      <x:c r="D1720" s="21" t="str">
        <x:v>SYN-0491-INV-04</x:v>
      </x:c>
      <x:c r="E1720" s="39" t="n">
        <x:v>46023</x:v>
      </x:c>
      <x:c r="F1720" s="42" t="n">
        <x:v>33824.77</x:v>
      </x:c>
      <x:c r="G1720" s="42" t="n">
        <x:v>1691.24</x:v>
      </x:c>
      <x:c r="H1720" s="42" t="n">
        <x:v>236285.84</x:v>
      </x:c>
      <x:c r="I1720" s="39" t="n">
        <x:v>46190</x:v>
      </x:c>
    </x:row>
    <x:row r="1721">
      <x:c r="A1721" s="21" t="str">
        <x:v>SYN-0491</x:v>
      </x:c>
      <x:c r="B1721" s="21" t="str">
        <x:v>Synthetic Supplier 0491 LLC</x:v>
      </x:c>
      <x:c r="C1721" s="38" t="str">
        <x:f>"900 000 000 000 491"</x:f>
        <x:v>900 000 000 000 491</x:v>
      </x:c>
      <x:c r="D1721" s="21" t="str">
        <x:v>SYN-0491-INV-05</x:v>
      </x:c>
      <x:c r="E1721" s="39" t="n">
        <x:v>46070</x:v>
      </x:c>
      <x:c r="F1721" s="42" t="n">
        <x:v>35677.32</x:v>
      </x:c>
      <x:c r="G1721" s="42" t="n">
        <x:v>1783.87</x:v>
      </x:c>
      <x:c r="H1721" s="42" t="n">
        <x:v>236285.84</x:v>
      </x:c>
      <x:c r="I1721" s="39" t="n">
        <x:v>46190</x:v>
      </x:c>
    </x:row>
    <x:row r="1722">
      <x:c r="A1722" s="21" t="str">
        <x:v>SYN-0492</x:v>
      </x:c>
      <x:c r="B1722" s="21" t="str">
        <x:v>Synthetic Supplier 0492 LLC</x:v>
      </x:c>
      <x:c r="C1722" s="38" t="str">
        <x:f>"900 000 000 000 492"</x:f>
        <x:v>900 000 000 000 492</x:v>
      </x:c>
      <x:c r="D1722" s="21" t="str">
        <x:v>SYN-0492-INV-01</x:v>
      </x:c>
      <x:c r="E1722" s="39" t="n">
        <x:v>46255</x:v>
      </x:c>
      <x:c r="F1722" s="42" t="n">
        <x:v>57844.99</x:v>
      </x:c>
      <x:c r="G1722" s="42" t="n">
        <x:v>2892.25</x:v>
      </x:c>
      <x:c r="H1722" s="42" t="n">
        <x:v>127361.88</x:v>
      </x:c>
      <x:c r="I1722" s="39" t="n">
        <x:v>45856</x:v>
      </x:c>
    </x:row>
    <x:row r="1723">
      <x:c r="A1723" s="21" t="str">
        <x:v>SYN-0492</x:v>
      </x:c>
      <x:c r="B1723" s="21" t="str">
        <x:v>Synthetic Supplier 0492 LLC</x:v>
      </x:c>
      <x:c r="C1723" s="38" t="str">
        <x:f>"900 000 000 000 492"</x:f>
        <x:v>900 000 000 000 492</x:v>
      </x:c>
      <x:c r="D1723" s="21" t="str">
        <x:v>SYN-0492-INV-02</x:v>
      </x:c>
      <x:c r="E1723" s="39" t="n">
        <x:v>45942</x:v>
      </x:c>
      <x:c r="F1723" s="42" t="n">
        <x:v>83668.22</x:v>
      </x:c>
      <x:c r="G1723" s="42" t="n">
        <x:v>4183.41</x:v>
      </x:c>
      <x:c r="H1723" s="42" t="n">
        <x:v>127361.88</x:v>
      </x:c>
      <x:c r="I1723" s="39" t="n">
        <x:v>45856</x:v>
      </x:c>
    </x:row>
    <x:row r="1724">
      <x:c r="A1724" s="21" t="str">
        <x:v>SYN-0493</x:v>
      </x:c>
      <x:c r="B1724" s="21" t="str">
        <x:v>Synthetic Supplier 0493 LLC</x:v>
      </x:c>
      <x:c r="C1724" s="38" t="str">
        <x:f>"900 000 000 000 493"</x:f>
        <x:v>900 000 000 000 493</x:v>
      </x:c>
      <x:c r="D1724" s="21" t="str">
        <x:v>SYN-0493-INV-01</x:v>
      </x:c>
      <x:c r="E1724" s="39" t="n">
        <x:v>46268</x:v>
      </x:c>
      <x:c r="F1724" s="42" t="n">
        <x:v>59943.65</x:v>
      </x:c>
      <x:c r="G1724" s="42" t="n">
        <x:v>2997.18</x:v>
      </x:c>
      <x:c r="H1724" s="42" t="n">
        <x:v>195748.49</x:v>
      </x:c>
      <x:c r="I1724" s="39" t="n">
        <x:v>46253</x:v>
      </x:c>
    </x:row>
    <x:row r="1725">
      <x:c r="A1725" s="21" t="str">
        <x:v>SYN-0493</x:v>
      </x:c>
      <x:c r="B1725" s="21" t="str">
        <x:v>Synthetic Supplier 0493 LLC</x:v>
      </x:c>
      <x:c r="C1725" s="38" t="str">
        <x:f>"900 000 000 000 493"</x:f>
        <x:v>900 000 000 000 493</x:v>
      </x:c>
      <x:c r="D1725" s="21" t="str">
        <x:v>SYN-0493-INV-02</x:v>
      </x:c>
      <x:c r="E1725" s="39" t="n">
        <x:v>45955</x:v>
      </x:c>
      <x:c r="F1725" s="42" t="n">
        <x:v>75563.55</x:v>
      </x:c>
      <x:c r="G1725" s="42" t="n">
        <x:v>3778.18</x:v>
      </x:c>
      <x:c r="H1725" s="42" t="n">
        <x:v>195748.49</x:v>
      </x:c>
      <x:c r="I1725" s="39" t="n">
        <x:v>46253</x:v>
      </x:c>
    </x:row>
    <x:row r="1726">
      <x:c r="A1726" s="21" t="str">
        <x:v>SYN-0493</x:v>
      </x:c>
      <x:c r="B1726" s="21" t="str">
        <x:v>Synthetic Supplier 0493 LLC</x:v>
      </x:c>
      <x:c r="C1726" s="38" t="str">
        <x:f>"900 000 000 000 493"</x:f>
        <x:v>900 000 000 000 493</x:v>
      </x:c>
      <x:c r="D1726" s="21" t="str">
        <x:v>SYN-0493-INV-03</x:v>
      </x:c>
      <x:c r="E1726" s="39" t="n">
        <x:v>46002</x:v>
      </x:c>
      <x:c r="F1726" s="42" t="n">
        <x:v>81991.12</x:v>
      </x:c>
      <x:c r="G1726" s="42" t="n">
        <x:v>4099.56</x:v>
      </x:c>
      <x:c r="H1726" s="42" t="n">
        <x:v>195748.49</x:v>
      </x:c>
      <x:c r="I1726" s="39" t="n">
        <x:v>46253</x:v>
      </x:c>
    </x:row>
    <x:row r="1727">
      <x:c r="A1727" s="21" t="str">
        <x:v>SYN-0494</x:v>
      </x:c>
      <x:c r="B1727" s="21" t="str">
        <x:v>Synthetic Supplier 0494 LLC</x:v>
      </x:c>
      <x:c r="C1727" s="38" t="str">
        <x:f>"900 000 000 000 494"</x:f>
        <x:v>900 000 000 000 494</x:v>
      </x:c>
      <x:c r="D1727" s="21" t="str">
        <x:v>SYN-0494-INV-01</x:v>
      </x:c>
      <x:c r="E1727" s="39" t="n">
        <x:v>46281</x:v>
      </x:c>
      <x:c r="F1727" s="42" t="n">
        <x:v>92451.38</x:v>
      </x:c>
      <x:c r="G1727" s="42" t="n">
        <x:v>4622.57</x:v>
      </x:c>
      <x:c r="H1727" s="42" t="n">
        <x:v>299783.61</x:v>
      </x:c>
      <x:c r="I1727" s="39" t="n">
        <x:v>45920</x:v>
      </x:c>
    </x:row>
    <x:row r="1728">
      <x:c r="A1728" s="21" t="str">
        <x:v>SYN-0494</x:v>
      </x:c>
      <x:c r="B1728" s="21" t="str">
        <x:v>Synthetic Supplier 0494 LLC</x:v>
      </x:c>
      <x:c r="C1728" s="38" t="str">
        <x:f>"900 000 000 000 494"</x:f>
        <x:v>900 000 000 000 494</x:v>
      </x:c>
      <x:c r="D1728" s="21" t="str">
        <x:v>SYN-0494-INV-02</x:v>
      </x:c>
      <x:c r="E1728" s="39" t="n">
        <x:v>45968</x:v>
      </x:c>
      <x:c r="F1728" s="42" t="n">
        <x:v>87827.88</x:v>
      </x:c>
      <x:c r="G1728" s="42" t="n">
        <x:v>4391.39</x:v>
      </x:c>
      <x:c r="H1728" s="42" t="n">
        <x:v>299783.61</x:v>
      </x:c>
      <x:c r="I1728" s="39" t="n">
        <x:v>45920</x:v>
      </x:c>
    </x:row>
    <x:row r="1729">
      <x:c r="A1729" s="21" t="str">
        <x:v>SYN-0494</x:v>
      </x:c>
      <x:c r="B1729" s="21" t="str">
        <x:v>Synthetic Supplier 0494 LLC</x:v>
      </x:c>
      <x:c r="C1729" s="38" t="str">
        <x:f>"900 000 000 000 494"</x:f>
        <x:v>900 000 000 000 494</x:v>
      </x:c>
      <x:c r="D1729" s="21" t="str">
        <x:v>SYN-0494-INV-03</x:v>
      </x:c>
      <x:c r="E1729" s="39" t="n">
        <x:v>46015</x:v>
      </x:c>
      <x:c r="F1729" s="42" t="n">
        <x:v>91581.83</x:v>
      </x:c>
      <x:c r="G1729" s="42" t="n">
        <x:v>4579.09</x:v>
      </x:c>
      <x:c r="H1729" s="42" t="n">
        <x:v>299783.61</x:v>
      </x:c>
      <x:c r="I1729" s="39" t="n">
        <x:v>45920</x:v>
      </x:c>
    </x:row>
    <x:row r="1730">
      <x:c r="A1730" s="21" t="str">
        <x:v>SYN-0494</x:v>
      </x:c>
      <x:c r="B1730" s="21" t="str">
        <x:v>Synthetic Supplier 0494 LLC</x:v>
      </x:c>
      <x:c r="C1730" s="38" t="str">
        <x:f>"900 000 000 000 494"</x:f>
        <x:v>900 000 000 000 494</x:v>
      </x:c>
      <x:c r="D1730" s="21" t="str">
        <x:v>SYN-0494-INV-04</x:v>
      </x:c>
      <x:c r="E1730" s="39" t="n">
        <x:v>46062</x:v>
      </x:c>
      <x:c r="F1730" s="42" t="n">
        <x:v>61231.81</x:v>
      </x:c>
      <x:c r="G1730" s="42" t="n">
        <x:v>3061.59</x:v>
      </x:c>
      <x:c r="H1730" s="42" t="n">
        <x:v>299783.61</x:v>
      </x:c>
      <x:c r="I1730" s="39" t="n">
        <x:v>45920</x:v>
      </x:c>
    </x:row>
    <x:row r="1731">
      <x:c r="A1731" s="21" t="str">
        <x:v>SYN-0495</x:v>
      </x:c>
      <x:c r="B1731" s="21" t="str">
        <x:v>Synthetic Supplier 0495 LLC</x:v>
      </x:c>
      <x:c r="C1731" s="38" t="str">
        <x:f>"900 000 000 000 495"</x:f>
        <x:v>900 000 000 000 495</x:v>
      </x:c>
      <x:c r="D1731" s="21" t="str">
        <x:v>SYN-0495-INV-01</x:v>
      </x:c>
      <x:c r="E1731" s="39" t="n">
        <x:v>45934</x:v>
      </x:c>
      <x:c r="F1731" s="42" t="n">
        <x:v>57216.57</x:v>
      </x:c>
      <x:c r="G1731" s="42" t="n">
        <x:v>2860.83</x:v>
      </x:c>
      <x:c r="H1731" s="42" t="n">
        <x:v>201229.89</x:v>
      </x:c>
      <x:c r="I1731" s="39"/>
    </x:row>
    <x:row r="1732">
      <x:c r="A1732" s="21" t="str">
        <x:v>SYN-0495</x:v>
      </x:c>
      <x:c r="B1732" s="21" t="str">
        <x:v>Synthetic Supplier 0495 LLC</x:v>
      </x:c>
      <x:c r="C1732" s="38" t="str">
        <x:f>"900 000 000 000 495"</x:f>
        <x:v>900 000 000 000 495</x:v>
      </x:c>
      <x:c r="D1732" s="21" t="str">
        <x:v>SYN-0495-INV-02</x:v>
      </x:c>
      <x:c r="E1732" s="39" t="n">
        <x:v>45981</x:v>
      </x:c>
      <x:c r="F1732" s="42" t="n">
        <x:v>47747.08</x:v>
      </x:c>
      <x:c r="G1732" s="42" t="n">
        <x:v>2387.35</x:v>
      </x:c>
      <x:c r="H1732" s="42" t="n">
        <x:v>201229.89</x:v>
      </x:c>
      <x:c r="I1732" s="39"/>
    </x:row>
    <x:row r="1733">
      <x:c r="A1733" s="21" t="str">
        <x:v>SYN-0495</x:v>
      </x:c>
      <x:c r="B1733" s="21" t="str">
        <x:v>Synthetic Supplier 0495 LLC</x:v>
      </x:c>
      <x:c r="C1733" s="38" t="str">
        <x:f>"900 000 000 000 495"</x:f>
        <x:v>900 000 000 000 495</x:v>
      </x:c>
      <x:c r="D1733" s="21" t="str">
        <x:v>SYN-0495-INV-03</x:v>
      </x:c>
      <x:c r="E1733" s="39" t="n">
        <x:v>46028</x:v>
      </x:c>
      <x:c r="F1733" s="42" t="n">
        <x:v>29907.89</x:v>
      </x:c>
      <x:c r="G1733" s="42" t="n">
        <x:v>1495.39</x:v>
      </x:c>
      <x:c r="H1733" s="42" t="n">
        <x:v>201229.89</x:v>
      </x:c>
      <x:c r="I1733" s="39"/>
    </x:row>
    <x:row r="1734">
      <x:c r="A1734" s="21" t="str">
        <x:v>SYN-0495</x:v>
      </x:c>
      <x:c r="B1734" s="21" t="str">
        <x:v>Synthetic Supplier 0495 LLC</x:v>
      </x:c>
      <x:c r="C1734" s="38" t="str">
        <x:f>"900 000 000 000 495"</x:f>
        <x:v>900 000 000 000 495</x:v>
      </x:c>
      <x:c r="D1734" s="21" t="str">
        <x:v>SYN-0495-INV-04</x:v>
      </x:c>
      <x:c r="E1734" s="39" t="n">
        <x:v>46075</x:v>
      </x:c>
      <x:c r="F1734" s="42" t="n">
        <x:v>49301.07</x:v>
      </x:c>
      <x:c r="G1734" s="42" t="n">
        <x:v>2465.05</x:v>
      </x:c>
      <x:c r="H1734" s="42" t="n">
        <x:v>201229.89</x:v>
      </x:c>
      <x:c r="I1734" s="39"/>
    </x:row>
    <x:row r="1735">
      <x:c r="A1735" s="21" t="str">
        <x:v>SYN-0495</x:v>
      </x:c>
      <x:c r="B1735" s="21" t="str">
        <x:v>Synthetic Supplier 0495 LLC</x:v>
      </x:c>
      <x:c r="C1735" s="38" t="str">
        <x:f>"900 000 000 000 495"</x:f>
        <x:v>900 000 000 000 495</x:v>
      </x:c>
      <x:c r="D1735" s="21" t="str">
        <x:v>SYN-0495-INV-05</x:v>
      </x:c>
      <x:c r="E1735" s="39" t="n">
        <x:v>46122</x:v>
      </x:c>
      <x:c r="F1735" s="42" t="n">
        <x:v>39416.15</x:v>
      </x:c>
      <x:c r="G1735" s="42" t="n">
        <x:v>1970.81</x:v>
      </x:c>
      <x:c r="H1735" s="42" t="n">
        <x:v>201229.89</x:v>
      </x:c>
      <x:c r="I1735" s="39"/>
    </x:row>
    <x:row r="1736">
      <x:c r="A1736" s="21" t="str">
        <x:v>SYN-0496</x:v>
      </x:c>
      <x:c r="B1736" s="21" t="str">
        <x:v>Synthetic Supplier 0496 LLC</x:v>
      </x:c>
      <x:c r="C1736" s="38" t="str">
        <x:f>"900 000 000 000 496"</x:f>
        <x:v>900 000 000 000 496</x:v>
      </x:c>
      <x:c r="D1736" s="21" t="str">
        <x:v>SYN-0496-INV-01</x:v>
      </x:c>
      <x:c r="E1736" s="39" t="n">
        <x:v>45947</x:v>
      </x:c>
      <x:c r="F1736" s="42" t="n">
        <x:v>147792.72</x:v>
      </x:c>
      <x:c r="G1736" s="42" t="n">
        <x:v>7389.64</x:v>
      </x:c>
      <x:c r="H1736" s="42" t="n">
        <x:v>265057.31</x:v>
      </x:c>
      <x:c r="I1736" s="39" t="n">
        <x:v>45710</x:v>
      </x:c>
    </x:row>
    <x:row r="1737">
      <x:c r="A1737" s="21" t="str">
        <x:v>SYN-0496</x:v>
      </x:c>
      <x:c r="B1737" s="21" t="str">
        <x:v>Synthetic Supplier 0496 LLC</x:v>
      </x:c>
      <x:c r="C1737" s="38" t="str">
        <x:f>"900 000 000 000 496"</x:f>
        <x:v>900 000 000 000 496</x:v>
      </x:c>
      <x:c r="D1737" s="21" t="str">
        <x:v>SYN-0496-INV-02</x:v>
      </x:c>
      <x:c r="E1737" s="39" t="n">
        <x:v>45994</x:v>
      </x:c>
      <x:c r="F1737" s="42" t="n">
        <x:v>146715.4</x:v>
      </x:c>
      <x:c r="G1737" s="42" t="n">
        <x:v>7335.77</x:v>
      </x:c>
      <x:c r="H1737" s="42" t="n">
        <x:v>265057.31</x:v>
      </x:c>
      <x:c r="I1737" s="39" t="n">
        <x:v>45710</x:v>
      </x:c>
    </x:row>
    <x:row r="1738">
      <x:c r="A1738" s="21" t="str">
        <x:v>SYN-0497</x:v>
      </x:c>
      <x:c r="B1738" s="21" t="str">
        <x:v>Synthetic Supplier 0497 LLC</x:v>
      </x:c>
      <x:c r="C1738" s="38" t="str">
        <x:f>"900 000 000 000 497"</x:f>
        <x:v>900 000 000 000 497</x:v>
      </x:c>
      <x:c r="D1738" s="21" t="str">
        <x:v>SYN-0497-INV-01</x:v>
      </x:c>
      <x:c r="E1738" s="39" t="n">
        <x:v>45960</x:v>
      </x:c>
      <x:c r="F1738" s="42" t="n">
        <x:v>40716.69</x:v>
      </x:c>
      <x:c r="G1738" s="42" t="n">
        <x:v>2035.83</x:v>
      </x:c>
      <x:c r="H1738" s="42" t="n">
        <x:v>179734.29</x:v>
      </x:c>
      <x:c r="I1738" s="39" t="n">
        <x:v>46104</x:v>
      </x:c>
    </x:row>
    <x:row r="1739">
      <x:c r="A1739" s="21" t="str">
        <x:v>SYN-0497</x:v>
      </x:c>
      <x:c r="B1739" s="21" t="str">
        <x:v>Synthetic Supplier 0497 LLC</x:v>
      </x:c>
      <x:c r="C1739" s="38" t="str">
        <x:f>"900 000 000 000 497"</x:f>
        <x:v>900 000 000 000 497</x:v>
      </x:c>
      <x:c r="D1739" s="21" t="str">
        <x:v>SYN-0497-INV-02</x:v>
      </x:c>
      <x:c r="E1739" s="39" t="n">
        <x:v>46007</x:v>
      </x:c>
      <x:c r="F1739" s="42" t="n">
        <x:v>68062.54</x:v>
      </x:c>
      <x:c r="G1739" s="42" t="n">
        <x:v>3403.13</x:v>
      </x:c>
      <x:c r="H1739" s="42" t="n">
        <x:v>179734.29</x:v>
      </x:c>
      <x:c r="I1739" s="39" t="n">
        <x:v>46104</x:v>
      </x:c>
    </x:row>
    <x:row r="1740">
      <x:c r="A1740" s="21" t="str">
        <x:v>SYN-0497</x:v>
      </x:c>
      <x:c r="B1740" s="21" t="str">
        <x:v>Synthetic Supplier 0497 LLC</x:v>
      </x:c>
      <x:c r="C1740" s="38" t="str">
        <x:f>"900 000 000 000 497"</x:f>
        <x:v>900 000 000 000 497</x:v>
      </x:c>
      <x:c r="D1740" s="21" t="str">
        <x:v>SYN-0497-INV-03</x:v>
      </x:c>
      <x:c r="E1740" s="39" t="n">
        <x:v>46054</x:v>
      </x:c>
      <x:c r="F1740" s="42" t="n">
        <x:v>47511.46</x:v>
      </x:c>
      <x:c r="G1740" s="42" t="n">
        <x:v>2375.57</x:v>
      </x:c>
      <x:c r="H1740" s="42" t="n">
        <x:v>179734.29</x:v>
      </x:c>
      <x:c r="I1740" s="39" t="n">
        <x:v>46104</x:v>
      </x:c>
    </x:row>
    <x:row r="1741">
      <x:c r="A1741" s="21" t="str">
        <x:v>SYN-0498</x:v>
      </x:c>
      <x:c r="B1741" s="21" t="str">
        <x:v>Synthetic Supplier 0498 LLC</x:v>
      </x:c>
      <x:c r="C1741" s="38" t="str">
        <x:f>"900 000 000 000 498"</x:f>
        <x:v>900 000 000 000 498</x:v>
      </x:c>
      <x:c r="D1741" s="21" t="str">
        <x:v>SYN-0498-INV-01</x:v>
      </x:c>
      <x:c r="E1741" s="39" t="n">
        <x:v>45973</x:v>
      </x:c>
      <x:c r="F1741" s="42" t="n">
        <x:v>35155.77</x:v>
      </x:c>
      <x:c r="G1741" s="42" t="n">
        <x:v>1757.79</x:v>
      </x:c>
      <x:c r="H1741" s="42" t="n">
        <x:v>109859.63</x:v>
      </x:c>
      <x:c r="I1741" s="39" t="n">
        <x:v>45771</x:v>
      </x:c>
    </x:row>
    <x:row r="1742">
      <x:c r="A1742" s="21" t="str">
        <x:v>SYN-0498</x:v>
      </x:c>
      <x:c r="B1742" s="21" t="str">
        <x:v>Synthetic Supplier 0498 LLC</x:v>
      </x:c>
      <x:c r="C1742" s="38" t="str">
        <x:f>"900 000 000 000 498"</x:f>
        <x:v>900 000 000 000 498</x:v>
      </x:c>
      <x:c r="D1742" s="21" t="str">
        <x:v>SYN-0498-INV-02</x:v>
      </x:c>
      <x:c r="E1742" s="39" t="n">
        <x:v>46020</x:v>
      </x:c>
      <x:c r="F1742" s="42" t="n">
        <x:v>31762.62</x:v>
      </x:c>
      <x:c r="G1742" s="42" t="n">
        <x:v>1588.13</x:v>
      </x:c>
      <x:c r="H1742" s="42" t="n">
        <x:v>109859.63</x:v>
      </x:c>
      <x:c r="I1742" s="39" t="n">
        <x:v>45771</x:v>
      </x:c>
    </x:row>
    <x:row r="1743">
      <x:c r="A1743" s="21" t="str">
        <x:v>SYN-0498</x:v>
      </x:c>
      <x:c r="B1743" s="21" t="str">
        <x:v>Synthetic Supplier 0498 LLC</x:v>
      </x:c>
      <x:c r="C1743" s="38" t="str">
        <x:f>"900 000 000 000 498"</x:f>
        <x:v>900 000 000 000 498</x:v>
      </x:c>
      <x:c r="D1743" s="21" t="str">
        <x:v>SYN-0498-INV-03</x:v>
      </x:c>
      <x:c r="E1743" s="39" t="n">
        <x:v>46067</x:v>
      </x:c>
      <x:c r="F1743" s="42" t="n">
        <x:v>33876.87</x:v>
      </x:c>
      <x:c r="G1743" s="42" t="n">
        <x:v>1693.84</x:v>
      </x:c>
      <x:c r="H1743" s="42" t="n">
        <x:v>109859.63</x:v>
      </x:c>
      <x:c r="I1743" s="39" t="n">
        <x:v>45771</x:v>
      </x:c>
    </x:row>
    <x:row r="1744">
      <x:c r="A1744" s="21" t="str">
        <x:v>SYN-0498</x:v>
      </x:c>
      <x:c r="B1744" s="21" t="str">
        <x:v>Synthetic Supplier 0498 LLC</x:v>
      </x:c>
      <x:c r="C1744" s="38" t="str">
        <x:f>"900 000 000 000 498"</x:f>
        <x:v>900 000 000 000 498</x:v>
      </x:c>
      <x:c r="D1744" s="21" t="str">
        <x:v>SYN-0498-INV-04</x:v>
      </x:c>
      <x:c r="E1744" s="39" t="n">
        <x:v>46114</x:v>
      </x:c>
      <x:c r="F1744" s="42" t="n">
        <x:v>21270.99</x:v>
      </x:c>
      <x:c r="G1744" s="42" t="n">
        <x:v>1063.55</x:v>
      </x:c>
      <x:c r="H1744" s="42" t="n">
        <x:v>109859.63</x:v>
      </x:c>
      <x:c r="I1744" s="39" t="n">
        <x:v>45771</x:v>
      </x:c>
    </x:row>
    <x:row r="1745">
      <x:c r="A1745" s="21" t="str">
        <x:v>SYN-0499</x:v>
      </x:c>
      <x:c r="B1745" s="21" t="str">
        <x:v>Synthetic Supplier 0499 LLC</x:v>
      </x:c>
      <x:c r="C1745" s="38" t="str">
        <x:f>"900 000 000 000 499"</x:f>
        <x:v>900 000 000 000 499</x:v>
      </x:c>
      <x:c r="D1745" s="21" t="str">
        <x:v>SYN-0499-INV-01</x:v>
      </x:c>
      <x:c r="E1745" s="39" t="n">
        <x:v>45986</x:v>
      </x:c>
      <x:c r="F1745" s="42" t="n">
        <x:v>60406</x:v>
      </x:c>
      <x:c r="G1745" s="42" t="n">
        <x:v>3020.3</x:v>
      </x:c>
      <x:c r="H1745" s="42" t="n">
        <x:v>272388.62</x:v>
      </x:c>
      <x:c r="I1745" s="39" t="n">
        <x:v>46167</x:v>
      </x:c>
    </x:row>
    <x:row r="1746">
      <x:c r="A1746" s="21" t="str">
        <x:v>SYN-0499</x:v>
      </x:c>
      <x:c r="B1746" s="21" t="str">
        <x:v>Synthetic Supplier 0499 LLC</x:v>
      </x:c>
      <x:c r="C1746" s="38" t="str">
        <x:f>"900 000 000 000 499"</x:f>
        <x:v>900 000 000 000 499</x:v>
      </x:c>
      <x:c r="D1746" s="21" t="str">
        <x:v>SYN-0499-INV-02</x:v>
      </x:c>
      <x:c r="E1746" s="39" t="n">
        <x:v>46033</x:v>
      </x:c>
      <x:c r="F1746" s="42" t="n">
        <x:v>44099.71</x:v>
      </x:c>
      <x:c r="G1746" s="42" t="n">
        <x:v>2204.99</x:v>
      </x:c>
      <x:c r="H1746" s="42" t="n">
        <x:v>272388.62</x:v>
      </x:c>
      <x:c r="I1746" s="39" t="n">
        <x:v>46167</x:v>
      </x:c>
    </x:row>
    <x:row r="1747">
      <x:c r="A1747" s="21" t="str">
        <x:v>SYN-0499</x:v>
      </x:c>
      <x:c r="B1747" s="21" t="str">
        <x:v>Synthetic Supplier 0499 LLC</x:v>
      </x:c>
      <x:c r="C1747" s="38" t="str">
        <x:f>"900 000 000 000 499"</x:f>
        <x:v>900 000 000 000 499</x:v>
      </x:c>
      <x:c r="D1747" s="21" t="str">
        <x:v>SYN-0499-INV-03</x:v>
      </x:c>
      <x:c r="E1747" s="39" t="n">
        <x:v>46080</x:v>
      </x:c>
      <x:c r="F1747" s="42" t="n">
        <x:v>57784.61</x:v>
      </x:c>
      <x:c r="G1747" s="42" t="n">
        <x:v>2889.23</x:v>
      </x:c>
      <x:c r="H1747" s="42" t="n">
        <x:v>272388.62</x:v>
      </x:c>
      <x:c r="I1747" s="39" t="n">
        <x:v>46167</x:v>
      </x:c>
    </x:row>
    <x:row r="1748">
      <x:c r="A1748" s="21" t="str">
        <x:v>SYN-0499</x:v>
      </x:c>
      <x:c r="B1748" s="21" t="str">
        <x:v>Synthetic Supplier 0499 LLC</x:v>
      </x:c>
      <x:c r="C1748" s="38" t="str">
        <x:f>"900 000 000 000 499"</x:f>
        <x:v>900 000 000 000 499</x:v>
      </x:c>
      <x:c r="D1748" s="21" t="str">
        <x:v>SYN-0499-INV-04</x:v>
      </x:c>
      <x:c r="E1748" s="39" t="n">
        <x:v>46127</x:v>
      </x:c>
      <x:c r="F1748" s="42" t="n">
        <x:v>63766.69</x:v>
      </x:c>
      <x:c r="G1748" s="42" t="n">
        <x:v>3188.33</x:v>
      </x:c>
      <x:c r="H1748" s="42" t="n">
        <x:v>272388.62</x:v>
      </x:c>
      <x:c r="I1748" s="39" t="n">
        <x:v>46167</x:v>
      </x:c>
    </x:row>
    <x:row r="1749">
      <x:c r="A1749" s="21" t="str">
        <x:v>SYN-0499</x:v>
      </x:c>
      <x:c r="B1749" s="21" t="str">
        <x:v>Synthetic Supplier 0499 LLC</x:v>
      </x:c>
      <x:c r="C1749" s="38" t="str">
        <x:f>"900 000 000 000 499"</x:f>
        <x:v>900 000 000 000 499</x:v>
      </x:c>
      <x:c r="D1749" s="21" t="str">
        <x:v>SYN-0499-INV-05</x:v>
      </x:c>
      <x:c r="E1749" s="39" t="n">
        <x:v>46174</x:v>
      </x:c>
      <x:c r="F1749" s="42" t="n">
        <x:v>76597.01</x:v>
      </x:c>
      <x:c r="G1749" s="42" t="n">
        <x:v>3829.85</x:v>
      </x:c>
      <x:c r="H1749" s="42" t="n">
        <x:v>272388.62</x:v>
      </x:c>
      <x:c r="I1749" s="39" t="n">
        <x:v>46167</x:v>
      </x:c>
    </x:row>
    <x:row r="1750">
      <x:c r="A1750" s="21" t="str">
        <x:v>SYN-0500</x:v>
      </x:c>
      <x:c r="B1750" s="21" t="str">
        <x:v>Synthetic Supplier 0500 LLC</x:v>
      </x:c>
      <x:c r="C1750" s="38" t="str">
        <x:f>"900 000 000 000 500"</x:f>
        <x:v>900 000 000 000 500</x:v>
      </x:c>
      <x:c r="D1750" s="21" t="str">
        <x:v>SYN-0500-INV-01</x:v>
      </x:c>
      <x:c r="E1750" s="39" t="n">
        <x:v>45999</x:v>
      </x:c>
      <x:c r="F1750" s="42" t="n">
        <x:v>166918.82</x:v>
      </x:c>
      <x:c r="G1750" s="42" t="n">
        <x:v>8345.94</x:v>
      </x:c>
      <x:c r="H1750" s="42" t="n">
        <x:v>235276.58</x:v>
      </x:c>
      <x:c r="I1750" s="39"/>
    </x:row>
    <x:row r="1751">
      <x:c r="A1751" s="21" t="str">
        <x:v>SYN-0500</x:v>
      </x:c>
      <x:c r="B1751" s="21" t="str">
        <x:v>Synthetic Supplier 0500 LLC</x:v>
      </x:c>
      <x:c r="C1751" s="38" t="str">
        <x:f>"900 000 000 000 500"</x:f>
        <x:v>900 000 000 000 500</x:v>
      </x:c>
      <x:c r="D1751" s="21" t="str">
        <x:v>SYN-0500-INV-02</x:v>
      </x:c>
      <x:c r="E1751" s="39" t="n">
        <x:v>46046</x:v>
      </x:c>
      <x:c r="F1751" s="42" t="n">
        <x:v>94499.6</x:v>
      </x:c>
      <x:c r="G1751" s="42" t="n">
        <x:v>4724.98</x:v>
      </x:c>
      <x:c r="H1751" s="42" t="n">
        <x:v>235276.58</x:v>
      </x:c>
      <x:c r="I1751" s="39"/>
    </x:row>
    <x:row r="1752">
      <x:c r="A1752" s="21" t="str">
        <x:v>SYN-0501</x:v>
      </x:c>
      <x:c r="B1752" s="21" t="str">
        <x:v>Synthetic Supplier 0501 LLC</x:v>
      </x:c>
      <x:c r="C1752" s="38" t="str">
        <x:f>"900 000 000 000 501"</x:f>
        <x:v>900 000 000 000 501</x:v>
      </x:c>
      <x:c r="D1752" s="21" t="str">
        <x:v>SYN-0501-INV-01</x:v>
      </x:c>
      <x:c r="E1752" s="39" t="n">
        <x:v>46012</x:v>
      </x:c>
      <x:c r="F1752" s="42" t="n">
        <x:v>128625.66</x:v>
      </x:c>
      <x:c r="G1752" s="42" t="n">
        <x:v>6431.28</x:v>
      </x:c>
      <x:c r="H1752" s="42" t="n">
        <x:v>305547.82</x:v>
      </x:c>
      <x:c r="I1752" s="39" t="n">
        <x:v>46205</x:v>
      </x:c>
    </x:row>
    <x:row r="1753">
      <x:c r="A1753" s="21" t="str">
        <x:v>SYN-0501</x:v>
      </x:c>
      <x:c r="B1753" s="21" t="str">
        <x:v>Synthetic Supplier 0501 LLC</x:v>
      </x:c>
      <x:c r="C1753" s="38" t="str">
        <x:f>"900 000 000 000 501"</x:f>
        <x:v>900 000 000 000 501</x:v>
      </x:c>
      <x:c r="D1753" s="21" t="str">
        <x:v>SYN-0501-INV-02</x:v>
      </x:c>
      <x:c r="E1753" s="39" t="n">
        <x:v>46059</x:v>
      </x:c>
      <x:c r="F1753" s="42" t="n">
        <x:v>91425.05</x:v>
      </x:c>
      <x:c r="G1753" s="42" t="n">
        <x:v>4571.25</x:v>
      </x:c>
      <x:c r="H1753" s="42" t="n">
        <x:v>305547.82</x:v>
      </x:c>
      <x:c r="I1753" s="39" t="n">
        <x:v>46205</x:v>
      </x:c>
    </x:row>
    <x:row r="1754">
      <x:c r="A1754" s="21" t="str">
        <x:v>SYN-0501</x:v>
      </x:c>
      <x:c r="B1754" s="21" t="str">
        <x:v>Synthetic Supplier 0501 LLC</x:v>
      </x:c>
      <x:c r="C1754" s="38" t="str">
        <x:f>"900 000 000 000 501"</x:f>
        <x:v>900 000 000 000 501</x:v>
      </x:c>
      <x:c r="D1754" s="21" t="str">
        <x:v>SYN-0501-INV-03</x:v>
      </x:c>
      <x:c r="E1754" s="39" t="n">
        <x:v>46106</x:v>
      </x:c>
      <x:c r="F1754" s="42" t="n">
        <x:v>119446.86</x:v>
      </x:c>
      <x:c r="G1754" s="42" t="n">
        <x:v>5972.34</x:v>
      </x:c>
      <x:c r="H1754" s="42" t="n">
        <x:v>305547.82</x:v>
      </x:c>
      <x:c r="I1754" s="39" t="n">
        <x:v>46205</x:v>
      </x:c>
    </x:row>
    <x:row r="1755">
      <x:c r="A1755" s="21" t="str">
        <x:v>SYN-0502</x:v>
      </x:c>
      <x:c r="B1755" s="21" t="str">
        <x:v>Synthetic Supplier 0502 LLC</x:v>
      </x:c>
      <x:c r="C1755" s="38" t="str">
        <x:f>"900 000 000 000 502"</x:f>
        <x:v>900 000 000 000 502</x:v>
      </x:c>
      <x:c r="D1755" s="21" t="str">
        <x:v>SYN-0502-INV-01</x:v>
      </x:c>
      <x:c r="E1755" s="39" t="n">
        <x:v>46025</x:v>
      </x:c>
      <x:c r="F1755" s="42" t="n">
        <x:v>61370.4</x:v>
      </x:c>
      <x:c r="G1755" s="42" t="n">
        <x:v>3068.52</x:v>
      </x:c>
      <x:c r="H1755" s="42" t="n">
        <x:v>241380.37</x:v>
      </x:c>
      <x:c r="I1755" s="39" t="n">
        <x:v>45872</x:v>
      </x:c>
    </x:row>
    <x:row r="1756">
      <x:c r="A1756" s="21" t="str">
        <x:v>SYN-0502</x:v>
      </x:c>
      <x:c r="B1756" s="21" t="str">
        <x:v>Synthetic Supplier 0502 LLC</x:v>
      </x:c>
      <x:c r="C1756" s="38" t="str">
        <x:f>"900 000 000 000 502"</x:f>
        <x:v>900 000 000 000 502</x:v>
      </x:c>
      <x:c r="D1756" s="21" t="str">
        <x:v>SYN-0502-INV-02</x:v>
      </x:c>
      <x:c r="E1756" s="39" t="n">
        <x:v>46072</x:v>
      </x:c>
      <x:c r="F1756" s="42" t="n">
        <x:v>80422.45</x:v>
      </x:c>
      <x:c r="G1756" s="42" t="n">
        <x:v>4021.12</x:v>
      </x:c>
      <x:c r="H1756" s="42" t="n">
        <x:v>241380.37</x:v>
      </x:c>
      <x:c r="I1756" s="39" t="n">
        <x:v>45872</x:v>
      </x:c>
    </x:row>
    <x:row r="1757">
      <x:c r="A1757" s="21" t="str">
        <x:v>SYN-0502</x:v>
      </x:c>
      <x:c r="B1757" s="21" t="str">
        <x:v>Synthetic Supplier 0502 LLC</x:v>
      </x:c>
      <x:c r="C1757" s="38" t="str">
        <x:f>"900 000 000 000 502"</x:f>
        <x:v>900 000 000 000 502</x:v>
      </x:c>
      <x:c r="D1757" s="21" t="str">
        <x:v>SYN-0502-INV-03</x:v>
      </x:c>
      <x:c r="E1757" s="39" t="n">
        <x:v>46119</x:v>
      </x:c>
      <x:c r="F1757" s="42" t="n">
        <x:v>79560.15</x:v>
      </x:c>
      <x:c r="G1757" s="42" t="n">
        <x:v>3978.01</x:v>
      </x:c>
      <x:c r="H1757" s="42" t="n">
        <x:v>241380.37</x:v>
      </x:c>
      <x:c r="I1757" s="39" t="n">
        <x:v>45872</x:v>
      </x:c>
    </x:row>
    <x:row r="1758">
      <x:c r="A1758" s="21" t="str">
        <x:v>SYN-0502</x:v>
      </x:c>
      <x:c r="B1758" s="21" t="str">
        <x:v>Synthetic Supplier 0502 LLC</x:v>
      </x:c>
      <x:c r="C1758" s="38" t="str">
        <x:f>"900 000 000 000 502"</x:f>
        <x:v>900 000 000 000 502</x:v>
      </x:c>
      <x:c r="D1758" s="21" t="str">
        <x:v>SYN-0502-INV-04</x:v>
      </x:c>
      <x:c r="E1758" s="39" t="n">
        <x:v>46166</x:v>
      </x:c>
      <x:c r="F1758" s="42" t="n">
        <x:v>46847.41</x:v>
      </x:c>
      <x:c r="G1758" s="42" t="n">
        <x:v>2342.37</x:v>
      </x:c>
      <x:c r="H1758" s="42" t="n">
        <x:v>241380.37</x:v>
      </x:c>
      <x:c r="I1758" s="39" t="n">
        <x:v>45872</x:v>
      </x:c>
    </x:row>
    <x:row r="1759">
      <x:c r="A1759" s="21" t="str">
        <x:v>SYN-0503</x:v>
      </x:c>
      <x:c r="B1759" s="21" t="str">
        <x:v>Synthetic Supplier 0503 LLC</x:v>
      </x:c>
      <x:c r="C1759" s="38" t="str">
        <x:f>"900 000 000 000 503"</x:f>
        <x:v>900 000 000 000 503</x:v>
      </x:c>
      <x:c r="D1759" s="21" t="str">
        <x:v>SYN-0503-INV-01</x:v>
      </x:c>
      <x:c r="E1759" s="39" t="n">
        <x:v>46038</x:v>
      </x:c>
      <x:c r="F1759" s="42" t="n">
        <x:v>60211.55</x:v>
      </x:c>
      <x:c r="G1759" s="42" t="n">
        <x:v>3010.58</x:v>
      </x:c>
      <x:c r="H1759" s="42" t="n">
        <x:v>299206.51</x:v>
      </x:c>
      <x:c r="I1759" s="39" t="n">
        <x:v>46269</x:v>
      </x:c>
    </x:row>
    <x:row r="1760">
      <x:c r="A1760" s="21" t="str">
        <x:v>SYN-0503</x:v>
      </x:c>
      <x:c r="B1760" s="21" t="str">
        <x:v>Synthetic Supplier 0503 LLC</x:v>
      </x:c>
      <x:c r="C1760" s="38" t="str">
        <x:f>"900 000 000 000 503"</x:f>
        <x:v>900 000 000 000 503</x:v>
      </x:c>
      <x:c r="D1760" s="21" t="str">
        <x:v>SYN-0503-INV-02</x:v>
      </x:c>
      <x:c r="E1760" s="39" t="n">
        <x:v>46085</x:v>
      </x:c>
      <x:c r="F1760" s="42" t="n">
        <x:v>59370.56</x:v>
      </x:c>
      <x:c r="G1760" s="42" t="n">
        <x:v>2968.53</x:v>
      </x:c>
      <x:c r="H1760" s="42" t="n">
        <x:v>299206.51</x:v>
      </x:c>
      <x:c r="I1760" s="39" t="n">
        <x:v>46269</x:v>
      </x:c>
    </x:row>
    <x:row r="1761">
      <x:c r="A1761" s="21" t="str">
        <x:v>SYN-0503</x:v>
      </x:c>
      <x:c r="B1761" s="21" t="str">
        <x:v>Synthetic Supplier 0503 LLC</x:v>
      </x:c>
      <x:c r="C1761" s="38" t="str">
        <x:f>"900 000 000 000 503"</x:f>
        <x:v>900 000 000 000 503</x:v>
      </x:c>
      <x:c r="D1761" s="21" t="str">
        <x:v>SYN-0503-INV-03</x:v>
      </x:c>
      <x:c r="E1761" s="39" t="n">
        <x:v>46132</x:v>
      </x:c>
      <x:c r="F1761" s="42" t="n">
        <x:v>100961.72</x:v>
      </x:c>
      <x:c r="G1761" s="42" t="n">
        <x:v>5048.09</x:v>
      </x:c>
      <x:c r="H1761" s="42" t="n">
        <x:v>299206.51</x:v>
      </x:c>
      <x:c r="I1761" s="39" t="n">
        <x:v>46269</x:v>
      </x:c>
    </x:row>
    <x:row r="1762">
      <x:c r="A1762" s="21" t="str">
        <x:v>SYN-0503</x:v>
      </x:c>
      <x:c r="B1762" s="21" t="str">
        <x:v>Synthetic Supplier 0503 LLC</x:v>
      </x:c>
      <x:c r="C1762" s="38" t="str">
        <x:f>"900 000 000 000 503"</x:f>
        <x:v>900 000 000 000 503</x:v>
      </x:c>
      <x:c r="D1762" s="21" t="str">
        <x:v>SYN-0503-INV-04</x:v>
      </x:c>
      <x:c r="E1762" s="39" t="n">
        <x:v>46179</x:v>
      </x:c>
      <x:c r="F1762" s="42" t="n">
        <x:v>53259.61</x:v>
      </x:c>
      <x:c r="G1762" s="42" t="n">
        <x:v>2662.98</x:v>
      </x:c>
      <x:c r="H1762" s="42" t="n">
        <x:v>299206.51</x:v>
      </x:c>
      <x:c r="I1762" s="39" t="n">
        <x:v>46269</x:v>
      </x:c>
    </x:row>
    <x:row r="1763">
      <x:c r="A1763" s="21" t="str">
        <x:v>SYN-0503</x:v>
      </x:c>
      <x:c r="B1763" s="21" t="str">
        <x:v>Synthetic Supplier 0503 LLC</x:v>
      </x:c>
      <x:c r="C1763" s="38" t="str">
        <x:f>"900 000 000 000 503"</x:f>
        <x:v>900 000 000 000 503</x:v>
      </x:c>
      <x:c r="D1763" s="21" t="str">
        <x:v>SYN-0503-INV-05</x:v>
      </x:c>
      <x:c r="E1763" s="39" t="n">
        <x:v>46226</x:v>
      </x:c>
      <x:c r="F1763" s="42" t="n">
        <x:v>58648.24</x:v>
      </x:c>
      <x:c r="G1763" s="42" t="n">
        <x:v>2932.41</x:v>
      </x:c>
      <x:c r="H1763" s="42" t="n">
        <x:v>299206.51</x:v>
      </x:c>
      <x:c r="I1763" s="39" t="n">
        <x:v>46269</x:v>
      </x:c>
    </x:row>
    <x:row r="1764">
      <x:c r="A1764" s="21" t="str">
        <x:v>SYN-0504</x:v>
      </x:c>
      <x:c r="B1764" s="21" t="str">
        <x:v>Synthetic Supplier 0504 LLC</x:v>
      </x:c>
      <x:c r="C1764" s="38" t="str">
        <x:f>"900 000 000 000 504"</x:f>
        <x:v>900 000 000 000 504</x:v>
      </x:c>
      <x:c r="D1764" s="21" t="str">
        <x:v>SYN-0504-INV-01</x:v>
      </x:c>
      <x:c r="E1764" s="39" t="n">
        <x:v>46051</x:v>
      </x:c>
      <x:c r="F1764" s="42" t="n">
        <x:v>72321.35</x:v>
      </x:c>
      <x:c r="G1764" s="42" t="n">
        <x:v>3616.07</x:v>
      </x:c>
      <x:c r="H1764" s="42" t="n">
        <x:v>172415.2</x:v>
      </x:c>
      <x:c r="I1764" s="39" t="n">
        <x:v>45662</x:v>
      </x:c>
    </x:row>
    <x:row r="1765">
      <x:c r="A1765" s="21" t="str">
        <x:v>SYN-0504</x:v>
      </x:c>
      <x:c r="B1765" s="21" t="str">
        <x:v>Synthetic Supplier 0504 LLC</x:v>
      </x:c>
      <x:c r="C1765" s="38" t="str">
        <x:f>"900 000 000 000 504"</x:f>
        <x:v>900 000 000 000 504</x:v>
      </x:c>
      <x:c r="D1765" s="21" t="str">
        <x:v>SYN-0504-INV-02</x:v>
      </x:c>
      <x:c r="E1765" s="39" t="n">
        <x:v>46098</x:v>
      </x:c>
      <x:c r="F1765" s="42" t="n">
        <x:v>77604.91</x:v>
      </x:c>
      <x:c r="G1765" s="42" t="n">
        <x:v>3880.25</x:v>
      </x:c>
      <x:c r="H1765" s="42" t="n">
        <x:v>172415.2</x:v>
      </x:c>
      <x:c r="I1765" s="39" t="n">
        <x:v>45662</x:v>
      </x:c>
    </x:row>
    <x:row r="1766">
      <x:c r="A1766" s="21" t="str">
        <x:v>SYN-0505</x:v>
      </x:c>
      <x:c r="B1766" s="21" t="str">
        <x:v>Synthetic Supplier 0505 LLC</x:v>
      </x:c>
      <x:c r="C1766" s="38" t="str">
        <x:f>"900 000 000 000 505"</x:f>
        <x:v>900 000 000 000 505</x:v>
      </x:c>
      <x:c r="D1766" s="21" t="str">
        <x:v>SYN-0505-INV-01</x:v>
      </x:c>
      <x:c r="E1766" s="39" t="n">
        <x:v>46064</x:v>
      </x:c>
      <x:c r="F1766" s="42" t="n">
        <x:v>98598.43</x:v>
      </x:c>
      <x:c r="G1766" s="42" t="n">
        <x:v>4929.92</x:v>
      </x:c>
      <x:c r="H1766" s="42" t="n">
        <x:v>274089.03</x:v>
      </x:c>
      <x:c r="I1766" s="39"/>
    </x:row>
    <x:row r="1767">
      <x:c r="A1767" s="21" t="str">
        <x:v>SYN-0505</x:v>
      </x:c>
      <x:c r="B1767" s="21" t="str">
        <x:v>Synthetic Supplier 0505 LLC</x:v>
      </x:c>
      <x:c r="C1767" s="38" t="str">
        <x:f>"900 000 000 000 505"</x:f>
        <x:v>900 000 000 000 505</x:v>
      </x:c>
      <x:c r="D1767" s="21" t="str">
        <x:v>SYN-0505-INV-02</x:v>
      </x:c>
      <x:c r="E1767" s="39" t="n">
        <x:v>46111</x:v>
      </x:c>
      <x:c r="F1767" s="42" t="n">
        <x:v>103752.1</x:v>
      </x:c>
      <x:c r="G1767" s="42" t="n">
        <x:v>5187.61</x:v>
      </x:c>
      <x:c r="H1767" s="42" t="n">
        <x:v>274089.03</x:v>
      </x:c>
      <x:c r="I1767" s="39"/>
    </x:row>
    <x:row r="1768">
      <x:c r="A1768" s="21" t="str">
        <x:v>SYN-0505</x:v>
      </x:c>
      <x:c r="B1768" s="21" t="str">
        <x:v>Synthetic Supplier 0505 LLC</x:v>
      </x:c>
      <x:c r="C1768" s="38" t="str">
        <x:f>"900 000 000 000 505"</x:f>
        <x:v>900 000 000 000 505</x:v>
      </x:c>
      <x:c r="D1768" s="21" t="str">
        <x:v>SYN-0505-INV-03</x:v>
      </x:c>
      <x:c r="E1768" s="39" t="n">
        <x:v>46158</x:v>
      </x:c>
      <x:c r="F1768" s="42" t="n">
        <x:v>102192.84</x:v>
      </x:c>
      <x:c r="G1768" s="42" t="n">
        <x:v>5109.64</x:v>
      </x:c>
      <x:c r="H1768" s="42" t="n">
        <x:v>274089.03</x:v>
      </x:c>
      <x:c r="I1768" s="39"/>
    </x:row>
    <x:row r="1769">
      <x:c r="A1769" s="21" t="str">
        <x:v>SYN-0506</x:v>
      </x:c>
      <x:c r="B1769" s="21" t="str">
        <x:v>Synthetic Supplier 0506 LLC</x:v>
      </x:c>
      <x:c r="C1769" s="38" t="str">
        <x:f>"900 000 000 000 506"</x:f>
        <x:v>900 000 000 000 506</x:v>
      </x:c>
      <x:c r="D1769" s="21" t="str">
        <x:v>SYN-0506-INV-01</x:v>
      </x:c>
      <x:c r="E1769" s="39" t="n">
        <x:v>46077</x:v>
      </x:c>
      <x:c r="F1769" s="42" t="n">
        <x:v>49027.19</x:v>
      </x:c>
      <x:c r="G1769" s="42" t="n">
        <x:v>2451.36</x:v>
      </x:c>
      <x:c r="H1769" s="42" t="n">
        <x:v>135977.3</x:v>
      </x:c>
      <x:c r="I1769" s="39" t="n">
        <x:v>45723</x:v>
      </x:c>
    </x:row>
    <x:row r="1770">
      <x:c r="A1770" s="21" t="str">
        <x:v>SYN-0506</x:v>
      </x:c>
      <x:c r="B1770" s="21" t="str">
        <x:v>Synthetic Supplier 0506 LLC</x:v>
      </x:c>
      <x:c r="C1770" s="38" t="str">
        <x:f>"900 000 000 000 506"</x:f>
        <x:v>900 000 000 000 506</x:v>
      </x:c>
      <x:c r="D1770" s="21" t="str">
        <x:v>SYN-0506-INV-02</x:v>
      </x:c>
      <x:c r="E1770" s="39" t="n">
        <x:v>46124</x:v>
      </x:c>
      <x:c r="F1770" s="42" t="n">
        <x:v>39610.73</x:v>
      </x:c>
      <x:c r="G1770" s="42" t="n">
        <x:v>1980.54</x:v>
      </x:c>
      <x:c r="H1770" s="42" t="n">
        <x:v>135977.3</x:v>
      </x:c>
      <x:c r="I1770" s="39" t="n">
        <x:v>45723</x:v>
      </x:c>
    </x:row>
    <x:row r="1771">
      <x:c r="A1771" s="21" t="str">
        <x:v>SYN-0506</x:v>
      </x:c>
      <x:c r="B1771" s="21" t="str">
        <x:v>Synthetic Supplier 0506 LLC</x:v>
      </x:c>
      <x:c r="C1771" s="38" t="str">
        <x:f>"900 000 000 000 506"</x:f>
        <x:v>900 000 000 000 506</x:v>
      </x:c>
      <x:c r="D1771" s="21" t="str">
        <x:v>SYN-0506-INV-03</x:v>
      </x:c>
      <x:c r="E1771" s="39" t="n">
        <x:v>46171</x:v>
      </x:c>
      <x:c r="F1771" s="42" t="n">
        <x:v>22657.77</x:v>
      </x:c>
      <x:c r="G1771" s="42" t="n">
        <x:v>1132.89</x:v>
      </x:c>
      <x:c r="H1771" s="42" t="n">
        <x:v>135977.3</x:v>
      </x:c>
      <x:c r="I1771" s="39" t="n">
        <x:v>45723</x:v>
      </x:c>
    </x:row>
    <x:row r="1772">
      <x:c r="A1772" s="21" t="str">
        <x:v>SYN-0506</x:v>
      </x:c>
      <x:c r="B1772" s="21" t="str">
        <x:v>Synthetic Supplier 0506 LLC</x:v>
      </x:c>
      <x:c r="C1772" s="38" t="str">
        <x:f>"900 000 000 000 506"</x:f>
        <x:v>900 000 000 000 506</x:v>
      </x:c>
      <x:c r="D1772" s="21" t="str">
        <x:v>SYN-0506-INV-04</x:v>
      </x:c>
      <x:c r="E1772" s="39" t="n">
        <x:v>46218</x:v>
      </x:c>
      <x:c r="F1772" s="42" t="n">
        <x:v>39790.2</x:v>
      </x:c>
      <x:c r="G1772" s="42" t="n">
        <x:v>1989.51</x:v>
      </x:c>
      <x:c r="H1772" s="42" t="n">
        <x:v>135977.3</x:v>
      </x:c>
      <x:c r="I1772" s="39" t="n">
        <x:v>45723</x:v>
      </x:c>
    </x:row>
    <x:row r="1773">
      <x:c r="A1773" s="21" t="str">
        <x:v>SYN-0507</x:v>
      </x:c>
      <x:c r="B1773" s="21" t="str">
        <x:v>Synthetic Supplier 0507 LLC</x:v>
      </x:c>
      <x:c r="C1773" s="38" t="str">
        <x:f>"900 000 000 000 507"</x:f>
        <x:v>900 000 000 000 507</x:v>
      </x:c>
      <x:c r="D1773" s="21" t="str">
        <x:v>SYN-0507-INV-01</x:v>
      </x:c>
      <x:c r="E1773" s="39" t="n">
        <x:v>46090</x:v>
      </x:c>
      <x:c r="F1773" s="42" t="n">
        <x:v>21051.51</x:v>
      </x:c>
      <x:c r="G1773" s="42" t="n">
        <x:v>1052.58</x:v>
      </x:c>
      <x:c r="H1773" s="42" t="n">
        <x:v>125972.12</x:v>
      </x:c>
      <x:c r="I1773" s="39" t="n">
        <x:v>46120</x:v>
      </x:c>
    </x:row>
    <x:row r="1774">
      <x:c r="A1774" s="21" t="str">
        <x:v>SYN-0507</x:v>
      </x:c>
      <x:c r="B1774" s="21" t="str">
        <x:v>Synthetic Supplier 0507 LLC</x:v>
      </x:c>
      <x:c r="C1774" s="38" t="str">
        <x:f>"900 000 000 000 507"</x:f>
        <x:v>900 000 000 000 507</x:v>
      </x:c>
      <x:c r="D1774" s="21" t="str">
        <x:v>SYN-0507-INV-02</x:v>
      </x:c>
      <x:c r="E1774" s="39" t="n">
        <x:v>46137</x:v>
      </x:c>
      <x:c r="F1774" s="42" t="n">
        <x:v>42627.47</x:v>
      </x:c>
      <x:c r="G1774" s="42" t="n">
        <x:v>2131.37</x:v>
      </x:c>
      <x:c r="H1774" s="42" t="n">
        <x:v>125972.12</x:v>
      </x:c>
      <x:c r="I1774" s="39" t="n">
        <x:v>46120</x:v>
      </x:c>
    </x:row>
    <x:row r="1775">
      <x:c r="A1775" s="21" t="str">
        <x:v>SYN-0507</x:v>
      </x:c>
      <x:c r="B1775" s="21" t="str">
        <x:v>Synthetic Supplier 0507 LLC</x:v>
      </x:c>
      <x:c r="C1775" s="38" t="str">
        <x:f>"900 000 000 000 507"</x:f>
        <x:v>900 000 000 000 507</x:v>
      </x:c>
      <x:c r="D1775" s="21" t="str">
        <x:v>SYN-0507-INV-03</x:v>
      </x:c>
      <x:c r="E1775" s="39" t="n">
        <x:v>46184</x:v>
      </x:c>
      <x:c r="F1775" s="42" t="n">
        <x:v>29045.34</x:v>
      </x:c>
      <x:c r="G1775" s="42" t="n">
        <x:v>1452.27</x:v>
      </x:c>
      <x:c r="H1775" s="42" t="n">
        <x:v>125972.12</x:v>
      </x:c>
      <x:c r="I1775" s="39" t="n">
        <x:v>46120</x:v>
      </x:c>
    </x:row>
    <x:row r="1776">
      <x:c r="A1776" s="21" t="str">
        <x:v>SYN-0507</x:v>
      </x:c>
      <x:c r="B1776" s="21" t="str">
        <x:v>Synthetic Supplier 0507 LLC</x:v>
      </x:c>
      <x:c r="C1776" s="38" t="str">
        <x:f>"900 000 000 000 507"</x:f>
        <x:v>900 000 000 000 507</x:v>
      </x:c>
      <x:c r="D1776" s="21" t="str">
        <x:v>SYN-0507-INV-04</x:v>
      </x:c>
      <x:c r="E1776" s="39" t="n">
        <x:v>46231</x:v>
      </x:c>
      <x:c r="F1776" s="42" t="n">
        <x:v>20609.23</x:v>
      </x:c>
      <x:c r="G1776" s="42" t="n">
        <x:v>1030.46</x:v>
      </x:c>
      <x:c r="H1776" s="42" t="n">
        <x:v>125972.12</x:v>
      </x:c>
      <x:c r="I1776" s="39" t="n">
        <x:v>46120</x:v>
      </x:c>
    </x:row>
    <x:row r="1777">
      <x:c r="A1777" s="21" t="str">
        <x:v>SYN-0507</x:v>
      </x:c>
      <x:c r="B1777" s="21" t="str">
        <x:v>Synthetic Supplier 0507 LLC</x:v>
      </x:c>
      <x:c r="C1777" s="38" t="str">
        <x:f>"900 000 000 000 507"</x:f>
        <x:v>900 000 000 000 507</x:v>
      </x:c>
      <x:c r="D1777" s="21" t="str">
        <x:v>SYN-0507-INV-05</x:v>
      </x:c>
      <x:c r="E1777" s="39" t="n">
        <x:v>46278</x:v>
      </x:c>
      <x:c r="F1777" s="42" t="n">
        <x:v>26635.47</x:v>
      </x:c>
      <x:c r="G1777" s="42" t="n">
        <x:v>1331.77</x:v>
      </x:c>
      <x:c r="H1777" s="42" t="n">
        <x:v>125972.12</x:v>
      </x:c>
      <x:c r="I1777" s="39" t="n">
        <x:v>46120</x:v>
      </x:c>
    </x:row>
    <x:row r="1778">
      <x:c r="A1778" s="21" t="str">
        <x:v>SYN-0508</x:v>
      </x:c>
      <x:c r="B1778" s="21" t="str">
        <x:v>Synthetic Supplier 0508 LLC</x:v>
      </x:c>
      <x:c r="C1778" s="38" t="str">
        <x:f>"900 000 000 000 508"</x:f>
        <x:v>900 000 000 000 508</x:v>
      </x:c>
      <x:c r="D1778" s="21" t="str">
        <x:v>SYN-0508-INV-01</x:v>
      </x:c>
      <x:c r="E1778" s="39" t="n">
        <x:v>46103</x:v>
      </x:c>
      <x:c r="F1778" s="42" t="n">
        <x:v>129507.37</x:v>
      </x:c>
      <x:c r="G1778" s="42" t="n">
        <x:v>6475.37</x:v>
      </x:c>
      <x:c r="H1778" s="42" t="n">
        <x:v>253119.35</x:v>
      </x:c>
      <x:c r="I1778" s="39" t="n">
        <x:v>45786</x:v>
      </x:c>
    </x:row>
    <x:row r="1779">
      <x:c r="A1779" s="21" t="str">
        <x:v>SYN-0508</x:v>
      </x:c>
      <x:c r="B1779" s="21" t="str">
        <x:v>Synthetic Supplier 0508 LLC</x:v>
      </x:c>
      <x:c r="C1779" s="38" t="str">
        <x:f>"900 000 000 000 508"</x:f>
        <x:v>900 000 000 000 508</x:v>
      </x:c>
      <x:c r="D1779" s="21" t="str">
        <x:v>SYN-0508-INV-02</x:v>
      </x:c>
      <x:c r="E1779" s="39" t="n">
        <x:v>46150</x:v>
      </x:c>
      <x:c r="F1779" s="42" t="n">
        <x:v>151736.35</x:v>
      </x:c>
      <x:c r="G1779" s="42" t="n">
        <x:v>7586.82</x:v>
      </x:c>
      <x:c r="H1779" s="42" t="n">
        <x:v>253119.35</x:v>
      </x:c>
      <x:c r="I1779" s="39" t="n">
        <x:v>45786</x:v>
      </x:c>
    </x:row>
    <x:row r="1780">
      <x:c r="A1780" s="21" t="str">
        <x:v>SYN-0509</x:v>
      </x:c>
      <x:c r="B1780" s="21" t="str">
        <x:v>Synthetic Supplier 0509 LLC</x:v>
      </x:c>
      <x:c r="C1780" s="38" t="str">
        <x:f>"900 000 000 000 509"</x:f>
        <x:v>900 000 000 000 509</x:v>
      </x:c>
      <x:c r="D1780" s="21" t="str">
        <x:v>SYN-0509-INV-01</x:v>
      </x:c>
      <x:c r="E1780" s="39" t="n">
        <x:v>46116</x:v>
      </x:c>
      <x:c r="F1780" s="42" t="n">
        <x:v>54473.49</x:v>
      </x:c>
      <x:c r="G1780" s="42" t="n">
        <x:v>2723.67</x:v>
      </x:c>
      <x:c r="H1780" s="42" t="n">
        <x:v>205304.16</x:v>
      </x:c>
      <x:c r="I1780" s="39" t="n">
        <x:v>46183</x:v>
      </x:c>
    </x:row>
    <x:row r="1781">
      <x:c r="A1781" s="21" t="str">
        <x:v>SYN-0509</x:v>
      </x:c>
      <x:c r="B1781" s="21" t="str">
        <x:v>Synthetic Supplier 0509 LLC</x:v>
      </x:c>
      <x:c r="C1781" s="38" t="str">
        <x:f>"900 000 000 000 509"</x:f>
        <x:v>900 000 000 000 509</x:v>
      </x:c>
      <x:c r="D1781" s="21" t="str">
        <x:v>SYN-0509-INV-02</x:v>
      </x:c>
      <x:c r="E1781" s="39" t="n">
        <x:v>46163</x:v>
      </x:c>
      <x:c r="F1781" s="42" t="n">
        <x:v>53750.38</x:v>
      </x:c>
      <x:c r="G1781" s="42" t="n">
        <x:v>2687.52</x:v>
      </x:c>
      <x:c r="H1781" s="42" t="n">
        <x:v>205304.16</x:v>
      </x:c>
      <x:c r="I1781" s="39" t="n">
        <x:v>46183</x:v>
      </x:c>
    </x:row>
    <x:row r="1782">
      <x:c r="A1782" s="21" t="str">
        <x:v>SYN-0509</x:v>
      </x:c>
      <x:c r="B1782" s="21" t="str">
        <x:v>Synthetic Supplier 0509 LLC</x:v>
      </x:c>
      <x:c r="C1782" s="38" t="str">
        <x:f>"900 000 000 000 509"</x:f>
        <x:v>900 000 000 000 509</x:v>
      </x:c>
      <x:c r="D1782" s="21" t="str">
        <x:v>SYN-0509-INV-03</x:v>
      </x:c>
      <x:c r="E1782" s="39" t="n">
        <x:v>46210</x:v>
      </x:c>
      <x:c r="F1782" s="42" t="n">
        <x:v>119891.87</x:v>
      </x:c>
      <x:c r="G1782" s="42" t="n">
        <x:v>5994.59</x:v>
      </x:c>
      <x:c r="H1782" s="42" t="n">
        <x:v>205304.16</x:v>
      </x:c>
      <x:c r="I1782" s="39" t="n">
        <x:v>46183</x:v>
      </x:c>
    </x:row>
    <x:row r="1783">
      <x:c r="A1783" s="21" t="str">
        <x:v>SYN-0510</x:v>
      </x:c>
      <x:c r="B1783" s="21" t="str">
        <x:v>Synthetic Supplier 0510 LLC</x:v>
      </x:c>
      <x:c r="C1783" s="38" t="str">
        <x:f>"900 000 000 000 510"</x:f>
        <x:v>900 000 000 000 510</x:v>
      </x:c>
      <x:c r="D1783" s="21" t="str">
        <x:v>SYN-0510-INV-01</x:v>
      </x:c>
      <x:c r="E1783" s="39" t="n">
        <x:v>46129</x:v>
      </x:c>
      <x:c r="F1783" s="42" t="n">
        <x:v>53132.49</x:v>
      </x:c>
      <x:c r="G1783" s="42" t="n">
        <x:v>2656.62</x:v>
      </x:c>
      <x:c r="H1783" s="42" t="n">
        <x:v>144431.44</x:v>
      </x:c>
      <x:c r="I1783" s="39"/>
    </x:row>
    <x:row r="1784">
      <x:c r="A1784" s="21" t="str">
        <x:v>SYN-0510</x:v>
      </x:c>
      <x:c r="B1784" s="21" t="str">
        <x:v>Synthetic Supplier 0510 LLC</x:v>
      </x:c>
      <x:c r="C1784" s="38" t="str">
        <x:f>"900 000 000 000 510"</x:f>
        <x:v>900 000 000 000 510</x:v>
      </x:c>
      <x:c r="D1784" s="21" t="str">
        <x:v>SYN-0510-INV-02</x:v>
      </x:c>
      <x:c r="E1784" s="39" t="n">
        <x:v>46176</x:v>
      </x:c>
      <x:c r="F1784" s="42" t="n">
        <x:v>28425.29</x:v>
      </x:c>
      <x:c r="G1784" s="42" t="n">
        <x:v>1421.26</x:v>
      </x:c>
      <x:c r="H1784" s="42" t="n">
        <x:v>144431.44</x:v>
      </x:c>
      <x:c r="I1784" s="39"/>
    </x:row>
    <x:row r="1785">
      <x:c r="A1785" s="21" t="str">
        <x:v>SYN-0510</x:v>
      </x:c>
      <x:c r="B1785" s="21" t="str">
        <x:v>Synthetic Supplier 0510 LLC</x:v>
      </x:c>
      <x:c r="C1785" s="38" t="str">
        <x:f>"900 000 000 000 510"</x:f>
        <x:v>900 000 000 000 510</x:v>
      </x:c>
      <x:c r="D1785" s="21" t="str">
        <x:v>SYN-0510-INV-03</x:v>
      </x:c>
      <x:c r="E1785" s="39" t="n">
        <x:v>46223</x:v>
      </x:c>
      <x:c r="F1785" s="42" t="n">
        <x:v>49452.14</x:v>
      </x:c>
      <x:c r="G1785" s="42" t="n">
        <x:v>2472.61</x:v>
      </x:c>
      <x:c r="H1785" s="42" t="n">
        <x:v>144431.44</x:v>
      </x:c>
      <x:c r="I1785" s="39"/>
    </x:row>
    <x:row r="1786">
      <x:c r="A1786" s="21" t="str">
        <x:v>SYN-0510</x:v>
      </x:c>
      <x:c r="B1786" s="21" t="str">
        <x:v>Synthetic Supplier 0510 LLC</x:v>
      </x:c>
      <x:c r="C1786" s="38" t="str">
        <x:f>"900 000 000 000 510"</x:f>
        <x:v>900 000 000 000 510</x:v>
      </x:c>
      <x:c r="D1786" s="21" t="str">
        <x:v>SYN-0510-INV-04</x:v>
      </x:c>
      <x:c r="E1786" s="39" t="n">
        <x:v>46270</x:v>
      </x:c>
      <x:c r="F1786" s="42" t="n">
        <x:v>29469.45</x:v>
      </x:c>
      <x:c r="G1786" s="42" t="n">
        <x:v>1473.47</x:v>
      </x:c>
      <x:c r="H1786" s="42" t="n">
        <x:v>144431.44</x:v>
      </x:c>
      <x:c r="I1786" s="39"/>
    </x:row>
    <x:row r="1787">
      <x:c r="A1787" s="21" t="str">
        <x:v>SYN-0511</x:v>
      </x:c>
      <x:c r="B1787" s="21" t="str">
        <x:v>Synthetic Supplier 0511 LLC</x:v>
      </x:c>
      <x:c r="C1787" s="38" t="str">
        <x:f>"900 000 000 000 511"</x:f>
        <x:v>900 000 000 000 511</x:v>
      </x:c>
      <x:c r="D1787" s="21" t="str">
        <x:v>SYN-0511-INV-01</x:v>
      </x:c>
      <x:c r="E1787" s="39" t="n">
        <x:v>46142</x:v>
      </x:c>
      <x:c r="F1787" s="42" t="n">
        <x:v>72222.21</x:v>
      </x:c>
      <x:c r="G1787" s="42" t="n">
        <x:v>3611.11</x:v>
      </x:c>
      <x:c r="H1787" s="42" t="n">
        <x:v>316556.75</x:v>
      </x:c>
      <x:c r="I1787" s="39" t="n">
        <x:v>46246</x:v>
      </x:c>
    </x:row>
    <x:row r="1788">
      <x:c r="A1788" s="21" t="str">
        <x:v>SYN-0511</x:v>
      </x:c>
      <x:c r="B1788" s="21" t="str">
        <x:v>Synthetic Supplier 0511 LLC</x:v>
      </x:c>
      <x:c r="C1788" s="38" t="str">
        <x:f>"900 000 000 000 511"</x:f>
        <x:v>900 000 000 000 511</x:v>
      </x:c>
      <x:c r="D1788" s="21" t="str">
        <x:v>SYN-0511-INV-02</x:v>
      </x:c>
      <x:c r="E1788" s="39" t="n">
        <x:v>46189</x:v>
      </x:c>
      <x:c r="F1788" s="42" t="n">
        <x:v>71384.56</x:v>
      </x:c>
      <x:c r="G1788" s="42" t="n">
        <x:v>3569.23</x:v>
      </x:c>
      <x:c r="H1788" s="42" t="n">
        <x:v>316556.75</x:v>
      </x:c>
      <x:c r="I1788" s="39" t="n">
        <x:v>46246</x:v>
      </x:c>
    </x:row>
    <x:row r="1789">
      <x:c r="A1789" s="21" t="str">
        <x:v>SYN-0511</x:v>
      </x:c>
      <x:c r="B1789" s="21" t="str">
        <x:v>Synthetic Supplier 0511 LLC</x:v>
      </x:c>
      <x:c r="C1789" s="38" t="str">
        <x:f>"900 000 000 000 511"</x:f>
        <x:v>900 000 000 000 511</x:v>
      </x:c>
      <x:c r="D1789" s="21" t="str">
        <x:v>SYN-0511-INV-03</x:v>
      </x:c>
      <x:c r="E1789" s="39" t="n">
        <x:v>46236</x:v>
      </x:c>
      <x:c r="F1789" s="42" t="n">
        <x:v>43160.01</x:v>
      </x:c>
      <x:c r="G1789" s="42" t="n">
        <x:v>2158</x:v>
      </x:c>
      <x:c r="H1789" s="42" t="n">
        <x:v>316556.75</x:v>
      </x:c>
      <x:c r="I1789" s="39" t="n">
        <x:v>46246</x:v>
      </x:c>
    </x:row>
    <x:row r="1790">
      <x:c r="A1790" s="21" t="str">
        <x:v>SYN-0511</x:v>
      </x:c>
      <x:c r="B1790" s="21" t="str">
        <x:v>Synthetic Supplier 0511 LLC</x:v>
      </x:c>
      <x:c r="C1790" s="38" t="str">
        <x:f>"900 000 000 000 511"</x:f>
        <x:v>900 000 000 000 511</x:v>
      </x:c>
      <x:c r="D1790" s="21" t="str">
        <x:v>SYN-0511-INV-04</x:v>
      </x:c>
      <x:c r="E1790" s="39" t="n">
        <x:v>46283</x:v>
      </x:c>
      <x:c r="F1790" s="42" t="n">
        <x:v>54940.87</x:v>
      </x:c>
      <x:c r="G1790" s="42" t="n">
        <x:v>2747.04</x:v>
      </x:c>
      <x:c r="H1790" s="42" t="n">
        <x:v>316556.75</x:v>
      </x:c>
      <x:c r="I1790" s="39" t="n">
        <x:v>46246</x:v>
      </x:c>
    </x:row>
    <x:row r="1791">
      <x:c r="A1791" s="21" t="str">
        <x:v>SYN-0511</x:v>
      </x:c>
      <x:c r="B1791" s="21" t="str">
        <x:v>Synthetic Supplier 0511 LLC</x:v>
      </x:c>
      <x:c r="C1791" s="38" t="str">
        <x:f>"900 000 000 000 511"</x:f>
        <x:v>900 000 000 000 511</x:v>
      </x:c>
      <x:c r="D1791" s="21" t="str">
        <x:v>SYN-0511-INV-05</x:v>
      </x:c>
      <x:c r="E1791" s="39" t="n">
        <x:v>45970</x:v>
      </x:c>
      <x:c r="F1791" s="42" t="n">
        <x:v>33559.09</x:v>
      </x:c>
      <x:c r="G1791" s="42" t="n">
        <x:v>1677.95</x:v>
      </x:c>
      <x:c r="H1791" s="42" t="n">
        <x:v>316556.75</x:v>
      </x:c>
      <x:c r="I1791" s="39" t="n">
        <x:v>46246</x:v>
      </x:c>
    </x:row>
    <x:row r="1792">
      <x:c r="A1792" s="21" t="str">
        <x:v>SYN-0512</x:v>
      </x:c>
      <x:c r="B1792" s="21" t="str">
        <x:v>Synthetic Supplier 0512 LLC</x:v>
      </x:c>
      <x:c r="C1792" s="38" t="str">
        <x:f>"900 000 000 000 512"</x:f>
        <x:v>900 000 000 000 512</x:v>
      </x:c>
      <x:c r="D1792" s="21" t="str">
        <x:v>SYN-0512-INV-01</x:v>
      </x:c>
      <x:c r="E1792" s="39" t="n">
        <x:v>46155</x:v>
      </x:c>
      <x:c r="F1792" s="42" t="n">
        <x:v>187304.85</x:v>
      </x:c>
      <x:c r="G1792" s="42" t="n">
        <x:v>9365.24</x:v>
      </x:c>
      <x:c r="H1792" s="42" t="n">
        <x:v>283138.14</x:v>
      </x:c>
      <x:c r="I1792" s="39" t="n">
        <x:v>45913</x:v>
      </x:c>
    </x:row>
    <x:row r="1793">
      <x:c r="A1793" s="21" t="str">
        <x:v>SYN-0512</x:v>
      </x:c>
      <x:c r="B1793" s="21" t="str">
        <x:v>Synthetic Supplier 0512 LLC</x:v>
      </x:c>
      <x:c r="C1793" s="38" t="str">
        <x:f>"900 000 000 000 512"</x:f>
        <x:v>900 000 000 000 512</x:v>
      </x:c>
      <x:c r="D1793" s="21" t="str">
        <x:v>SYN-0512-INV-02</x:v>
      </x:c>
      <x:c r="E1793" s="39" t="n">
        <x:v>46202</x:v>
      </x:c>
      <x:c r="F1793" s="42" t="n">
        <x:v>127293.08</x:v>
      </x:c>
      <x:c r="G1793" s="42" t="n">
        <x:v>6364.65</x:v>
      </x:c>
      <x:c r="H1793" s="42" t="n">
        <x:v>283138.14</x:v>
      </x:c>
      <x:c r="I1793" s="39" t="n">
        <x:v>45913</x:v>
      </x:c>
    </x:row>
    <x:row r="1794">
      <x:c r="A1794" s="21" t="str">
        <x:v>SYN-0513</x:v>
      </x:c>
      <x:c r="B1794" s="21" t="str">
        <x:v>Synthetic Supplier 0513 LLC</x:v>
      </x:c>
      <x:c r="C1794" s="38" t="str">
        <x:f>"900 000 000 000 513"</x:f>
        <x:v>900 000 000 000 513</x:v>
      </x:c>
      <x:c r="D1794" s="21" t="str">
        <x:v>SYN-0513-INV-01</x:v>
      </x:c>
      <x:c r="E1794" s="39" t="n">
        <x:v>46168</x:v>
      </x:c>
      <x:c r="F1794" s="42" t="n">
        <x:v>93192.28</x:v>
      </x:c>
      <x:c r="G1794" s="42" t="n">
        <x:v>4659.61</x:v>
      </x:c>
      <x:c r="H1794" s="42" t="n">
        <x:v>267238.02</x:v>
      </x:c>
      <x:c r="I1794" s="39" t="n">
        <x:v>46036</x:v>
      </x:c>
    </x:row>
    <x:row r="1795">
      <x:c r="A1795" s="21" t="str">
        <x:v>SYN-0513</x:v>
      </x:c>
      <x:c r="B1795" s="21" t="str">
        <x:v>Synthetic Supplier 0513 LLC</x:v>
      </x:c>
      <x:c r="C1795" s="38" t="str">
        <x:f>"900 000 000 000 513"</x:f>
        <x:v>900 000 000 000 513</x:v>
      </x:c>
      <x:c r="D1795" s="21" t="str">
        <x:v>SYN-0513-INV-02</x:v>
      </x:c>
      <x:c r="E1795" s="39" t="n">
        <x:v>46215</x:v>
      </x:c>
      <x:c r="F1795" s="42" t="n">
        <x:v>130197.84</x:v>
      </x:c>
      <x:c r="G1795" s="42" t="n">
        <x:v>6509.89</x:v>
      </x:c>
      <x:c r="H1795" s="42" t="n">
        <x:v>267238.02</x:v>
      </x:c>
      <x:c r="I1795" s="39" t="n">
        <x:v>46036</x:v>
      </x:c>
    </x:row>
    <x:row r="1796">
      <x:c r="A1796" s="21" t="str">
        <x:v>SYN-0513</x:v>
      </x:c>
      <x:c r="B1796" s="21" t="str">
        <x:v>Synthetic Supplier 0513 LLC</x:v>
      </x:c>
      <x:c r="C1796" s="38" t="str">
        <x:f>"900 000 000 000 513"</x:f>
        <x:v>900 000 000 000 513</x:v>
      </x:c>
      <x:c r="D1796" s="21" t="str">
        <x:v>SYN-0513-INV-03</x:v>
      </x:c>
      <x:c r="E1796" s="39" t="n">
        <x:v>46262</x:v>
      </x:c>
      <x:c r="F1796" s="42" t="n">
        <x:v>73541.01</x:v>
      </x:c>
      <x:c r="G1796" s="42" t="n">
        <x:v>3677.05</x:v>
      </x:c>
      <x:c r="H1796" s="42" t="n">
        <x:v>267238.02</x:v>
      </x:c>
      <x:c r="I1796" s="39" t="n">
        <x:v>46036</x:v>
      </x:c>
    </x:row>
    <x:row r="1797">
      <x:c r="A1797" s="21" t="str">
        <x:v>SYN-0514</x:v>
      </x:c>
      <x:c r="B1797" s="21" t="str">
        <x:v>Synthetic Supplier 0514 LLC</x:v>
      </x:c>
      <x:c r="C1797" s="38" t="str">
        <x:f>"900 000 000 000 514"</x:f>
        <x:v>900 000 000 000 514</x:v>
      </x:c>
      <x:c r="D1797" s="21" t="str">
        <x:v>SYN-0514-INV-01</x:v>
      </x:c>
      <x:c r="E1797" s="39" t="n">
        <x:v>46181</x:v>
      </x:c>
      <x:c r="F1797" s="42" t="n">
        <x:v>50942.16</x:v>
      </x:c>
      <x:c r="G1797" s="42" t="n">
        <x:v>2547.11</x:v>
      </x:c>
      <x:c r="H1797" s="42" t="n">
        <x:v>201888.86</x:v>
      </x:c>
      <x:c r="I1797" s="39" t="n">
        <x:v>45703</x:v>
      </x:c>
    </x:row>
    <x:row r="1798">
      <x:c r="A1798" s="21" t="str">
        <x:v>SYN-0514</x:v>
      </x:c>
      <x:c r="B1798" s="21" t="str">
        <x:v>Synthetic Supplier 0514 LLC</x:v>
      </x:c>
      <x:c r="C1798" s="38" t="str">
        <x:f>"900 000 000 000 514"</x:f>
        <x:v>900 000 000 000 514</x:v>
      </x:c>
      <x:c r="D1798" s="21" t="str">
        <x:v>SYN-0514-INV-02</x:v>
      </x:c>
      <x:c r="E1798" s="39" t="n">
        <x:v>46228</x:v>
      </x:c>
      <x:c r="F1798" s="42" t="n">
        <x:v>70234.99</x:v>
      </x:c>
      <x:c r="G1798" s="42" t="n">
        <x:v>3511.75</x:v>
      </x:c>
      <x:c r="H1798" s="42" t="n">
        <x:v>201888.86</x:v>
      </x:c>
      <x:c r="I1798" s="39" t="n">
        <x:v>45703</x:v>
      </x:c>
    </x:row>
    <x:row r="1799">
      <x:c r="A1799" s="21" t="str">
        <x:v>SYN-0514</x:v>
      </x:c>
      <x:c r="B1799" s="21" t="str">
        <x:v>Synthetic Supplier 0514 LLC</x:v>
      </x:c>
      <x:c r="C1799" s="38" t="str">
        <x:f>"900 000 000 000 514"</x:f>
        <x:v>900 000 000 000 514</x:v>
      </x:c>
      <x:c r="D1799" s="21" t="str">
        <x:v>SYN-0514-INV-03</x:v>
      </x:c>
      <x:c r="E1799" s="39" t="n">
        <x:v>46275</x:v>
      </x:c>
      <x:c r="F1799" s="42" t="n">
        <x:v>58275</x:v>
      </x:c>
      <x:c r="G1799" s="42" t="n">
        <x:v>2913.75</x:v>
      </x:c>
      <x:c r="H1799" s="42" t="n">
        <x:v>201888.86</x:v>
      </x:c>
      <x:c r="I1799" s="39" t="n">
        <x:v>45703</x:v>
      </x:c>
    </x:row>
    <x:row r="1800">
      <x:c r="A1800" s="21" t="str">
        <x:v>SYN-0514</x:v>
      </x:c>
      <x:c r="B1800" s="21" t="str">
        <x:v>Synthetic Supplier 0514 LLC</x:v>
      </x:c>
      <x:c r="C1800" s="38" t="str">
        <x:f>"900 000 000 000 514"</x:f>
        <x:v>900 000 000 000 514</x:v>
      </x:c>
      <x:c r="D1800" s="21" t="str">
        <x:v>SYN-0514-INV-04</x:v>
      </x:c>
      <x:c r="E1800" s="39" t="n">
        <x:v>45962</x:v>
      </x:c>
      <x:c r="F1800" s="42" t="n">
        <x:v>44868.81</x:v>
      </x:c>
      <x:c r="G1800" s="42" t="n">
        <x:v>2243.44</x:v>
      </x:c>
      <x:c r="H1800" s="42" t="n">
        <x:v>201888.86</x:v>
      </x:c>
      <x:c r="I1800" s="39" t="n">
        <x:v>45703</x:v>
      </x:c>
    </x:row>
    <x:row r="1801">
      <x:c r="A1801" s="21" t="str">
        <x:v>SYN-0515</x:v>
      </x:c>
      <x:c r="B1801" s="21" t="str">
        <x:v>Synthetic Supplier 0515 LLC</x:v>
      </x:c>
      <x:c r="C1801" s="38" t="str">
        <x:f>"900 000 000 000 515"</x:f>
        <x:v>900 000 000 000 515</x:v>
      </x:c>
      <x:c r="D1801" s="21" t="str">
        <x:v>SYN-0515-INV-01</x:v>
      </x:c>
      <x:c r="E1801" s="39" t="n">
        <x:v>46194</x:v>
      </x:c>
      <x:c r="F1801" s="42" t="n">
        <x:v>43167.12</x:v>
      </x:c>
      <x:c r="G1801" s="42" t="n">
        <x:v>2158.36</x:v>
      </x:c>
      <x:c r="H1801" s="42" t="n">
        <x:v>180977.84</x:v>
      </x:c>
      <x:c r="I1801" s="39"/>
    </x:row>
    <x:row r="1802">
      <x:c r="A1802" s="21" t="str">
        <x:v>SYN-0515</x:v>
      </x:c>
      <x:c r="B1802" s="21" t="str">
        <x:v>Synthetic Supplier 0515 LLC</x:v>
      </x:c>
      <x:c r="C1802" s="38" t="str">
        <x:f>"900 000 000 000 515"</x:f>
        <x:v>900 000 000 000 515</x:v>
      </x:c>
      <x:c r="D1802" s="21" t="str">
        <x:v>SYN-0515-INV-02</x:v>
      </x:c>
      <x:c r="E1802" s="39" t="n">
        <x:v>46241</x:v>
      </x:c>
      <x:c r="F1802" s="42" t="n">
        <x:v>45593.22</x:v>
      </x:c>
      <x:c r="G1802" s="42" t="n">
        <x:v>2279.66</x:v>
      </x:c>
      <x:c r="H1802" s="42" t="n">
        <x:v>180977.84</x:v>
      </x:c>
      <x:c r="I1802" s="39"/>
    </x:row>
    <x:row r="1803">
      <x:c r="A1803" s="21" t="str">
        <x:v>SYN-0515</x:v>
      </x:c>
      <x:c r="B1803" s="21" t="str">
        <x:v>Synthetic Supplier 0515 LLC</x:v>
      </x:c>
      <x:c r="C1803" s="38" t="str">
        <x:f>"900 000 000 000 515"</x:f>
        <x:v>900 000 000 000 515</x:v>
      </x:c>
      <x:c r="D1803" s="21" t="str">
        <x:v>SYN-0515-INV-03</x:v>
      </x:c>
      <x:c r="E1803" s="39" t="n">
        <x:v>46288</x:v>
      </x:c>
      <x:c r="F1803" s="42" t="n">
        <x:v>46117.42</x:v>
      </x:c>
      <x:c r="G1803" s="42" t="n">
        <x:v>2305.87</x:v>
      </x:c>
      <x:c r="H1803" s="42" t="n">
        <x:v>180977.84</x:v>
      </x:c>
      <x:c r="I1803" s="39"/>
    </x:row>
    <x:row r="1804">
      <x:c r="A1804" s="21" t="str">
        <x:v>SYN-0515</x:v>
      </x:c>
      <x:c r="B1804" s="21" t="str">
        <x:v>Synthetic Supplier 0515 LLC</x:v>
      </x:c>
      <x:c r="C1804" s="38" t="str">
        <x:f>"900 000 000 000 515"</x:f>
        <x:v>900 000 000 000 515</x:v>
      </x:c>
      <x:c r="D1804" s="21" t="str">
        <x:v>SYN-0515-INV-04</x:v>
      </x:c>
      <x:c r="E1804" s="39" t="n">
        <x:v>45975</x:v>
      </x:c>
      <x:c r="F1804" s="42" t="n">
        <x:v>41377.4</x:v>
      </x:c>
      <x:c r="G1804" s="42" t="n">
        <x:v>2068.87</x:v>
      </x:c>
      <x:c r="H1804" s="42" t="n">
        <x:v>180977.84</x:v>
      </x:c>
      <x:c r="I1804" s="39"/>
    </x:row>
    <x:row r="1805">
      <x:c r="A1805" s="21" t="str">
        <x:v>SYN-0515</x:v>
      </x:c>
      <x:c r="B1805" s="21" t="str">
        <x:v>Synthetic Supplier 0515 LLC</x:v>
      </x:c>
      <x:c r="C1805" s="38" t="str">
        <x:f>"900 000 000 000 515"</x:f>
        <x:v>900 000 000 000 515</x:v>
      </x:c>
      <x:c r="D1805" s="21" t="str">
        <x:v>SYN-0515-INV-05</x:v>
      </x:c>
      <x:c r="E1805" s="39" t="n">
        <x:v>46022</x:v>
      </x:c>
      <x:c r="F1805" s="42" t="n">
        <x:v>24831.33</x:v>
      </x:c>
      <x:c r="G1805" s="42" t="n">
        <x:v>1241.57</x:v>
      </x:c>
      <x:c r="H1805" s="42" t="n">
        <x:v>180977.84</x:v>
      </x:c>
      <x:c r="I1805" s="39"/>
    </x:row>
    <x:row r="1806">
      <x:c r="A1806" s="21" t="str">
        <x:v>SYN-0516</x:v>
      </x:c>
      <x:c r="B1806" s="21" t="str">
        <x:v>Synthetic Supplier 0516 LLC</x:v>
      </x:c>
      <x:c r="C1806" s="38" t="str">
        <x:f>"900 000 000 000 516"</x:f>
        <x:v>900 000 000 000 516</x:v>
      </x:c>
      <x:c r="D1806" s="21" t="str">
        <x:v>SYN-0516-INV-01</x:v>
      </x:c>
      <x:c r="E1806" s="39" t="n">
        <x:v>46207</x:v>
      </x:c>
      <x:c r="F1806" s="42" t="n">
        <x:v>122959.54</x:v>
      </x:c>
      <x:c r="G1806" s="42" t="n">
        <x:v>6147.98</x:v>
      </x:c>
      <x:c r="H1806" s="42" t="n">
        <x:v>264215.94</x:v>
      </x:c>
      <x:c r="I1806" s="39" t="n">
        <x:v>45764</x:v>
      </x:c>
    </x:row>
    <x:row r="1807">
      <x:c r="A1807" s="21" t="str">
        <x:v>SYN-0516</x:v>
      </x:c>
      <x:c r="B1807" s="21" t="str">
        <x:v>Synthetic Supplier 0516 LLC</x:v>
      </x:c>
      <x:c r="C1807" s="38" t="str">
        <x:f>"900 000 000 000 516"</x:f>
        <x:v>900 000 000 000 516</x:v>
      </x:c>
      <x:c r="D1807" s="21" t="str">
        <x:v>SYN-0516-INV-02</x:v>
      </x:c>
      <x:c r="E1807" s="39" t="n">
        <x:v>46254</x:v>
      </x:c>
      <x:c r="F1807" s="42" t="n">
        <x:v>170613.73</x:v>
      </x:c>
      <x:c r="G1807" s="42" t="n">
        <x:v>8530.69</x:v>
      </x:c>
      <x:c r="H1807" s="42" t="n">
        <x:v>264215.94</x:v>
      </x:c>
      <x:c r="I1807" s="39" t="n">
        <x:v>45764</x:v>
      </x:c>
    </x:row>
    <x:row r="1808">
      <x:c r="A1808" s="21" t="str">
        <x:v>SYN-0517</x:v>
      </x:c>
      <x:c r="B1808" s="21" t="str">
        <x:v>Synthetic Supplier 0517 LLC</x:v>
      </x:c>
      <x:c r="C1808" s="38" t="str">
        <x:f>"900 000 000 000 517"</x:f>
        <x:v>900 000 000 000 517</x:v>
      </x:c>
      <x:c r="D1808" s="21" t="str">
        <x:v>SYN-0517-INV-01</x:v>
      </x:c>
      <x:c r="E1808" s="39" t="n">
        <x:v>46220</x:v>
      </x:c>
      <x:c r="F1808" s="42" t="n">
        <x:v>54367.57</x:v>
      </x:c>
      <x:c r="G1808" s="42" t="n">
        <x:v>2718.38</x:v>
      </x:c>
      <x:c r="H1808" s="42" t="n">
        <x:v>125374.9</x:v>
      </x:c>
      <x:c r="I1808" s="39" t="n">
        <x:v>46160</x:v>
      </x:c>
    </x:row>
    <x:row r="1809">
      <x:c r="A1809" s="21" t="str">
        <x:v>SYN-0517</x:v>
      </x:c>
      <x:c r="B1809" s="21" t="str">
        <x:v>Synthetic Supplier 0517 LLC</x:v>
      </x:c>
      <x:c r="C1809" s="38" t="str">
        <x:f>"900 000 000 000 517"</x:f>
        <x:v>900 000 000 000 517</x:v>
      </x:c>
      <x:c r="D1809" s="21" t="str">
        <x:v>SYN-0517-INV-02</x:v>
      </x:c>
      <x:c r="E1809" s="39" t="n">
        <x:v>46267</x:v>
      </x:c>
      <x:c r="F1809" s="42" t="n">
        <x:v>55193.14</x:v>
      </x:c>
      <x:c r="G1809" s="42" t="n">
        <x:v>2759.66</x:v>
      </x:c>
      <x:c r="H1809" s="42" t="n">
        <x:v>125374.9</x:v>
      </x:c>
      <x:c r="I1809" s="39" t="n">
        <x:v>46160</x:v>
      </x:c>
    </x:row>
    <x:row r="1810">
      <x:c r="A1810" s="21" t="str">
        <x:v>SYN-0517</x:v>
      </x:c>
      <x:c r="B1810" s="21" t="str">
        <x:v>Synthetic Supplier 0517 LLC</x:v>
      </x:c>
      <x:c r="C1810" s="38" t="str">
        <x:f>"900 000 000 000 517"</x:f>
        <x:v>900 000 000 000 517</x:v>
      </x:c>
      <x:c r="D1810" s="21" t="str">
        <x:v>SYN-0517-INV-03</x:v>
      </x:c>
      <x:c r="E1810" s="39" t="n">
        <x:v>45954</x:v>
      </x:c>
      <x:c r="F1810" s="42" t="n">
        <x:v>29744.73</x:v>
      </x:c>
      <x:c r="G1810" s="42" t="n">
        <x:v>1487.24</x:v>
      </x:c>
      <x:c r="H1810" s="42" t="n">
        <x:v>125374.9</x:v>
      </x:c>
      <x:c r="I1810" s="39" t="n">
        <x:v>46160</x:v>
      </x:c>
    </x:row>
    <x:row r="1811">
      <x:c r="A1811" s="21" t="str">
        <x:v>SYN-0518</x:v>
      </x:c>
      <x:c r="B1811" s="21" t="str">
        <x:v>Synthetic Supplier 0518 LLC</x:v>
      </x:c>
      <x:c r="C1811" s="38" t="str">
        <x:f>"900 000 000 000 518"</x:f>
        <x:v>900 000 000 000 518</x:v>
      </x:c>
      <x:c r="D1811" s="21" t="str">
        <x:v>SYN-0518-INV-01</x:v>
      </x:c>
      <x:c r="E1811" s="39" t="n">
        <x:v>46233</x:v>
      </x:c>
      <x:c r="F1811" s="42" t="n">
        <x:v>59042.69</x:v>
      </x:c>
      <x:c r="G1811" s="42" t="n">
        <x:v>2952.13</x:v>
      </x:c>
      <x:c r="H1811" s="42" t="n">
        <x:v>230762.67</x:v>
      </x:c>
      <x:c r="I1811" s="39" t="n">
        <x:v>45827</x:v>
      </x:c>
    </x:row>
    <x:row r="1812">
      <x:c r="A1812" s="21" t="str">
        <x:v>SYN-0518</x:v>
      </x:c>
      <x:c r="B1812" s="21" t="str">
        <x:v>Synthetic Supplier 0518 LLC</x:v>
      </x:c>
      <x:c r="C1812" s="38" t="str">
        <x:f>"900 000 000 000 518"</x:f>
        <x:v>900 000 000 000 518</x:v>
      </x:c>
      <x:c r="D1812" s="21" t="str">
        <x:v>SYN-0518-INV-02</x:v>
      </x:c>
      <x:c r="E1812" s="39" t="n">
        <x:v>46280</x:v>
      </x:c>
      <x:c r="F1812" s="42" t="n">
        <x:v>38891.37</x:v>
      </x:c>
      <x:c r="G1812" s="42" t="n">
        <x:v>1944.57</x:v>
      </x:c>
      <x:c r="H1812" s="42" t="n">
        <x:v>230762.67</x:v>
      </x:c>
      <x:c r="I1812" s="39" t="n">
        <x:v>45827</x:v>
      </x:c>
    </x:row>
    <x:row r="1813">
      <x:c r="A1813" s="21" t="str">
        <x:v>SYN-0518</x:v>
      </x:c>
      <x:c r="B1813" s="21" t="str">
        <x:v>Synthetic Supplier 0518 LLC</x:v>
      </x:c>
      <x:c r="C1813" s="38" t="str">
        <x:f>"900 000 000 000 518"</x:f>
        <x:v>900 000 000 000 518</x:v>
      </x:c>
      <x:c r="D1813" s="21" t="str">
        <x:v>SYN-0518-INV-03</x:v>
      </x:c>
      <x:c r="E1813" s="39" t="n">
        <x:v>45967</x:v>
      </x:c>
      <x:c r="F1813" s="42" t="n">
        <x:v>54704.37</x:v>
      </x:c>
      <x:c r="G1813" s="42" t="n">
        <x:v>2735.22</x:v>
      </x:c>
      <x:c r="H1813" s="42" t="n">
        <x:v>230762.67</x:v>
      </x:c>
      <x:c r="I1813" s="39" t="n">
        <x:v>45827</x:v>
      </x:c>
    </x:row>
    <x:row r="1814">
      <x:c r="A1814" s="21" t="str">
        <x:v>SYN-0518</x:v>
      </x:c>
      <x:c r="B1814" s="21" t="str">
        <x:v>Synthetic Supplier 0518 LLC</x:v>
      </x:c>
      <x:c r="C1814" s="38" t="str">
        <x:f>"900 000 000 000 518"</x:f>
        <x:v>900 000 000 000 518</x:v>
      </x:c>
      <x:c r="D1814" s="21" t="str">
        <x:v>SYN-0518-INV-04</x:v>
      </x:c>
      <x:c r="E1814" s="39" t="n">
        <x:v>46014</x:v>
      </x:c>
      <x:c r="F1814" s="42" t="n">
        <x:v>48024.75</x:v>
      </x:c>
      <x:c r="G1814" s="42" t="n">
        <x:v>2401.24</x:v>
      </x:c>
      <x:c r="H1814" s="42" t="n">
        <x:v>230762.67</x:v>
      </x:c>
      <x:c r="I1814" s="39" t="n">
        <x:v>45827</x:v>
      </x:c>
    </x:row>
    <x:row r="1815">
      <x:c r="A1815" s="21" t="str">
        <x:v>SYN-0519</x:v>
      </x:c>
      <x:c r="B1815" s="21" t="str">
        <x:v>Synthetic Supplier 0519 LLC</x:v>
      </x:c>
      <x:c r="C1815" s="38" t="str">
        <x:f>"900 000 000 000 519"</x:f>
        <x:v>900 000 000 000 519</x:v>
      </x:c>
      <x:c r="D1815" s="21" t="str">
        <x:v>SYN-0519-INV-01</x:v>
      </x:c>
      <x:c r="E1815" s="39" t="n">
        <x:v>46246</x:v>
      </x:c>
      <x:c r="F1815" s="42" t="n">
        <x:v>27087.51</x:v>
      </x:c>
      <x:c r="G1815" s="42" t="n">
        <x:v>1354.38</x:v>
      </x:c>
      <x:c r="H1815" s="42" t="n">
        <x:v>99147.66</x:v>
      </x:c>
      <x:c r="I1815" s="39" t="n">
        <x:v>46223</x:v>
      </x:c>
    </x:row>
    <x:row r="1816">
      <x:c r="A1816" s="21" t="str">
        <x:v>SYN-0519</x:v>
      </x:c>
      <x:c r="B1816" s="21" t="str">
        <x:v>Synthetic Supplier 0519 LLC</x:v>
      </x:c>
      <x:c r="C1816" s="38" t="str">
        <x:f>"900 000 000 000 519"</x:f>
        <x:v>900 000 000 000 519</x:v>
      </x:c>
      <x:c r="D1816" s="21" t="str">
        <x:v>SYN-0519-INV-02</x:v>
      </x:c>
      <x:c r="E1816" s="39" t="n">
        <x:v>45933</x:v>
      </x:c>
      <x:c r="F1816" s="42" t="n">
        <x:v>15772.02</x:v>
      </x:c>
      <x:c r="G1816" s="42" t="n">
        <x:v>788.6</x:v>
      </x:c>
      <x:c r="H1816" s="42" t="n">
        <x:v>99147.66</x:v>
      </x:c>
      <x:c r="I1816" s="39" t="n">
        <x:v>46223</x:v>
      </x:c>
    </x:row>
    <x:row r="1817">
      <x:c r="A1817" s="21" t="str">
        <x:v>SYN-0519</x:v>
      </x:c>
      <x:c r="B1817" s="21" t="str">
        <x:v>Synthetic Supplier 0519 LLC</x:v>
      </x:c>
      <x:c r="C1817" s="38" t="str">
        <x:f>"900 000 000 000 519"</x:f>
        <x:v>900 000 000 000 519</x:v>
      </x:c>
      <x:c r="D1817" s="21" t="str">
        <x:v>SYN-0519-INV-03</x:v>
      </x:c>
      <x:c r="E1817" s="39" t="n">
        <x:v>45980</x:v>
      </x:c>
      <x:c r="F1817" s="42" t="n">
        <x:v>29688.36</x:v>
      </x:c>
      <x:c r="G1817" s="42" t="n">
        <x:v>1484.42</x:v>
      </x:c>
      <x:c r="H1817" s="42" t="n">
        <x:v>99147.66</x:v>
      </x:c>
      <x:c r="I1817" s="39" t="n">
        <x:v>46223</x:v>
      </x:c>
    </x:row>
    <x:row r="1818">
      <x:c r="A1818" s="21" t="str">
        <x:v>SYN-0519</x:v>
      </x:c>
      <x:c r="B1818" s="21" t="str">
        <x:v>Synthetic Supplier 0519 LLC</x:v>
      </x:c>
      <x:c r="C1818" s="38" t="str">
        <x:f>"900 000 000 000 519"</x:f>
        <x:v>900 000 000 000 519</x:v>
      </x:c>
      <x:c r="D1818" s="21" t="str">
        <x:v>SYN-0519-INV-04</x:v>
      </x:c>
      <x:c r="E1818" s="39" t="n">
        <x:v>46027</x:v>
      </x:c>
      <x:c r="F1818" s="42" t="n">
        <x:v>12873.09</x:v>
      </x:c>
      <x:c r="G1818" s="42" t="n">
        <x:v>643.65</x:v>
      </x:c>
      <x:c r="H1818" s="42" t="n">
        <x:v>99147.66</x:v>
      </x:c>
      <x:c r="I1818" s="39" t="n">
        <x:v>46223</x:v>
      </x:c>
    </x:row>
    <x:row r="1819">
      <x:c r="A1819" s="21" t="str">
        <x:v>SYN-0519</x:v>
      </x:c>
      <x:c r="B1819" s="21" t="str">
        <x:v>Synthetic Supplier 0519 LLC</x:v>
      </x:c>
      <x:c r="C1819" s="38" t="str">
        <x:f>"900 000 000 000 519"</x:f>
        <x:v>900 000 000 000 519</x:v>
      </x:c>
      <x:c r="D1819" s="21" t="str">
        <x:v>SYN-0519-INV-05</x:v>
      </x:c>
      <x:c r="E1819" s="39" t="n">
        <x:v>46074</x:v>
      </x:c>
      <x:c r="F1819" s="42" t="n">
        <x:v>24743.08</x:v>
      </x:c>
      <x:c r="G1819" s="42" t="n">
        <x:v>1237.15</x:v>
      </x:c>
      <x:c r="H1819" s="42" t="n">
        <x:v>99147.66</x:v>
      </x:c>
      <x:c r="I1819" s="39" t="n">
        <x:v>46223</x:v>
      </x:c>
    </x:row>
    <x:row r="1820">
      <x:c r="A1820" s="21" t="str">
        <x:v>SYN-0520</x:v>
      </x:c>
      <x:c r="B1820" s="21" t="str">
        <x:v>Synthetic Supplier 0520 LLC</x:v>
      </x:c>
      <x:c r="C1820" s="38" t="str">
        <x:f>"900 000 000 000 520"</x:f>
        <x:v>900 000 000 000 520</x:v>
      </x:c>
      <x:c r="D1820" s="21" t="str">
        <x:v>SYN-0520-INV-01</x:v>
      </x:c>
      <x:c r="E1820" s="39" t="n">
        <x:v>46259</x:v>
      </x:c>
      <x:c r="F1820" s="42" t="n">
        <x:v>112571.71</x:v>
      </x:c>
      <x:c r="G1820" s="42" t="n">
        <x:v>5628.59</x:v>
      </x:c>
      <x:c r="H1820" s="42" t="n">
        <x:v>155139.8</x:v>
      </x:c>
      <x:c r="I1820" s="39"/>
    </x:row>
    <x:row r="1821">
      <x:c r="A1821" s="21" t="str">
        <x:v>SYN-0520</x:v>
      </x:c>
      <x:c r="B1821" s="21" t="str">
        <x:v>Synthetic Supplier 0520 LLC</x:v>
      </x:c>
      <x:c r="C1821" s="38" t="str">
        <x:f>"900 000 000 000 520"</x:f>
        <x:v>900 000 000 000 520</x:v>
      </x:c>
      <x:c r="D1821" s="21" t="str">
        <x:v>SYN-0520-INV-02</x:v>
      </x:c>
      <x:c r="E1821" s="39" t="n">
        <x:v>45946</x:v>
      </x:c>
      <x:c r="F1821" s="42" t="n">
        <x:v>59805.85</x:v>
      </x:c>
      <x:c r="G1821" s="42" t="n">
        <x:v>2990.29</x:v>
      </x:c>
      <x:c r="H1821" s="42" t="n">
        <x:v>155139.8</x:v>
      </x:c>
      <x:c r="I1821" s="39"/>
    </x:row>
    <x:row r="1822">
      <x:c r="A1822" s="21" t="str">
        <x:v>SYN-0521</x:v>
      </x:c>
      <x:c r="B1822" s="21" t="str">
        <x:v>Synthetic Supplier 0521 LLC</x:v>
      </x:c>
      <x:c r="C1822" s="38" t="str">
        <x:f>"900 000 000 000 521"</x:f>
        <x:v>900 000 000 000 521</x:v>
      </x:c>
      <x:c r="D1822" s="21" t="str">
        <x:v>SYN-0521-INV-01</x:v>
      </x:c>
      <x:c r="E1822" s="39" t="n">
        <x:v>46272</x:v>
      </x:c>
      <x:c r="F1822" s="42" t="n">
        <x:v>93249.55</x:v>
      </x:c>
      <x:c r="G1822" s="42" t="n">
        <x:v>4662.48</x:v>
      </x:c>
      <x:c r="H1822" s="42" t="n">
        <x:v>261969.95</x:v>
      </x:c>
      <x:c r="I1822" s="39" t="n">
        <x:v>46287</x:v>
      </x:c>
    </x:row>
    <x:row r="1823">
      <x:c r="A1823" s="21" t="str">
        <x:v>SYN-0521</x:v>
      </x:c>
      <x:c r="B1823" s="21" t="str">
        <x:v>Synthetic Supplier 0521 LLC</x:v>
      </x:c>
      <x:c r="C1823" s="38" t="str">
        <x:f>"900 000 000 000 521"</x:f>
        <x:v>900 000 000 000 521</x:v>
      </x:c>
      <x:c r="D1823" s="21" t="str">
        <x:v>SYN-0521-INV-02</x:v>
      </x:c>
      <x:c r="E1823" s="39" t="n">
        <x:v>45959</x:v>
      </x:c>
      <x:c r="F1823" s="42" t="n">
        <x:v>100836.94</x:v>
      </x:c>
      <x:c r="G1823" s="42" t="n">
        <x:v>5041.85</x:v>
      </x:c>
      <x:c r="H1823" s="42" t="n">
        <x:v>261969.95</x:v>
      </x:c>
      <x:c r="I1823" s="39" t="n">
        <x:v>46287</x:v>
      </x:c>
    </x:row>
    <x:row r="1824">
      <x:c r="A1824" s="21" t="str">
        <x:v>SYN-0521</x:v>
      </x:c>
      <x:c r="B1824" s="21" t="str">
        <x:v>Synthetic Supplier 0521 LLC</x:v>
      </x:c>
      <x:c r="C1824" s="38" t="str">
        <x:f>"900 000 000 000 521"</x:f>
        <x:v>900 000 000 000 521</x:v>
      </x:c>
      <x:c r="D1824" s="21" t="str">
        <x:v>SYN-0521-INV-03</x:v>
      </x:c>
      <x:c r="E1824" s="39" t="n">
        <x:v>46006</x:v>
      </x:c>
      <x:c r="F1824" s="42" t="n">
        <x:v>96991.23</x:v>
      </x:c>
      <x:c r="G1824" s="42" t="n">
        <x:v>4849.56</x:v>
      </x:c>
      <x:c r="H1824" s="42" t="n">
        <x:v>261969.95</x:v>
      </x:c>
      <x:c r="I1824" s="39" t="n">
        <x:v>46287</x:v>
      </x:c>
    </x:row>
    <x:row r="1825">
      <x:c r="A1825" s="21" t="str">
        <x:v>SYN-0522</x:v>
      </x:c>
      <x:c r="B1825" s="21" t="str">
        <x:v>Synthetic Supplier 0522 LLC</x:v>
      </x:c>
      <x:c r="C1825" s="38" t="str">
        <x:f>"900 000 000 000 522"</x:f>
        <x:v>900 000 000 000 522</x:v>
      </x:c>
      <x:c r="D1825" s="21" t="str">
        <x:v>SYN-0522-INV-01</x:v>
      </x:c>
      <x:c r="E1825" s="39" t="n">
        <x:v>46285</x:v>
      </x:c>
      <x:c r="F1825" s="42" t="n">
        <x:v>62230.4</x:v>
      </x:c>
      <x:c r="G1825" s="42" t="n">
        <x:v>3111.52</x:v>
      </x:c>
      <x:c r="H1825" s="42" t="n">
        <x:v>180843.25</x:v>
      </x:c>
      <x:c r="I1825" s="39" t="n">
        <x:v>45680</x:v>
      </x:c>
    </x:row>
    <x:row r="1826">
      <x:c r="A1826" s="21" t="str">
        <x:v>SYN-0522</x:v>
      </x:c>
      <x:c r="B1826" s="21" t="str">
        <x:v>Synthetic Supplier 0522 LLC</x:v>
      </x:c>
      <x:c r="C1826" s="38" t="str">
        <x:f>"900 000 000 000 522"</x:f>
        <x:v>900 000 000 000 522</x:v>
      </x:c>
      <x:c r="D1826" s="21" t="str">
        <x:v>SYN-0522-INV-02</x:v>
      </x:c>
      <x:c r="E1826" s="39" t="n">
        <x:v>45972</x:v>
      </x:c>
      <x:c r="F1826" s="42" t="n">
        <x:v>49434.49</x:v>
      </x:c>
      <x:c r="G1826" s="42" t="n">
        <x:v>2471.72</x:v>
      </x:c>
      <x:c r="H1826" s="42" t="n">
        <x:v>180843.25</x:v>
      </x:c>
      <x:c r="I1826" s="39" t="n">
        <x:v>45680</x:v>
      </x:c>
    </x:row>
    <x:row r="1827">
      <x:c r="A1827" s="21" t="str">
        <x:v>SYN-0522</x:v>
      </x:c>
      <x:c r="B1827" s="21" t="str">
        <x:v>Synthetic Supplier 0522 LLC</x:v>
      </x:c>
      <x:c r="C1827" s="38" t="str">
        <x:f>"900 000 000 000 522"</x:f>
        <x:v>900 000 000 000 522</x:v>
      </x:c>
      <x:c r="D1827" s="21" t="str">
        <x:v>SYN-0522-INV-03</x:v>
      </x:c>
      <x:c r="E1827" s="39" t="n">
        <x:v>46019</x:v>
      </x:c>
      <x:c r="F1827" s="42" t="n">
        <x:v>61172.83</x:v>
      </x:c>
      <x:c r="G1827" s="42" t="n">
        <x:v>3058.64</x:v>
      </x:c>
      <x:c r="H1827" s="42" t="n">
        <x:v>180843.25</x:v>
      </x:c>
      <x:c r="I1827" s="39" t="n">
        <x:v>45680</x:v>
      </x:c>
    </x:row>
    <x:row r="1828">
      <x:c r="A1828" s="21" t="str">
        <x:v>SYN-0522</x:v>
      </x:c>
      <x:c r="B1828" s="21" t="str">
        <x:v>Synthetic Supplier 0522 LLC</x:v>
      </x:c>
      <x:c r="C1828" s="38" t="str">
        <x:f>"900 000 000 000 522"</x:f>
        <x:v>900 000 000 000 522</x:v>
      </x:c>
      <x:c r="D1828" s="21" t="str">
        <x:v>SYN-0522-INV-04</x:v>
      </x:c>
      <x:c r="E1828" s="39" t="n">
        <x:v>46066</x:v>
      </x:c>
      <x:c r="F1828" s="42" t="n">
        <x:v>28099.23</x:v>
      </x:c>
      <x:c r="G1828" s="42" t="n">
        <x:v>1404.96</x:v>
      </x:c>
      <x:c r="H1828" s="42" t="n">
        <x:v>180843.25</x:v>
      </x:c>
      <x:c r="I1828" s="39" t="n">
        <x:v>45680</x:v>
      </x:c>
    </x:row>
    <x:row r="1829">
      <x:c r="A1829" s="21" t="str">
        <x:v>SYN-0523</x:v>
      </x:c>
      <x:c r="B1829" s="21" t="str">
        <x:v>Synthetic Supplier 0523 LLC</x:v>
      </x:c>
      <x:c r="C1829" s="38" t="str">
        <x:f>"900 000 000 000 523"</x:f>
        <x:v>900 000 000 000 523</x:v>
      </x:c>
      <x:c r="D1829" s="21" t="str">
        <x:v>SYN-0523-INV-01</x:v>
      </x:c>
      <x:c r="E1829" s="39" t="n">
        <x:v>45938</x:v>
      </x:c>
      <x:c r="F1829" s="42" t="n">
        <x:v>33826.33</x:v>
      </x:c>
      <x:c r="G1829" s="42" t="n">
        <x:v>1691.32</x:v>
      </x:c>
      <x:c r="H1829" s="42" t="n">
        <x:v>145814.49</x:v>
      </x:c>
      <x:c r="I1829" s="39" t="n">
        <x:v>46077</x:v>
      </x:c>
    </x:row>
    <x:row r="1830">
      <x:c r="A1830" s="21" t="str">
        <x:v>SYN-0523</x:v>
      </x:c>
      <x:c r="B1830" s="21" t="str">
        <x:v>Synthetic Supplier 0523 LLC</x:v>
      </x:c>
      <x:c r="C1830" s="38" t="str">
        <x:f>"900 000 000 000 523"</x:f>
        <x:v>900 000 000 000 523</x:v>
      </x:c>
      <x:c r="D1830" s="21" t="str">
        <x:v>SYN-0523-INV-02</x:v>
      </x:c>
      <x:c r="E1830" s="39" t="n">
        <x:v>45985</x:v>
      </x:c>
      <x:c r="F1830" s="42" t="n">
        <x:v>47948.98</x:v>
      </x:c>
      <x:c r="G1830" s="42" t="n">
        <x:v>2397.45</x:v>
      </x:c>
      <x:c r="H1830" s="42" t="n">
        <x:v>145814.49</x:v>
      </x:c>
      <x:c r="I1830" s="39" t="n">
        <x:v>46077</x:v>
      </x:c>
    </x:row>
    <x:row r="1831">
      <x:c r="A1831" s="21" t="str">
        <x:v>SYN-0523</x:v>
      </x:c>
      <x:c r="B1831" s="21" t="str">
        <x:v>Synthetic Supplier 0523 LLC</x:v>
      </x:c>
      <x:c r="C1831" s="38" t="str">
        <x:f>"900 000 000 000 523"</x:f>
        <x:v>900 000 000 000 523</x:v>
      </x:c>
      <x:c r="D1831" s="21" t="str">
        <x:v>SYN-0523-INV-03</x:v>
      </x:c>
      <x:c r="E1831" s="39" t="n">
        <x:v>46032</x:v>
      </x:c>
      <x:c r="F1831" s="42" t="n">
        <x:v>23551.86</x:v>
      </x:c>
      <x:c r="G1831" s="42" t="n">
        <x:v>1177.59</x:v>
      </x:c>
      <x:c r="H1831" s="42" t="n">
        <x:v>145814.49</x:v>
      </x:c>
      <x:c r="I1831" s="39" t="n">
        <x:v>46077</x:v>
      </x:c>
    </x:row>
    <x:row r="1832">
      <x:c r="A1832" s="21" t="str">
        <x:v>SYN-0523</x:v>
      </x:c>
      <x:c r="B1832" s="21" t="str">
        <x:v>Synthetic Supplier 0523 LLC</x:v>
      </x:c>
      <x:c r="C1832" s="38" t="str">
        <x:f>"900 000 000 000 523"</x:f>
        <x:v>900 000 000 000 523</x:v>
      </x:c>
      <x:c r="D1832" s="21" t="str">
        <x:v>SYN-0523-INV-04</x:v>
      </x:c>
      <x:c r="E1832" s="39" t="n">
        <x:v>46079</x:v>
      </x:c>
      <x:c r="F1832" s="42" t="n">
        <x:v>22673.07</x:v>
      </x:c>
      <x:c r="G1832" s="42" t="n">
        <x:v>1133.65</x:v>
      </x:c>
      <x:c r="H1832" s="42" t="n">
        <x:v>145814.49</x:v>
      </x:c>
      <x:c r="I1832" s="39" t="n">
        <x:v>46077</x:v>
      </x:c>
    </x:row>
    <x:row r="1833">
      <x:c r="A1833" s="21" t="str">
        <x:v>SYN-0523</x:v>
      </x:c>
      <x:c r="B1833" s="21" t="str">
        <x:v>Synthetic Supplier 0523 LLC</x:v>
      </x:c>
      <x:c r="C1833" s="38" t="str">
        <x:f>"900 000 000 000 523"</x:f>
        <x:v>900 000 000 000 523</x:v>
      </x:c>
      <x:c r="D1833" s="21" t="str">
        <x:v>SYN-0523-INV-05</x:v>
      </x:c>
      <x:c r="E1833" s="39" t="n">
        <x:v>46126</x:v>
      </x:c>
      <x:c r="F1833" s="42" t="n">
        <x:v>34015.85</x:v>
      </x:c>
      <x:c r="G1833" s="42" t="n">
        <x:v>1700.79</x:v>
      </x:c>
      <x:c r="H1833" s="42" t="n">
        <x:v>145814.49</x:v>
      </x:c>
      <x:c r="I1833" s="39" t="n">
        <x:v>46077</x:v>
      </x:c>
    </x:row>
    <x:row r="1834">
      <x:c r="A1834" s="21" t="str">
        <x:v>SYN-0524</x:v>
      </x:c>
      <x:c r="B1834" s="21" t="str">
        <x:v>Synthetic Supplier 0524 LLC</x:v>
      </x:c>
      <x:c r="C1834" s="38" t="str">
        <x:f>"900 000 000 000 524"</x:f>
        <x:v>900 000 000 000 524</x:v>
      </x:c>
      <x:c r="D1834" s="21" t="str">
        <x:v>SYN-0524-INV-01</x:v>
      </x:c>
      <x:c r="E1834" s="39" t="n">
        <x:v>45951</x:v>
      </x:c>
      <x:c r="F1834" s="42" t="n">
        <x:v>151441.51</x:v>
      </x:c>
      <x:c r="G1834" s="42" t="n">
        <x:v>7572.08</x:v>
      </x:c>
      <x:c r="H1834" s="42" t="n">
        <x:v>236888.85</x:v>
      </x:c>
      <x:c r="I1834" s="39" t="n">
        <x:v>45741</x:v>
      </x:c>
    </x:row>
    <x:row r="1835">
      <x:c r="A1835" s="21" t="str">
        <x:v>SYN-0524</x:v>
      </x:c>
      <x:c r="B1835" s="21" t="str">
        <x:v>Synthetic Supplier 0524 LLC</x:v>
      </x:c>
      <x:c r="C1835" s="38" t="str">
        <x:f>"900 000 000 000 524"</x:f>
        <x:v>900 000 000 000 524</x:v>
      </x:c>
      <x:c r="D1835" s="21" t="str">
        <x:v>SYN-0524-INV-02</x:v>
      </x:c>
      <x:c r="E1835" s="39" t="n">
        <x:v>45998</x:v>
      </x:c>
      <x:c r="F1835" s="42" t="n">
        <x:v>111768.32</x:v>
      </x:c>
      <x:c r="G1835" s="42" t="n">
        <x:v>5588.42</x:v>
      </x:c>
      <x:c r="H1835" s="42" t="n">
        <x:v>236888.85</x:v>
      </x:c>
      <x:c r="I1835" s="39" t="n">
        <x:v>45741</x:v>
      </x:c>
    </x:row>
    <x:row r="1836">
      <x:c r="A1836" s="21" t="str">
        <x:v>SYN-0525</x:v>
      </x:c>
      <x:c r="B1836" s="21" t="str">
        <x:v>Synthetic Supplier 0525 LLC</x:v>
      </x:c>
      <x:c r="C1836" s="38" t="str">
        <x:f>"900 000 000 000 525"</x:f>
        <x:v>900 000 000 000 525</x:v>
      </x:c>
      <x:c r="D1836" s="21" t="str">
        <x:v>SYN-0525-INV-01</x:v>
      </x:c>
      <x:c r="E1836" s="39" t="n">
        <x:v>45964</x:v>
      </x:c>
      <x:c r="F1836" s="42" t="n">
        <x:v>74517.29</x:v>
      </x:c>
      <x:c r="G1836" s="42" t="n">
        <x:v>3725.86</x:v>
      </x:c>
      <x:c r="H1836" s="42" t="n">
        <x:v>195934</x:v>
      </x:c>
      <x:c r="I1836" s="39"/>
    </x:row>
    <x:row r="1837">
      <x:c r="A1837" s="21" t="str">
        <x:v>SYN-0525</x:v>
      </x:c>
      <x:c r="B1837" s="21" t="str">
        <x:v>Synthetic Supplier 0525 LLC</x:v>
      </x:c>
      <x:c r="C1837" s="38" t="str">
        <x:f>"900 000 000 000 525"</x:f>
        <x:v>900 000 000 000 525</x:v>
      </x:c>
      <x:c r="D1837" s="21" t="str">
        <x:v>SYN-0525-INV-02</x:v>
      </x:c>
      <x:c r="E1837" s="39" t="n">
        <x:v>46011</x:v>
      </x:c>
      <x:c r="F1837" s="42" t="n">
        <x:v>39725.96</x:v>
      </x:c>
      <x:c r="G1837" s="42" t="n">
        <x:v>1986.3</x:v>
      </x:c>
      <x:c r="H1837" s="42" t="n">
        <x:v>195934</x:v>
      </x:c>
      <x:c r="I1837" s="39"/>
    </x:row>
    <x:row r="1838">
      <x:c r="A1838" s="21" t="str">
        <x:v>SYN-0525</x:v>
      </x:c>
      <x:c r="B1838" s="21" t="str">
        <x:v>Synthetic Supplier 0525 LLC</x:v>
      </x:c>
      <x:c r="C1838" s="38" t="str">
        <x:f>"900 000 000 000 525"</x:f>
        <x:v>900 000 000 000 525</x:v>
      </x:c>
      <x:c r="D1838" s="21" t="str">
        <x:v>SYN-0525-INV-03</x:v>
      </x:c>
      <x:c r="E1838" s="39" t="n">
        <x:v>46058</x:v>
      </x:c>
      <x:c r="F1838" s="42" t="n">
        <x:v>56134.15</x:v>
      </x:c>
      <x:c r="G1838" s="42" t="n">
        <x:v>2806.71</x:v>
      </x:c>
      <x:c r="H1838" s="42" t="n">
        <x:v>195934</x:v>
      </x:c>
      <x:c r="I1838" s="39"/>
    </x:row>
    <x:row r="1839">
      <x:c r="A1839" s="21" t="str">
        <x:v>SYN-0526</x:v>
      </x:c>
      <x:c r="B1839" s="21" t="str">
        <x:v>Synthetic Supplier 0526 LLC</x:v>
      </x:c>
      <x:c r="C1839" s="38" t="str">
        <x:f>"900 000 000 000 526"</x:f>
        <x:v>900 000 000 000 526</x:v>
      </x:c>
      <x:c r="D1839" s="21" t="str">
        <x:v>SYN-0526-INV-01</x:v>
      </x:c>
      <x:c r="E1839" s="39" t="n">
        <x:v>45977</x:v>
      </x:c>
      <x:c r="F1839" s="42" t="n">
        <x:v>60508.27</x:v>
      </x:c>
      <x:c r="G1839" s="42" t="n">
        <x:v>3025.41</x:v>
      </x:c>
      <x:c r="H1839" s="42" t="n">
        <x:v>240636.93</x:v>
      </x:c>
      <x:c r="I1839" s="39" t="n">
        <x:v>45779</x:v>
      </x:c>
    </x:row>
    <x:row r="1840">
      <x:c r="A1840" s="21" t="str">
        <x:v>SYN-0526</x:v>
      </x:c>
      <x:c r="B1840" s="21" t="str">
        <x:v>Synthetic Supplier 0526 LLC</x:v>
      </x:c>
      <x:c r="C1840" s="38" t="str">
        <x:f>"900 000 000 000 526"</x:f>
        <x:v>900 000 000 000 526</x:v>
      </x:c>
      <x:c r="D1840" s="21" t="str">
        <x:v>SYN-0526-INV-02</x:v>
      </x:c>
      <x:c r="E1840" s="39" t="n">
        <x:v>46024</x:v>
      </x:c>
      <x:c r="F1840" s="42" t="n">
        <x:v>72763.32</x:v>
      </x:c>
      <x:c r="G1840" s="42" t="n">
        <x:v>3638.17</x:v>
      </x:c>
      <x:c r="H1840" s="42" t="n">
        <x:v>240636.93</x:v>
      </x:c>
      <x:c r="I1840" s="39" t="n">
        <x:v>45779</x:v>
      </x:c>
    </x:row>
    <x:row r="1841">
      <x:c r="A1841" s="21" t="str">
        <x:v>SYN-0526</x:v>
      </x:c>
      <x:c r="B1841" s="21" t="str">
        <x:v>Synthetic Supplier 0526 LLC</x:v>
      </x:c>
      <x:c r="C1841" s="38" t="str">
        <x:f>"900 000 000 000 526"</x:f>
        <x:v>900 000 000 000 526</x:v>
      </x:c>
      <x:c r="D1841" s="21" t="str">
        <x:v>SYN-0526-INV-03</x:v>
      </x:c>
      <x:c r="E1841" s="39" t="n">
        <x:v>46071</x:v>
      </x:c>
      <x:c r="F1841" s="42" t="n">
        <x:v>48970.48</x:v>
      </x:c>
      <x:c r="G1841" s="42" t="n">
        <x:v>2448.52</x:v>
      </x:c>
      <x:c r="H1841" s="42" t="n">
        <x:v>240636.93</x:v>
      </x:c>
      <x:c r="I1841" s="39" t="n">
        <x:v>45779</x:v>
      </x:c>
    </x:row>
    <x:row r="1842">
      <x:c r="A1842" s="21" t="str">
        <x:v>SYN-0526</x:v>
      </x:c>
      <x:c r="B1842" s="21" t="str">
        <x:v>Synthetic Supplier 0526 LLC</x:v>
      </x:c>
      <x:c r="C1842" s="38" t="str">
        <x:f>"900 000 000 000 526"</x:f>
        <x:v>900 000 000 000 526</x:v>
      </x:c>
      <x:c r="D1842" s="21" t="str">
        <x:v>SYN-0526-INV-04</x:v>
      </x:c>
      <x:c r="E1842" s="39" t="n">
        <x:v>46118</x:v>
      </x:c>
      <x:c r="F1842" s="42" t="n">
        <x:v>85132.29</x:v>
      </x:c>
      <x:c r="G1842" s="42" t="n">
        <x:v>4256.61</x:v>
      </x:c>
      <x:c r="H1842" s="42" t="n">
        <x:v>240636.93</x:v>
      </x:c>
      <x:c r="I1842" s="39" t="n">
        <x:v>45779</x:v>
      </x:c>
    </x:row>
    <x:row r="1843">
      <x:c r="A1843" s="21" t="str">
        <x:v>SYN-0527</x:v>
      </x:c>
      <x:c r="B1843" s="21" t="str">
        <x:v>Synthetic Supplier 0527 LLC</x:v>
      </x:c>
      <x:c r="C1843" s="38" t="str">
        <x:f>"900 000 000 000 527"</x:f>
        <x:v>900 000 000 000 527</x:v>
      </x:c>
      <x:c r="D1843" s="21" t="str">
        <x:v>SYN-0527-INV-01</x:v>
      </x:c>
      <x:c r="E1843" s="39" t="n">
        <x:v>45990</x:v>
      </x:c>
      <x:c r="F1843" s="42" t="n">
        <x:v>16787.37</x:v>
      </x:c>
      <x:c r="G1843" s="42" t="n">
        <x:v>839.37</x:v>
      </x:c>
      <x:c r="H1843" s="42" t="n">
        <x:v>105975.77</x:v>
      </x:c>
      <x:c r="I1843" s="39" t="n">
        <x:v>46176</x:v>
      </x:c>
    </x:row>
    <x:row r="1844">
      <x:c r="A1844" s="21" t="str">
        <x:v>SYN-0527</x:v>
      </x:c>
      <x:c r="B1844" s="21" t="str">
        <x:v>Synthetic Supplier 0527 LLC</x:v>
      </x:c>
      <x:c r="C1844" s="38" t="str">
        <x:f>"900 000 000 000 527"</x:f>
        <x:v>900 000 000 000 527</x:v>
      </x:c>
      <x:c r="D1844" s="21" t="str">
        <x:v>SYN-0527-INV-02</x:v>
      </x:c>
      <x:c r="E1844" s="39" t="n">
        <x:v>46037</x:v>
      </x:c>
      <x:c r="F1844" s="42" t="n">
        <x:v>27099.15</x:v>
      </x:c>
      <x:c r="G1844" s="42" t="n">
        <x:v>1354.96</x:v>
      </x:c>
      <x:c r="H1844" s="42" t="n">
        <x:v>105975.77</x:v>
      </x:c>
      <x:c r="I1844" s="39" t="n">
        <x:v>46176</x:v>
      </x:c>
    </x:row>
    <x:row r="1845">
      <x:c r="A1845" s="21" t="str">
        <x:v>SYN-0527</x:v>
      </x:c>
      <x:c r="B1845" s="21" t="str">
        <x:v>Synthetic Supplier 0527 LLC</x:v>
      </x:c>
      <x:c r="C1845" s="38" t="str">
        <x:f>"900 000 000 000 527"</x:f>
        <x:v>900 000 000 000 527</x:v>
      </x:c>
      <x:c r="D1845" s="21" t="str">
        <x:v>SYN-0527-INV-03</x:v>
      </x:c>
      <x:c r="E1845" s="39" t="n">
        <x:v>46084</x:v>
      </x:c>
      <x:c r="F1845" s="42" t="n">
        <x:v>28703.46</x:v>
      </x:c>
      <x:c r="G1845" s="42" t="n">
        <x:v>1435.17</x:v>
      </x:c>
      <x:c r="H1845" s="42" t="n">
        <x:v>105975.77</x:v>
      </x:c>
      <x:c r="I1845" s="39" t="n">
        <x:v>46176</x:v>
      </x:c>
    </x:row>
    <x:row r="1846">
      <x:c r="A1846" s="21" t="str">
        <x:v>SYN-0527</x:v>
      </x:c>
      <x:c r="B1846" s="21" t="str">
        <x:v>Synthetic Supplier 0527 LLC</x:v>
      </x:c>
      <x:c r="C1846" s="38" t="str">
        <x:f>"900 000 000 000 527"</x:f>
        <x:v>900 000 000 000 527</x:v>
      </x:c>
      <x:c r="D1846" s="21" t="str">
        <x:v>SYN-0527-INV-04</x:v>
      </x:c>
      <x:c r="E1846" s="39" t="n">
        <x:v>46131</x:v>
      </x:c>
      <x:c r="F1846" s="42" t="n">
        <x:v>16300.35</x:v>
      </x:c>
      <x:c r="G1846" s="42" t="n">
        <x:v>815.02</x:v>
      </x:c>
      <x:c r="H1846" s="42" t="n">
        <x:v>105975.77</x:v>
      </x:c>
      <x:c r="I1846" s="39" t="n">
        <x:v>46176</x:v>
      </x:c>
    </x:row>
    <x:row r="1847">
      <x:c r="A1847" s="21" t="str">
        <x:v>SYN-0527</x:v>
      </x:c>
      <x:c r="B1847" s="21" t="str">
        <x:v>Synthetic Supplier 0527 LLC</x:v>
      </x:c>
      <x:c r="C1847" s="38" t="str">
        <x:f>"900 000 000 000 527"</x:f>
        <x:v>900 000 000 000 527</x:v>
      </x:c>
      <x:c r="D1847" s="21" t="str">
        <x:v>SYN-0527-INV-05</x:v>
      </x:c>
      <x:c r="E1847" s="39" t="n">
        <x:v>46178</x:v>
      </x:c>
      <x:c r="F1847" s="42" t="n">
        <x:v>28860.52</x:v>
      </x:c>
      <x:c r="G1847" s="42" t="n">
        <x:v>1443.03</x:v>
      </x:c>
      <x:c r="H1847" s="42" t="n">
        <x:v>105975.77</x:v>
      </x:c>
      <x:c r="I1847" s="39" t="n">
        <x:v>46176</x:v>
      </x:c>
    </x:row>
    <x:row r="1848">
      <x:c r="A1848" s="21" t="str">
        <x:v>SYN-0528</x:v>
      </x:c>
      <x:c r="B1848" s="21" t="str">
        <x:v>Synthetic Supplier 0528 LLC</x:v>
      </x:c>
      <x:c r="C1848" s="38" t="str">
        <x:f>"900 000 000 000 528"</x:f>
        <x:v>900 000 000 000 528</x:v>
      </x:c>
      <x:c r="D1848" s="21" t="str">
        <x:v>SYN-0528-INV-01</x:v>
      </x:c>
      <x:c r="E1848" s="39" t="n">
        <x:v>46003</x:v>
      </x:c>
      <x:c r="F1848" s="42" t="n">
        <x:v>127648.25</x:v>
      </x:c>
      <x:c r="G1848" s="42" t="n">
        <x:v>6382.41</x:v>
      </x:c>
      <x:c r="H1848" s="42" t="n">
        <x:v>232306.9</x:v>
      </x:c>
      <x:c r="I1848" s="39" t="n">
        <x:v>45842</x:v>
      </x:c>
    </x:row>
    <x:row r="1849">
      <x:c r="A1849" s="21" t="str">
        <x:v>SYN-0528</x:v>
      </x:c>
      <x:c r="B1849" s="21" t="str">
        <x:v>Synthetic Supplier 0528 LLC</x:v>
      </x:c>
      <x:c r="C1849" s="38" t="str">
        <x:f>"900 000 000 000 528"</x:f>
        <x:v>900 000 000 000 528</x:v>
      </x:c>
      <x:c r="D1849" s="21" t="str">
        <x:v>SYN-0528-INV-02</x:v>
      </x:c>
      <x:c r="E1849" s="39" t="n">
        <x:v>46050</x:v>
      </x:c>
      <x:c r="F1849" s="42" t="n">
        <x:v>130470.53</x:v>
      </x:c>
      <x:c r="G1849" s="42" t="n">
        <x:v>6523.53</x:v>
      </x:c>
      <x:c r="H1849" s="42" t="n">
        <x:v>232306.9</x:v>
      </x:c>
      <x:c r="I1849" s="39" t="n">
        <x:v>45842</x:v>
      </x:c>
    </x:row>
    <x:row r="1850">
      <x:c r="A1850" s="21" t="str">
        <x:v>SYN-0529</x:v>
      </x:c>
      <x:c r="B1850" s="21" t="str">
        <x:v>Synthetic Supplier 0529 LLC</x:v>
      </x:c>
      <x:c r="C1850" s="38" t="str">
        <x:f>"900 000 000 000 529"</x:f>
        <x:v>900 000 000 000 529</x:v>
      </x:c>
      <x:c r="D1850" s="21" t="str">
        <x:v>SYN-0529-INV-01</x:v>
      </x:c>
      <x:c r="E1850" s="39" t="n">
        <x:v>46016</x:v>
      </x:c>
      <x:c r="F1850" s="42" t="n">
        <x:v>60767.35</x:v>
      </x:c>
      <x:c r="G1850" s="42" t="n">
        <x:v>3038.37</x:v>
      </x:c>
      <x:c r="H1850" s="42" t="n">
        <x:v>182520.4</x:v>
      </x:c>
      <x:c r="I1850" s="39" t="n">
        <x:v>46239</x:v>
      </x:c>
    </x:row>
    <x:row r="1851">
      <x:c r="A1851" s="21" t="str">
        <x:v>SYN-0529</x:v>
      </x:c>
      <x:c r="B1851" s="21" t="str">
        <x:v>Synthetic Supplier 0529 LLC</x:v>
      </x:c>
      <x:c r="C1851" s="38" t="str">
        <x:f>"900 000 000 000 529"</x:f>
        <x:v>900 000 000 000 529</x:v>
      </x:c>
      <x:c r="D1851" s="21" t="str">
        <x:v>SYN-0529-INV-02</x:v>
      </x:c>
      <x:c r="E1851" s="39" t="n">
        <x:v>46063</x:v>
      </x:c>
      <x:c r="F1851" s="42" t="n">
        <x:v>56959.13</x:v>
      </x:c>
      <x:c r="G1851" s="42" t="n">
        <x:v>2847.96</x:v>
      </x:c>
      <x:c r="H1851" s="42" t="n">
        <x:v>182520.4</x:v>
      </x:c>
      <x:c r="I1851" s="39" t="n">
        <x:v>46239</x:v>
      </x:c>
    </x:row>
    <x:row r="1852">
      <x:c r="A1852" s="21" t="str">
        <x:v>SYN-0529</x:v>
      </x:c>
      <x:c r="B1852" s="21" t="str">
        <x:v>Synthetic Supplier 0529 LLC</x:v>
      </x:c>
      <x:c r="C1852" s="38" t="str">
        <x:f>"900 000 000 000 529"</x:f>
        <x:v>900 000 000 000 529</x:v>
      </x:c>
      <x:c r="D1852" s="21" t="str">
        <x:v>SYN-0529-INV-03</x:v>
      </x:c>
      <x:c r="E1852" s="39" t="n">
        <x:v>46110</x:v>
      </x:c>
      <x:c r="F1852" s="42" t="n">
        <x:v>85073.96</x:v>
      </x:c>
      <x:c r="G1852" s="42" t="n">
        <x:v>4253.7</x:v>
      </x:c>
      <x:c r="H1852" s="42" t="n">
        <x:v>182520.4</x:v>
      </x:c>
      <x:c r="I1852" s="39" t="n">
        <x:v>46239</x:v>
      </x:c>
    </x:row>
    <x:row r="1853">
      <x:c r="A1853" s="21" t="str">
        <x:v>SYN-0530</x:v>
      </x:c>
      <x:c r="B1853" s="21" t="str">
        <x:v>Synthetic Supplier 0530 LLC</x:v>
      </x:c>
      <x:c r="C1853" s="38" t="str">
        <x:f>"900 000 000 000 530"</x:f>
        <x:v>900 000 000 000 530</x:v>
      </x:c>
      <x:c r="D1853" s="21" t="str">
        <x:v>SYN-0530-INV-01</x:v>
      </x:c>
      <x:c r="E1853" s="39" t="n">
        <x:v>46029</x:v>
      </x:c>
      <x:c r="F1853" s="42" t="n">
        <x:v>45969.39</x:v>
      </x:c>
      <x:c r="G1853" s="42" t="n">
        <x:v>2298.47</x:v>
      </x:c>
      <x:c r="H1853" s="42" t="n">
        <x:v>159356.5</x:v>
      </x:c>
      <x:c r="I1853" s="39"/>
    </x:row>
    <x:row r="1854">
      <x:c r="A1854" s="21" t="str">
        <x:v>SYN-0530</x:v>
      </x:c>
      <x:c r="B1854" s="21" t="str">
        <x:v>Synthetic Supplier 0530 LLC</x:v>
      </x:c>
      <x:c r="C1854" s="38" t="str">
        <x:f>"900 000 000 000 530"</x:f>
        <x:v>900 000 000 000 530</x:v>
      </x:c>
      <x:c r="D1854" s="21" t="str">
        <x:v>SYN-0530-INV-02</x:v>
      </x:c>
      <x:c r="E1854" s="39" t="n">
        <x:v>46076</x:v>
      </x:c>
      <x:c r="F1854" s="42" t="n">
        <x:v>41666.46</x:v>
      </x:c>
      <x:c r="G1854" s="42" t="n">
        <x:v>2083.32</x:v>
      </x:c>
      <x:c r="H1854" s="42" t="n">
        <x:v>159356.5</x:v>
      </x:c>
      <x:c r="I1854" s="39"/>
    </x:row>
    <x:row r="1855">
      <x:c r="A1855" s="21" t="str">
        <x:v>SYN-0530</x:v>
      </x:c>
      <x:c r="B1855" s="21" t="str">
        <x:v>Synthetic Supplier 0530 LLC</x:v>
      </x:c>
      <x:c r="C1855" s="38" t="str">
        <x:f>"900 000 000 000 530"</x:f>
        <x:v>900 000 000 000 530</x:v>
      </x:c>
      <x:c r="D1855" s="21" t="str">
        <x:v>SYN-0530-INV-03</x:v>
      </x:c>
      <x:c r="E1855" s="39" t="n">
        <x:v>46123</x:v>
      </x:c>
      <x:c r="F1855" s="42" t="n">
        <x:v>37416.75</x:v>
      </x:c>
      <x:c r="G1855" s="42" t="n">
        <x:v>1870.84</x:v>
      </x:c>
      <x:c r="H1855" s="42" t="n">
        <x:v>159356.5</x:v>
      </x:c>
      <x:c r="I1855" s="39"/>
    </x:row>
    <x:row r="1856">
      <x:c r="A1856" s="21" t="str">
        <x:v>SYN-0530</x:v>
      </x:c>
      <x:c r="B1856" s="21" t="str">
        <x:v>Synthetic Supplier 0530 LLC</x:v>
      </x:c>
      <x:c r="C1856" s="38" t="str">
        <x:f>"900 000 000 000 530"</x:f>
        <x:v>900 000 000 000 530</x:v>
      </x:c>
      <x:c r="D1856" s="21" t="str">
        <x:v>SYN-0530-INV-04</x:v>
      </x:c>
      <x:c r="E1856" s="39" t="n">
        <x:v>46170</x:v>
      </x:c>
      <x:c r="F1856" s="42" t="n">
        <x:v>52010.19</x:v>
      </x:c>
      <x:c r="G1856" s="42" t="n">
        <x:v>2600.51</x:v>
      </x:c>
      <x:c r="H1856" s="42" t="n">
        <x:v>159356.5</x:v>
      </x:c>
      <x:c r="I1856" s="39"/>
    </x:row>
    <x:row r="1857">
      <x:c r="A1857" s="21" t="str">
        <x:v>SYN-0531</x:v>
      </x:c>
      <x:c r="B1857" s="21" t="str">
        <x:v>Synthetic Supplier 0531 LLC</x:v>
      </x:c>
      <x:c r="C1857" s="38" t="str">
        <x:f>"900 000 000 000 531"</x:f>
        <x:v>900 000 000 000 531</x:v>
      </x:c>
      <x:c r="D1857" s="21" t="str">
        <x:v>SYN-0531-INV-01</x:v>
      </x:c>
      <x:c r="E1857" s="39" t="n">
        <x:v>46042</x:v>
      </x:c>
      <x:c r="F1857" s="42" t="n">
        <x:v>34478.52</x:v>
      </x:c>
      <x:c r="G1857" s="42" t="n">
        <x:v>1723.93</x:v>
      </x:c>
      <x:c r="H1857" s="42" t="n">
        <x:v>201791.07</x:v>
      </x:c>
      <x:c r="I1857" s="39" t="n">
        <x:v>46029</x:v>
      </x:c>
    </x:row>
    <x:row r="1858">
      <x:c r="A1858" s="21" t="str">
        <x:v>SYN-0531</x:v>
      </x:c>
      <x:c r="B1858" s="21" t="str">
        <x:v>Synthetic Supplier 0531 LLC</x:v>
      </x:c>
      <x:c r="C1858" s="38" t="str">
        <x:f>"900 000 000 000 531"</x:f>
        <x:v>900 000 000 000 531</x:v>
      </x:c>
      <x:c r="D1858" s="21" t="str">
        <x:v>SYN-0531-INV-02</x:v>
      </x:c>
      <x:c r="E1858" s="39" t="n">
        <x:v>46089</x:v>
      </x:c>
      <x:c r="F1858" s="42" t="n">
        <x:v>31582.04</x:v>
      </x:c>
      <x:c r="G1858" s="42" t="n">
        <x:v>1579.1</x:v>
      </x:c>
      <x:c r="H1858" s="42" t="n">
        <x:v>201791.07</x:v>
      </x:c>
      <x:c r="I1858" s="39" t="n">
        <x:v>46029</x:v>
      </x:c>
    </x:row>
    <x:row r="1859">
      <x:c r="A1859" s="21" t="str">
        <x:v>SYN-0531</x:v>
      </x:c>
      <x:c r="B1859" s="21" t="str">
        <x:v>Synthetic Supplier 0531 LLC</x:v>
      </x:c>
      <x:c r="C1859" s="38" t="str">
        <x:f>"900 000 000 000 531"</x:f>
        <x:v>900 000 000 000 531</x:v>
      </x:c>
      <x:c r="D1859" s="21" t="str">
        <x:v>SYN-0531-INV-03</x:v>
      </x:c>
      <x:c r="E1859" s="39" t="n">
        <x:v>46136</x:v>
      </x:c>
      <x:c r="F1859" s="42" t="n">
        <x:v>57648.43</x:v>
      </x:c>
      <x:c r="G1859" s="42" t="n">
        <x:v>2882.42</x:v>
      </x:c>
      <x:c r="H1859" s="42" t="n">
        <x:v>201791.07</x:v>
      </x:c>
      <x:c r="I1859" s="39" t="n">
        <x:v>46029</x:v>
      </x:c>
    </x:row>
    <x:row r="1860">
      <x:c r="A1860" s="21" t="str">
        <x:v>SYN-0531</x:v>
      </x:c>
      <x:c r="B1860" s="21" t="str">
        <x:v>Synthetic Supplier 0531 LLC</x:v>
      </x:c>
      <x:c r="C1860" s="38" t="str">
        <x:f>"900 000 000 000 531"</x:f>
        <x:v>900 000 000 000 531</x:v>
      </x:c>
      <x:c r="D1860" s="21" t="str">
        <x:v>SYN-0531-INV-04</x:v>
      </x:c>
      <x:c r="E1860" s="39" t="n">
        <x:v>46183</x:v>
      </x:c>
      <x:c r="F1860" s="42" t="n">
        <x:v>54503.23</x:v>
      </x:c>
      <x:c r="G1860" s="42" t="n">
        <x:v>2725.16</x:v>
      </x:c>
      <x:c r="H1860" s="42" t="n">
        <x:v>201791.07</x:v>
      </x:c>
      <x:c r="I1860" s="39" t="n">
        <x:v>46029</x:v>
      </x:c>
    </x:row>
    <x:row r="1861">
      <x:c r="A1861" s="21" t="str">
        <x:v>SYN-0531</x:v>
      </x:c>
      <x:c r="B1861" s="21" t="str">
        <x:v>Synthetic Supplier 0531 LLC</x:v>
      </x:c>
      <x:c r="C1861" s="38" t="str">
        <x:f>"900 000 000 000 531"</x:f>
        <x:v>900 000 000 000 531</x:v>
      </x:c>
      <x:c r="D1861" s="21" t="str">
        <x:v>SYN-0531-INV-05</x:v>
      </x:c>
      <x:c r="E1861" s="39" t="n">
        <x:v>46230</x:v>
      </x:c>
      <x:c r="F1861" s="42" t="n">
        <x:v>46000.08</x:v>
      </x:c>
      <x:c r="G1861" s="42" t="n">
        <x:v>2300</x:v>
      </x:c>
      <x:c r="H1861" s="42" t="n">
        <x:v>201791.07</x:v>
      </x:c>
      <x:c r="I1861" s="39" t="n">
        <x:v>46029</x:v>
      </x:c>
    </x:row>
    <x:row r="1862">
      <x:c r="A1862" s="21" t="str">
        <x:v>SYN-0532</x:v>
      </x:c>
      <x:c r="B1862" s="21" t="str">
        <x:v>Synthetic Supplier 0532 LLC</x:v>
      </x:c>
      <x:c r="C1862" s="38" t="str">
        <x:f>"900 000 000 000 532"</x:f>
        <x:v>900 000 000 000 532</x:v>
      </x:c>
      <x:c r="D1862" s="21" t="str">
        <x:v>SYN-0532-INV-01</x:v>
      </x:c>
      <x:c r="E1862" s="39" t="n">
        <x:v>46055</x:v>
      </x:c>
      <x:c r="F1862" s="42" t="n">
        <x:v>66747.39</x:v>
      </x:c>
      <x:c r="G1862" s="42" t="n">
        <x:v>3337.37</x:v>
      </x:c>
      <x:c r="H1862" s="42" t="n">
        <x:v>191609.76</x:v>
      </x:c>
      <x:c r="I1862" s="39" t="n">
        <x:v>45696</x:v>
      </x:c>
    </x:row>
    <x:row r="1863">
      <x:c r="A1863" s="21" t="str">
        <x:v>SYN-0532</x:v>
      </x:c>
      <x:c r="B1863" s="21" t="str">
        <x:v>Synthetic Supplier 0532 LLC</x:v>
      </x:c>
      <x:c r="C1863" s="38" t="str">
        <x:f>"900 000 000 000 532"</x:f>
        <x:v>900 000 000 000 532</x:v>
      </x:c>
      <x:c r="D1863" s="21" t="str">
        <x:v>SYN-0532-INV-02</x:v>
      </x:c>
      <x:c r="E1863" s="39" t="n">
        <x:v>46102</x:v>
      </x:c>
      <x:c r="F1863" s="42" t="n">
        <x:v>99869.79</x:v>
      </x:c>
      <x:c r="G1863" s="42" t="n">
        <x:v>4993.49</x:v>
      </x:c>
      <x:c r="H1863" s="42" t="n">
        <x:v>191609.76</x:v>
      </x:c>
      <x:c r="I1863" s="39" t="n">
        <x:v>45696</x:v>
      </x:c>
    </x:row>
    <x:row r="1864">
      <x:c r="A1864" s="21" t="str">
        <x:v>SYN-0533</x:v>
      </x:c>
      <x:c r="B1864" s="21" t="str">
        <x:v>Synthetic Supplier 0533 LLC</x:v>
      </x:c>
      <x:c r="C1864" s="38" t="str">
        <x:f>"900 000 000 000 533"</x:f>
        <x:v>900 000 000 000 533</x:v>
      </x:c>
      <x:c r="D1864" s="21" t="str">
        <x:v>SYN-0533-INV-01</x:v>
      </x:c>
      <x:c r="E1864" s="39" t="n">
        <x:v>46068</x:v>
      </x:c>
      <x:c r="F1864" s="42" t="n">
        <x:v>61923.25</x:v>
      </x:c>
      <x:c r="G1864" s="42" t="n">
        <x:v>3096.16</x:v>
      </x:c>
      <x:c r="H1864" s="42" t="n">
        <x:v>197622.65</x:v>
      </x:c>
      <x:c r="I1864" s="39" t="n">
        <x:v>46090</x:v>
      </x:c>
    </x:row>
    <x:row r="1865">
      <x:c r="A1865" s="21" t="str">
        <x:v>SYN-0533</x:v>
      </x:c>
      <x:c r="B1865" s="21" t="str">
        <x:v>Synthetic Supplier 0533 LLC</x:v>
      </x:c>
      <x:c r="C1865" s="38" t="str">
        <x:f>"900 000 000 000 533"</x:f>
        <x:v>900 000 000 000 533</x:v>
      </x:c>
      <x:c r="D1865" s="21" t="str">
        <x:v>SYN-0533-INV-02</x:v>
      </x:c>
      <x:c r="E1865" s="39" t="n">
        <x:v>46115</x:v>
      </x:c>
      <x:c r="F1865" s="42" t="n">
        <x:v>81874.36</x:v>
      </x:c>
      <x:c r="G1865" s="42" t="n">
        <x:v>4093.72</x:v>
      </x:c>
      <x:c r="H1865" s="42" t="n">
        <x:v>197622.65</x:v>
      </x:c>
      <x:c r="I1865" s="39" t="n">
        <x:v>46090</x:v>
      </x:c>
    </x:row>
    <x:row r="1866">
      <x:c r="A1866" s="21" t="str">
        <x:v>SYN-0533</x:v>
      </x:c>
      <x:c r="B1866" s="21" t="str">
        <x:v>Synthetic Supplier 0533 LLC</x:v>
      </x:c>
      <x:c r="C1866" s="38" t="str">
        <x:f>"900 000 000 000 533"</x:f>
        <x:v>900 000 000 000 533</x:v>
      </x:c>
      <x:c r="D1866" s="21" t="str">
        <x:v>SYN-0533-INV-03</x:v>
      </x:c>
      <x:c r="E1866" s="39" t="n">
        <x:v>46162</x:v>
      </x:c>
      <x:c r="F1866" s="42" t="n">
        <x:v>75783.11</x:v>
      </x:c>
      <x:c r="G1866" s="42" t="n">
        <x:v>3789.16</x:v>
      </x:c>
      <x:c r="H1866" s="42" t="n">
        <x:v>197622.65</x:v>
      </x:c>
      <x:c r="I1866" s="39" t="n">
        <x:v>46090</x:v>
      </x:c>
    </x:row>
    <x:row r="1867">
      <x:c r="A1867" s="21" t="str">
        <x:v>SYN-0534</x:v>
      </x:c>
      <x:c r="B1867" s="21" t="str">
        <x:v>Synthetic Supplier 0534 LLC</x:v>
      </x:c>
      <x:c r="C1867" s="38" t="str">
        <x:f>"900 000 000 000 534"</x:f>
        <x:v>900 000 000 000 534</x:v>
      </x:c>
      <x:c r="D1867" s="21" t="str">
        <x:v>SYN-0534-INV-01</x:v>
      </x:c>
      <x:c r="E1867" s="39" t="n">
        <x:v>46081</x:v>
      </x:c>
      <x:c r="F1867" s="42" t="n">
        <x:v>47294.01</x:v>
      </x:c>
      <x:c r="G1867" s="42" t="n">
        <x:v>2364.7</x:v>
      </x:c>
      <x:c r="H1867" s="42" t="n">
        <x:v>141144.29</x:v>
      </x:c>
      <x:c r="I1867" s="39" t="n">
        <x:v>45757</x:v>
      </x:c>
    </x:row>
    <x:row r="1868">
      <x:c r="A1868" s="21" t="str">
        <x:v>SYN-0534</x:v>
      </x:c>
      <x:c r="B1868" s="21" t="str">
        <x:v>Synthetic Supplier 0534 LLC</x:v>
      </x:c>
      <x:c r="C1868" s="38" t="str">
        <x:f>"900 000 000 000 534"</x:f>
        <x:v>900 000 000 000 534</x:v>
      </x:c>
      <x:c r="D1868" s="21" t="str">
        <x:v>SYN-0534-INV-02</x:v>
      </x:c>
      <x:c r="E1868" s="39" t="n">
        <x:v>46128</x:v>
      </x:c>
      <x:c r="F1868" s="42" t="n">
        <x:v>52651.87</x:v>
      </x:c>
      <x:c r="G1868" s="42" t="n">
        <x:v>2632.59</x:v>
      </x:c>
      <x:c r="H1868" s="42" t="n">
        <x:v>141144.29</x:v>
      </x:c>
      <x:c r="I1868" s="39" t="n">
        <x:v>45757</x:v>
      </x:c>
    </x:row>
    <x:row r="1869">
      <x:c r="A1869" s="21" t="str">
        <x:v>SYN-0534</x:v>
      </x:c>
      <x:c r="B1869" s="21" t="str">
        <x:v>Synthetic Supplier 0534 LLC</x:v>
      </x:c>
      <x:c r="C1869" s="38" t="str">
        <x:f>"900 000 000 000 534"</x:f>
        <x:v>900 000 000 000 534</x:v>
      </x:c>
      <x:c r="D1869" s="21" t="str">
        <x:v>SYN-0534-INV-03</x:v>
      </x:c>
      <x:c r="E1869" s="39" t="n">
        <x:v>46175</x:v>
      </x:c>
      <x:c r="F1869" s="42" t="n">
        <x:v>25827.08</x:v>
      </x:c>
      <x:c r="G1869" s="42" t="n">
        <x:v>1291.35</x:v>
      </x:c>
      <x:c r="H1869" s="42" t="n">
        <x:v>141144.29</x:v>
      </x:c>
      <x:c r="I1869" s="39" t="n">
        <x:v>45757</x:v>
      </x:c>
    </x:row>
    <x:row r="1870">
      <x:c r="A1870" s="21" t="str">
        <x:v>SYN-0534</x:v>
      </x:c>
      <x:c r="B1870" s="21" t="str">
        <x:v>Synthetic Supplier 0534 LLC</x:v>
      </x:c>
      <x:c r="C1870" s="38" t="str">
        <x:f>"900 000 000 000 534"</x:f>
        <x:v>900 000 000 000 534</x:v>
      </x:c>
      <x:c r="D1870" s="21" t="str">
        <x:v>SYN-0534-INV-04</x:v>
      </x:c>
      <x:c r="E1870" s="39" t="n">
        <x:v>46222</x:v>
      </x:c>
      <x:c r="F1870" s="42" t="n">
        <x:v>31054.03</x:v>
      </x:c>
      <x:c r="G1870" s="42" t="n">
        <x:v>1552.7</x:v>
      </x:c>
      <x:c r="H1870" s="42" t="n">
        <x:v>141144.29</x:v>
      </x:c>
      <x:c r="I1870" s="39" t="n">
        <x:v>45757</x:v>
      </x:c>
    </x:row>
    <x:row r="1871">
      <x:c r="A1871" s="21" t="str">
        <x:v>SYN-0535</x:v>
      </x:c>
      <x:c r="B1871" s="21" t="str">
        <x:v>Synthetic Supplier 0535 LLC</x:v>
      </x:c>
      <x:c r="C1871" s="38" t="str">
        <x:f>"900 000 000 000 535"</x:f>
        <x:v>900 000 000 000 535</x:v>
      </x:c>
      <x:c r="D1871" s="21" t="str">
        <x:v>SYN-0535-INV-01</x:v>
      </x:c>
      <x:c r="E1871" s="39" t="n">
        <x:v>46094</x:v>
      </x:c>
      <x:c r="F1871" s="42" t="n">
        <x:v>36423.6</x:v>
      </x:c>
      <x:c r="G1871" s="42" t="n">
        <x:v>1821.18</x:v>
      </x:c>
      <x:c r="H1871" s="42" t="n">
        <x:v>129658.06</x:v>
      </x:c>
      <x:c r="I1871" s="39"/>
    </x:row>
    <x:row r="1872">
      <x:c r="A1872" s="21" t="str">
        <x:v>SYN-0535</x:v>
      </x:c>
      <x:c r="B1872" s="21" t="str">
        <x:v>Synthetic Supplier 0535 LLC</x:v>
      </x:c>
      <x:c r="C1872" s="38" t="str">
        <x:f>"900 000 000 000 535"</x:f>
        <x:v>900 000 000 000 535</x:v>
      </x:c>
      <x:c r="D1872" s="21" t="str">
        <x:v>SYN-0535-INV-02</x:v>
      </x:c>
      <x:c r="E1872" s="39" t="n">
        <x:v>46141</x:v>
      </x:c>
      <x:c r="F1872" s="42" t="n">
        <x:v>33325.01</x:v>
      </x:c>
      <x:c r="G1872" s="42" t="n">
        <x:v>1666.25</x:v>
      </x:c>
      <x:c r="H1872" s="42" t="n">
        <x:v>129658.06</x:v>
      </x:c>
      <x:c r="I1872" s="39"/>
    </x:row>
    <x:row r="1873">
      <x:c r="A1873" s="21" t="str">
        <x:v>SYN-0535</x:v>
      </x:c>
      <x:c r="B1873" s="21" t="str">
        <x:v>Synthetic Supplier 0535 LLC</x:v>
      </x:c>
      <x:c r="C1873" s="38" t="str">
        <x:f>"900 000 000 000 535"</x:f>
        <x:v>900 000 000 000 535</x:v>
      </x:c>
      <x:c r="D1873" s="21" t="str">
        <x:v>SYN-0535-INV-03</x:v>
      </x:c>
      <x:c r="E1873" s="39" t="n">
        <x:v>46188</x:v>
      </x:c>
      <x:c r="F1873" s="42" t="n">
        <x:v>30014.71</x:v>
      </x:c>
      <x:c r="G1873" s="42" t="n">
        <x:v>1500.74</x:v>
      </x:c>
      <x:c r="H1873" s="42" t="n">
        <x:v>129658.06</x:v>
      </x:c>
      <x:c r="I1873" s="39"/>
    </x:row>
    <x:row r="1874">
      <x:c r="A1874" s="21" t="str">
        <x:v>SYN-0535</x:v>
      </x:c>
      <x:c r="B1874" s="21" t="str">
        <x:v>Synthetic Supplier 0535 LLC</x:v>
      </x:c>
      <x:c r="C1874" s="38" t="str">
        <x:f>"900 000 000 000 535"</x:f>
        <x:v>900 000 000 000 535</x:v>
      </x:c>
      <x:c r="D1874" s="21" t="str">
        <x:v>SYN-0535-INV-04</x:v>
      </x:c>
      <x:c r="E1874" s="39" t="n">
        <x:v>46235</x:v>
      </x:c>
      <x:c r="F1874" s="42" t="n">
        <x:v>24245.06</x:v>
      </x:c>
      <x:c r="G1874" s="42" t="n">
        <x:v>1212.25</x:v>
      </x:c>
      <x:c r="H1874" s="42" t="n">
        <x:v>129658.06</x:v>
      </x:c>
      <x:c r="I1874" s="39"/>
    </x:row>
    <x:row r="1875">
      <x:c r="A1875" s="21" t="str">
        <x:v>SYN-0535</x:v>
      </x:c>
      <x:c r="B1875" s="21" t="str">
        <x:v>Synthetic Supplier 0535 LLC</x:v>
      </x:c>
      <x:c r="C1875" s="38" t="str">
        <x:f>"900 000 000 000 535"</x:f>
        <x:v>900 000 000 000 535</x:v>
      </x:c>
      <x:c r="D1875" s="21" t="str">
        <x:v>SYN-0535-INV-05</x:v>
      </x:c>
      <x:c r="E1875" s="39" t="n">
        <x:v>46282</x:v>
      </x:c>
      <x:c r="F1875" s="42" t="n">
        <x:v>20056.13</x:v>
      </x:c>
      <x:c r="G1875" s="42" t="n">
        <x:v>1002.81</x:v>
      </x:c>
      <x:c r="H1875" s="42" t="n">
        <x:v>129658.06</x:v>
      </x:c>
      <x:c r="I1875" s="39"/>
    </x:row>
    <x:row r="1876">
      <x:c r="A1876" s="21" t="str">
        <x:v>SYN-0536</x:v>
      </x:c>
      <x:c r="B1876" s="21" t="str">
        <x:v>Synthetic Supplier 0536 LLC</x:v>
      </x:c>
      <x:c r="C1876" s="38" t="str">
        <x:f>"900 000 000 000 536"</x:f>
        <x:v>900 000 000 000 536</x:v>
      </x:c>
      <x:c r="D1876" s="21" t="str">
        <x:v>SYN-0536-INV-01</x:v>
      </x:c>
      <x:c r="E1876" s="39" t="n">
        <x:v>46107</x:v>
      </x:c>
      <x:c r="F1876" s="42" t="n">
        <x:v>135613.93</x:v>
      </x:c>
      <x:c r="G1876" s="42" t="n">
        <x:v>6780.7</x:v>
      </x:c>
      <x:c r="H1876" s="42" t="n">
        <x:v>299628.15</x:v>
      </x:c>
      <x:c r="I1876" s="39" t="n">
        <x:v>45820</x:v>
      </x:c>
    </x:row>
    <x:row r="1877">
      <x:c r="A1877" s="21" t="str">
        <x:v>SYN-0536</x:v>
      </x:c>
      <x:c r="B1877" s="21" t="str">
        <x:v>Synthetic Supplier 0536 LLC</x:v>
      </x:c>
      <x:c r="C1877" s="38" t="str">
        <x:f>"900 000 000 000 536"</x:f>
        <x:v>900 000 000 000 536</x:v>
      </x:c>
      <x:c r="D1877" s="21" t="str">
        <x:v>SYN-0536-INV-02</x:v>
      </x:c>
      <x:c r="E1877" s="39" t="n">
        <x:v>46154</x:v>
      </x:c>
      <x:c r="F1877" s="42" t="n">
        <x:v>197306.24</x:v>
      </x:c>
      <x:c r="G1877" s="42" t="n">
        <x:v>9865.31</x:v>
      </x:c>
      <x:c r="H1877" s="42" t="n">
        <x:v>299628.15</x:v>
      </x:c>
      <x:c r="I1877" s="39" t="n">
        <x:v>45820</x:v>
      </x:c>
    </x:row>
    <x:row r="1878">
      <x:c r="A1878" s="21" t="str">
        <x:v>SYN-0537</x:v>
      </x:c>
      <x:c r="B1878" s="21" t="str">
        <x:v>Synthetic Supplier 0537 LLC</x:v>
      </x:c>
      <x:c r="C1878" s="38" t="str">
        <x:f>"900 000 000 000 537"</x:f>
        <x:v>900 000 000 000 537</x:v>
      </x:c>
      <x:c r="D1878" s="21" t="str">
        <x:v>SYN-0537-INV-01</x:v>
      </x:c>
      <x:c r="E1878" s="39" t="n">
        <x:v>46120</x:v>
      </x:c>
      <x:c r="F1878" s="42" t="n">
        <x:v>43456.93</x:v>
      </x:c>
      <x:c r="G1878" s="42" t="n">
        <x:v>2172.85</x:v>
      </x:c>
      <x:c r="H1878" s="42" t="n">
        <x:v>113958.6</x:v>
      </x:c>
      <x:c r="I1878" s="39" t="n">
        <x:v>46216</x:v>
      </x:c>
    </x:row>
    <x:row r="1879">
      <x:c r="A1879" s="21" t="str">
        <x:v>SYN-0537</x:v>
      </x:c>
      <x:c r="B1879" s="21" t="str">
        <x:v>Synthetic Supplier 0537 LLC</x:v>
      </x:c>
      <x:c r="C1879" s="38" t="str">
        <x:f>"900 000 000 000 537"</x:f>
        <x:v>900 000 000 000 537</x:v>
      </x:c>
      <x:c r="D1879" s="21" t="str">
        <x:v>SYN-0537-INV-02</x:v>
      </x:c>
      <x:c r="E1879" s="39" t="n">
        <x:v>46167</x:v>
      </x:c>
      <x:c r="F1879" s="42" t="n">
        <x:v>46139.11</x:v>
      </x:c>
      <x:c r="G1879" s="42" t="n">
        <x:v>2306.96</x:v>
      </x:c>
      <x:c r="H1879" s="42" t="n">
        <x:v>113958.6</x:v>
      </x:c>
      <x:c r="I1879" s="39" t="n">
        <x:v>46216</x:v>
      </x:c>
    </x:row>
    <x:row r="1880">
      <x:c r="A1880" s="21" t="str">
        <x:v>SYN-0537</x:v>
      </x:c>
      <x:c r="B1880" s="21" t="str">
        <x:v>Synthetic Supplier 0537 LLC</x:v>
      </x:c>
      <x:c r="C1880" s="38" t="str">
        <x:f>"900 000 000 000 537"</x:f>
        <x:v>900 000 000 000 537</x:v>
      </x:c>
      <x:c r="D1880" s="21" t="str">
        <x:v>SYN-0537-INV-03</x:v>
      </x:c>
      <x:c r="E1880" s="39" t="n">
        <x:v>46214</x:v>
      </x:c>
      <x:c r="F1880" s="42" t="n">
        <x:v>37024.63</x:v>
      </x:c>
      <x:c r="G1880" s="42" t="n">
        <x:v>1851.23</x:v>
      </x:c>
      <x:c r="H1880" s="42" t="n">
        <x:v>113958.6</x:v>
      </x:c>
      <x:c r="I1880" s="39" t="n">
        <x:v>46216</x:v>
      </x:c>
    </x:row>
    <x:row r="1881">
      <x:c r="A1881" s="21" t="str">
        <x:v>SYN-0538</x:v>
      </x:c>
      <x:c r="B1881" s="21" t="str">
        <x:v>Synthetic Supplier 0538 LLC</x:v>
      </x:c>
      <x:c r="C1881" s="38" t="str">
        <x:f>"900 000 000 000 538"</x:f>
        <x:v>900 000 000 000 538</x:v>
      </x:c>
      <x:c r="D1881" s="21" t="str">
        <x:v>SYN-0538-INV-01</x:v>
      </x:c>
      <x:c r="E1881" s="39" t="n">
        <x:v>46133</x:v>
      </x:c>
      <x:c r="F1881" s="42" t="n">
        <x:v>52201.57</x:v>
      </x:c>
      <x:c r="G1881" s="42" t="n">
        <x:v>2610.08</x:v>
      </x:c>
      <x:c r="H1881" s="42" t="n">
        <x:v>240519.28</x:v>
      </x:c>
      <x:c r="I1881" s="39" t="n">
        <x:v>45883</x:v>
      </x:c>
    </x:row>
    <x:row r="1882">
      <x:c r="A1882" s="21" t="str">
        <x:v>SYN-0538</x:v>
      </x:c>
      <x:c r="B1882" s="21" t="str">
        <x:v>Synthetic Supplier 0538 LLC</x:v>
      </x:c>
      <x:c r="C1882" s="38" t="str">
        <x:f>"900 000 000 000 538"</x:f>
        <x:v>900 000 000 000 538</x:v>
      </x:c>
      <x:c r="D1882" s="21" t="str">
        <x:v>SYN-0538-INV-02</x:v>
      </x:c>
      <x:c r="E1882" s="39" t="n">
        <x:v>46180</x:v>
      </x:c>
      <x:c r="F1882" s="42" t="n">
        <x:v>79647.33</x:v>
      </x:c>
      <x:c r="G1882" s="42" t="n">
        <x:v>3982.37</x:v>
      </x:c>
      <x:c r="H1882" s="42" t="n">
        <x:v>240519.28</x:v>
      </x:c>
      <x:c r="I1882" s="39" t="n">
        <x:v>45883</x:v>
      </x:c>
    </x:row>
    <x:row r="1883">
      <x:c r="A1883" s="21" t="str">
        <x:v>SYN-0538</x:v>
      </x:c>
      <x:c r="B1883" s="21" t="str">
        <x:v>Synthetic Supplier 0538 LLC</x:v>
      </x:c>
      <x:c r="C1883" s="38" t="str">
        <x:f>"900 000 000 000 538"</x:f>
        <x:v>900 000 000 000 538</x:v>
      </x:c>
      <x:c r="D1883" s="21" t="str">
        <x:v>SYN-0538-INV-03</x:v>
      </x:c>
      <x:c r="E1883" s="39" t="n">
        <x:v>46227</x:v>
      </x:c>
      <x:c r="F1883" s="42" t="n">
        <x:v>90232.87</x:v>
      </x:c>
      <x:c r="G1883" s="42" t="n">
        <x:v>4511.64</x:v>
      </x:c>
      <x:c r="H1883" s="42" t="n">
        <x:v>240519.28</x:v>
      </x:c>
      <x:c r="I1883" s="39" t="n">
        <x:v>45883</x:v>
      </x:c>
    </x:row>
    <x:row r="1884">
      <x:c r="A1884" s="21" t="str">
        <x:v>SYN-0538</x:v>
      </x:c>
      <x:c r="B1884" s="21" t="str">
        <x:v>Synthetic Supplier 0538 LLC</x:v>
      </x:c>
      <x:c r="C1884" s="38" t="str">
        <x:f>"900 000 000 000 538"</x:f>
        <x:v>900 000 000 000 538</x:v>
      </x:c>
      <x:c r="D1884" s="21" t="str">
        <x:v>SYN-0538-INV-04</x:v>
      </x:c>
      <x:c r="E1884" s="39" t="n">
        <x:v>46274</x:v>
      </x:c>
      <x:c r="F1884" s="42" t="n">
        <x:v>45161.88</x:v>
      </x:c>
      <x:c r="G1884" s="42" t="n">
        <x:v>2258.09</x:v>
      </x:c>
      <x:c r="H1884" s="42" t="n">
        <x:v>240519.28</x:v>
      </x:c>
      <x:c r="I1884" s="39" t="n">
        <x:v>45883</x:v>
      </x:c>
    </x:row>
    <x:row r="1885">
      <x:c r="A1885" s="21" t="str">
        <x:v>SYN-0539</x:v>
      </x:c>
      <x:c r="B1885" s="21" t="str">
        <x:v>Synthetic Supplier 0539 LLC</x:v>
      </x:c>
      <x:c r="C1885" s="38" t="str">
        <x:f>"900 000 000 000 539"</x:f>
        <x:v>900 000 000 000 539</x:v>
      </x:c>
      <x:c r="D1885" s="21" t="str">
        <x:v>SYN-0539-INV-01</x:v>
      </x:c>
      <x:c r="E1885" s="39" t="n">
        <x:v>46146</x:v>
      </x:c>
      <x:c r="F1885" s="42" t="n">
        <x:v>28467.16</x:v>
      </x:c>
      <x:c r="G1885" s="42" t="n">
        <x:v>1423.36</x:v>
      </x:c>
      <x:c r="H1885" s="42" t="n">
        <x:v>201621.28</x:v>
      </x:c>
      <x:c r="I1885" s="39" t="n">
        <x:v>46280</x:v>
      </x:c>
    </x:row>
    <x:row r="1886">
      <x:c r="A1886" s="21" t="str">
        <x:v>SYN-0539</x:v>
      </x:c>
      <x:c r="B1886" s="21" t="str">
        <x:v>Synthetic Supplier 0539 LLC</x:v>
      </x:c>
      <x:c r="C1886" s="38" t="str">
        <x:f>"900 000 000 000 539"</x:f>
        <x:v>900 000 000 000 539</x:v>
      </x:c>
      <x:c r="D1886" s="21" t="str">
        <x:v>SYN-0539-INV-02</x:v>
      </x:c>
      <x:c r="E1886" s="39" t="n">
        <x:v>46193</x:v>
      </x:c>
      <x:c r="F1886" s="42" t="n">
        <x:v>43353.08</x:v>
      </x:c>
      <x:c r="G1886" s="42" t="n">
        <x:v>2167.65</x:v>
      </x:c>
      <x:c r="H1886" s="42" t="n">
        <x:v>201621.28</x:v>
      </x:c>
      <x:c r="I1886" s="39" t="n">
        <x:v>46280</x:v>
      </x:c>
    </x:row>
    <x:row r="1887">
      <x:c r="A1887" s="21" t="str">
        <x:v>SYN-0539</x:v>
      </x:c>
      <x:c r="B1887" s="21" t="str">
        <x:v>Synthetic Supplier 0539 LLC</x:v>
      </x:c>
      <x:c r="C1887" s="38" t="str">
        <x:f>"900 000 000 000 539"</x:f>
        <x:v>900 000 000 000 539</x:v>
      </x:c>
      <x:c r="D1887" s="21" t="str">
        <x:v>SYN-0539-INV-03</x:v>
      </x:c>
      <x:c r="E1887" s="39" t="n">
        <x:v>46240</x:v>
      </x:c>
      <x:c r="F1887" s="42" t="n">
        <x:v>37273.61</x:v>
      </x:c>
      <x:c r="G1887" s="42" t="n">
        <x:v>1863.68</x:v>
      </x:c>
      <x:c r="H1887" s="42" t="n">
        <x:v>201621.28</x:v>
      </x:c>
      <x:c r="I1887" s="39" t="n">
        <x:v>46280</x:v>
      </x:c>
    </x:row>
    <x:row r="1888">
      <x:c r="A1888" s="21" t="str">
        <x:v>SYN-0539</x:v>
      </x:c>
      <x:c r="B1888" s="21" t="str">
        <x:v>Synthetic Supplier 0539 LLC</x:v>
      </x:c>
      <x:c r="C1888" s="38" t="str">
        <x:f>"900 000 000 000 539"</x:f>
        <x:v>900 000 000 000 539</x:v>
      </x:c>
      <x:c r="D1888" s="21" t="str">
        <x:v>SYN-0539-INV-04</x:v>
      </x:c>
      <x:c r="E1888" s="39" t="n">
        <x:v>46287</x:v>
      </x:c>
      <x:c r="F1888" s="42" t="n">
        <x:v>37332.77</x:v>
      </x:c>
      <x:c r="G1888" s="42" t="n">
        <x:v>1866.64</x:v>
      </x:c>
      <x:c r="H1888" s="42" t="n">
        <x:v>201621.28</x:v>
      </x:c>
      <x:c r="I1888" s="39" t="n">
        <x:v>46280</x:v>
      </x:c>
    </x:row>
    <x:row r="1889">
      <x:c r="A1889" s="21" t="str">
        <x:v>SYN-0539</x:v>
      </x:c>
      <x:c r="B1889" s="21" t="str">
        <x:v>Synthetic Supplier 0539 LLC</x:v>
      </x:c>
      <x:c r="C1889" s="38" t="str">
        <x:f>"900 000 000 000 539"</x:f>
        <x:v>900 000 000 000 539</x:v>
      </x:c>
      <x:c r="D1889" s="21" t="str">
        <x:v>SYN-0539-INV-05</x:v>
      </x:c>
      <x:c r="E1889" s="39" t="n">
        <x:v>45974</x:v>
      </x:c>
      <x:c r="F1889" s="42" t="n">
        <x:v>28896.23</x:v>
      </x:c>
      <x:c r="G1889" s="42" t="n">
        <x:v>1444.81</x:v>
      </x:c>
      <x:c r="H1889" s="42" t="n">
        <x:v>201621.28</x:v>
      </x:c>
      <x:c r="I1889" s="39" t="n">
        <x:v>46280</x:v>
      </x:c>
    </x:row>
    <x:row r="1890">
      <x:c r="A1890" s="21" t="str">
        <x:v>SYN-0540</x:v>
      </x:c>
      <x:c r="B1890" s="21" t="str">
        <x:v>Synthetic Supplier 0540 LLC</x:v>
      </x:c>
      <x:c r="C1890" s="38" t="str">
        <x:f>"900 000 000 000 540"</x:f>
        <x:v>900 000 000 000 540</x:v>
      </x:c>
      <x:c r="D1890" s="21" t="str">
        <x:v>SYN-0540-INV-01</x:v>
      </x:c>
      <x:c r="E1890" s="39" t="n">
        <x:v>46159</x:v>
      </x:c>
      <x:c r="F1890" s="42" t="n">
        <x:v>185070.45</x:v>
      </x:c>
      <x:c r="G1890" s="42" t="n">
        <x:v>9253.52</x:v>
      </x:c>
      <x:c r="H1890" s="42" t="n">
        <x:v>279509.98</x:v>
      </x:c>
      <x:c r="I1890" s="39"/>
    </x:row>
    <x:row r="1891">
      <x:c r="A1891" s="21" t="str">
        <x:v>SYN-0540</x:v>
      </x:c>
      <x:c r="B1891" s="21" t="str">
        <x:v>Synthetic Supplier 0540 LLC</x:v>
      </x:c>
      <x:c r="C1891" s="38" t="str">
        <x:f>"900 000 000 000 540"</x:f>
        <x:v>900 000 000 000 540</x:v>
      </x:c>
      <x:c r="D1891" s="21" t="str">
        <x:v>SYN-0540-INV-02</x:v>
      </x:c>
      <x:c r="E1891" s="39" t="n">
        <x:v>46206</x:v>
      </x:c>
      <x:c r="F1891" s="42" t="n">
        <x:v>125496.2</x:v>
      </x:c>
      <x:c r="G1891" s="42" t="n">
        <x:v>6274.81</x:v>
      </x:c>
      <x:c r="H1891" s="42" t="n">
        <x:v>279509.98</x:v>
      </x:c>
      <x:c r="I1891" s="39"/>
    </x:row>
    <x:row r="1892">
      <x:c r="A1892" s="21" t="str">
        <x:v>SYN-0541</x:v>
      </x:c>
      <x:c r="B1892" s="21" t="str">
        <x:v>Synthetic Supplier 0541 LLC</x:v>
      </x:c>
      <x:c r="C1892" s="38" t="str">
        <x:f>"900 000 000 000 541"</x:f>
        <x:v>900 000 000 000 541</x:v>
      </x:c>
      <x:c r="D1892" s="21" t="str">
        <x:v>SYN-0541-INV-01</x:v>
      </x:c>
      <x:c r="E1892" s="39" t="n">
        <x:v>46172</x:v>
      </x:c>
      <x:c r="F1892" s="42" t="n">
        <x:v>71722.19</x:v>
      </x:c>
      <x:c r="G1892" s="42" t="n">
        <x:v>3586.11</x:v>
      </x:c>
      <x:c r="H1892" s="42" t="n">
        <x:v>278635.06</x:v>
      </x:c>
      <x:c r="I1892" s="39" t="n">
        <x:v>46070</x:v>
      </x:c>
    </x:row>
    <x:row r="1893">
      <x:c r="A1893" s="21" t="str">
        <x:v>SYN-0541</x:v>
      </x:c>
      <x:c r="B1893" s="21" t="str">
        <x:v>Synthetic Supplier 0541 LLC</x:v>
      </x:c>
      <x:c r="C1893" s="38" t="str">
        <x:f>"900 000 000 000 541"</x:f>
        <x:v>900 000 000 000 541</x:v>
      </x:c>
      <x:c r="D1893" s="21" t="str">
        <x:v>SYN-0541-INV-02</x:v>
      </x:c>
      <x:c r="E1893" s="39" t="n">
        <x:v>46219</x:v>
      </x:c>
      <x:c r="F1893" s="42" t="n">
        <x:v>130763.34</x:v>
      </x:c>
      <x:c r="G1893" s="42" t="n">
        <x:v>6538.17</x:v>
      </x:c>
      <x:c r="H1893" s="42" t="n">
        <x:v>278635.06</x:v>
      </x:c>
      <x:c r="I1893" s="39" t="n">
        <x:v>46070</x:v>
      </x:c>
    </x:row>
    <x:row r="1894">
      <x:c r="A1894" s="21" t="str">
        <x:v>SYN-0541</x:v>
      </x:c>
      <x:c r="B1894" s="21" t="str">
        <x:v>Synthetic Supplier 0541 LLC</x:v>
      </x:c>
      <x:c r="C1894" s="38" t="str">
        <x:f>"900 000 000 000 541"</x:f>
        <x:v>900 000 000 000 541</x:v>
      </x:c>
      <x:c r="D1894" s="21" t="str">
        <x:v>SYN-0541-INV-03</x:v>
      </x:c>
      <x:c r="E1894" s="39" t="n">
        <x:v>46266</x:v>
      </x:c>
      <x:c r="F1894" s="42" t="n">
        <x:v>107108.98</x:v>
      </x:c>
      <x:c r="G1894" s="42" t="n">
        <x:v>5355.45</x:v>
      </x:c>
      <x:c r="H1894" s="42" t="n">
        <x:v>278635.06</x:v>
      </x:c>
      <x:c r="I1894" s="39" t="n">
        <x:v>46070</x:v>
      </x:c>
    </x:row>
    <x:row r="1895">
      <x:c r="A1895" s="21" t="str">
        <x:v>SYN-0542</x:v>
      </x:c>
      <x:c r="B1895" s="21" t="str">
        <x:v>Synthetic Supplier 0542 LLC</x:v>
      </x:c>
      <x:c r="C1895" s="38" t="str">
        <x:f>"900 000 000 000 542"</x:f>
        <x:v>900 000 000 000 542</x:v>
      </x:c>
      <x:c r="D1895" s="21" t="str">
        <x:v>SYN-0542-INV-01</x:v>
      </x:c>
      <x:c r="E1895" s="39" t="n">
        <x:v>46185</x:v>
      </x:c>
      <x:c r="F1895" s="42" t="n">
        <x:v>96235.68</x:v>
      </x:c>
      <x:c r="G1895" s="42" t="n">
        <x:v>4811.78</x:v>
      </x:c>
      <x:c r="H1895" s="42" t="n">
        <x:v>300054.09</x:v>
      </x:c>
      <x:c r="I1895" s="39" t="n">
        <x:v>45734</x:v>
      </x:c>
    </x:row>
    <x:row r="1896">
      <x:c r="A1896" s="21" t="str">
        <x:v>SYN-0542</x:v>
      </x:c>
      <x:c r="B1896" s="21" t="str">
        <x:v>Synthetic Supplier 0542 LLC</x:v>
      </x:c>
      <x:c r="C1896" s="38" t="str">
        <x:f>"900 000 000 000 542"</x:f>
        <x:v>900 000 000 000 542</x:v>
      </x:c>
      <x:c r="D1896" s="21" t="str">
        <x:v>SYN-0542-INV-02</x:v>
      </x:c>
      <x:c r="E1896" s="39" t="n">
        <x:v>46232</x:v>
      </x:c>
      <x:c r="F1896" s="42" t="n">
        <x:v>55824.89</x:v>
      </x:c>
      <x:c r="G1896" s="42" t="n">
        <x:v>2791.24</x:v>
      </x:c>
      <x:c r="H1896" s="42" t="n">
        <x:v>300054.09</x:v>
      </x:c>
      <x:c r="I1896" s="39" t="n">
        <x:v>45734</x:v>
      </x:c>
    </x:row>
    <x:row r="1897">
      <x:c r="A1897" s="21" t="str">
        <x:v>SYN-0542</x:v>
      </x:c>
      <x:c r="B1897" s="21" t="str">
        <x:v>Synthetic Supplier 0542 LLC</x:v>
      </x:c>
      <x:c r="C1897" s="38" t="str">
        <x:f>"900 000 000 000 542"</x:f>
        <x:v>900 000 000 000 542</x:v>
      </x:c>
      <x:c r="D1897" s="21" t="str">
        <x:v>SYN-0542-INV-03</x:v>
      </x:c>
      <x:c r="E1897" s="39" t="n">
        <x:v>46279</x:v>
      </x:c>
      <x:c r="F1897" s="42" t="n">
        <x:v>68513.37</x:v>
      </x:c>
      <x:c r="G1897" s="42" t="n">
        <x:v>3425.67</x:v>
      </x:c>
      <x:c r="H1897" s="42" t="n">
        <x:v>300054.09</x:v>
      </x:c>
      <x:c r="I1897" s="39" t="n">
        <x:v>45734</x:v>
      </x:c>
    </x:row>
    <x:row r="1898">
      <x:c r="A1898" s="21" t="str">
        <x:v>SYN-0542</x:v>
      </x:c>
      <x:c r="B1898" s="21" t="str">
        <x:v>Synthetic Supplier 0542 LLC</x:v>
      </x:c>
      <x:c r="C1898" s="38" t="str">
        <x:f>"900 000 000 000 542"</x:f>
        <x:v>900 000 000 000 542</x:v>
      </x:c>
      <x:c r="D1898" s="21" t="str">
        <x:v>SYN-0542-INV-04</x:v>
      </x:c>
      <x:c r="E1898" s="39" t="n">
        <x:v>45966</x:v>
      </x:c>
      <x:c r="F1898" s="42" t="n">
        <x:v>112819.49</x:v>
      </x:c>
      <x:c r="G1898" s="42" t="n">
        <x:v>5640.97</x:v>
      </x:c>
      <x:c r="H1898" s="42" t="n">
        <x:v>300054.09</x:v>
      </x:c>
      <x:c r="I1898" s="39" t="n">
        <x:v>45734</x:v>
      </x:c>
    </x:row>
    <x:row r="1899">
      <x:c r="A1899" s="21" t="str">
        <x:v>SYN-0543</x:v>
      </x:c>
      <x:c r="B1899" s="21" t="str">
        <x:v>Synthetic Supplier 0543 LLC</x:v>
      </x:c>
      <x:c r="C1899" s="38" t="str">
        <x:f>"900 000 000 000 543"</x:f>
        <x:v>900 000 000 000 543</x:v>
      </x:c>
      <x:c r="D1899" s="21" t="str">
        <x:v>SYN-0543-INV-01</x:v>
      </x:c>
      <x:c r="E1899" s="39" t="n">
        <x:v>46198</x:v>
      </x:c>
      <x:c r="F1899" s="42" t="n">
        <x:v>84787.04</x:v>
      </x:c>
      <x:c r="G1899" s="42" t="n">
        <x:v>4239.35</x:v>
      </x:c>
      <x:c r="H1899" s="42" t="n">
        <x:v>309511.69</x:v>
      </x:c>
      <x:c r="I1899" s="39" t="n">
        <x:v>46131</x:v>
      </x:c>
    </x:row>
    <x:row r="1900">
      <x:c r="A1900" s="21" t="str">
        <x:v>SYN-0543</x:v>
      </x:c>
      <x:c r="B1900" s="21" t="str">
        <x:v>Synthetic Supplier 0543 LLC</x:v>
      </x:c>
      <x:c r="C1900" s="38" t="str">
        <x:f>"900 000 000 000 543"</x:f>
        <x:v>900 000 000 000 543</x:v>
      </x:c>
      <x:c r="D1900" s="21" t="str">
        <x:v>SYN-0543-INV-02</x:v>
      </x:c>
      <x:c r="E1900" s="39" t="n">
        <x:v>46245</x:v>
      </x:c>
      <x:c r="F1900" s="42" t="n">
        <x:v>63454.52</x:v>
      </x:c>
      <x:c r="G1900" s="42" t="n">
        <x:v>3172.73</x:v>
      </x:c>
      <x:c r="H1900" s="42" t="n">
        <x:v>309511.69</x:v>
      </x:c>
      <x:c r="I1900" s="39" t="n">
        <x:v>46131</x:v>
      </x:c>
    </x:row>
    <x:row r="1901">
      <x:c r="A1901" s="21" t="str">
        <x:v>SYN-0543</x:v>
      </x:c>
      <x:c r="B1901" s="21" t="str">
        <x:v>Synthetic Supplier 0543 LLC</x:v>
      </x:c>
      <x:c r="C1901" s="38" t="str">
        <x:f>"900 000 000 000 543"</x:f>
        <x:v>900 000 000 000 543</x:v>
      </x:c>
      <x:c r="D1901" s="21" t="str">
        <x:v>SYN-0543-INV-03</x:v>
      </x:c>
      <x:c r="E1901" s="39" t="n">
        <x:v>45932</x:v>
      </x:c>
      <x:c r="F1901" s="42" t="n">
        <x:v>43927.58</x:v>
      </x:c>
      <x:c r="G1901" s="42" t="n">
        <x:v>2196.38</x:v>
      </x:c>
      <x:c r="H1901" s="42" t="n">
        <x:v>309511.69</x:v>
      </x:c>
      <x:c r="I1901" s="39" t="n">
        <x:v>46131</x:v>
      </x:c>
    </x:row>
    <x:row r="1902">
      <x:c r="A1902" s="21" t="str">
        <x:v>SYN-0543</x:v>
      </x:c>
      <x:c r="B1902" s="21" t="str">
        <x:v>Synthetic Supplier 0543 LLC</x:v>
      </x:c>
      <x:c r="C1902" s="38" t="str">
        <x:f>"900 000 000 000 543"</x:f>
        <x:v>900 000 000 000 543</x:v>
      </x:c>
      <x:c r="D1902" s="21" t="str">
        <x:v>SYN-0543-INV-04</x:v>
      </x:c>
      <x:c r="E1902" s="39" t="n">
        <x:v>45979</x:v>
      </x:c>
      <x:c r="F1902" s="42" t="n">
        <x:v>90326.39</x:v>
      </x:c>
      <x:c r="G1902" s="42" t="n">
        <x:v>4516.32</x:v>
      </x:c>
      <x:c r="H1902" s="42" t="n">
        <x:v>309511.69</x:v>
      </x:c>
      <x:c r="I1902" s="39" t="n">
        <x:v>46131</x:v>
      </x:c>
    </x:row>
    <x:row r="1903">
      <x:c r="A1903" s="21" t="str">
        <x:v>SYN-0543</x:v>
      </x:c>
      <x:c r="B1903" s="21" t="str">
        <x:v>Synthetic Supplier 0543 LLC</x:v>
      </x:c>
      <x:c r="C1903" s="38" t="str">
        <x:f>"900 000 000 000 543"</x:f>
        <x:v>900 000 000 000 543</x:v>
      </x:c>
      <x:c r="D1903" s="21" t="str">
        <x:v>SYN-0543-INV-05</x:v>
      </x:c>
      <x:c r="E1903" s="39" t="n">
        <x:v>46026</x:v>
      </x:c>
      <x:c r="F1903" s="42" t="n">
        <x:v>61406.36</x:v>
      </x:c>
      <x:c r="G1903" s="42" t="n">
        <x:v>3070.32</x:v>
      </x:c>
      <x:c r="H1903" s="42" t="n">
        <x:v>309511.69</x:v>
      </x:c>
      <x:c r="I1903" s="39" t="n">
        <x:v>46131</x:v>
      </x:c>
    </x:row>
    <x:row r="1904">
      <x:c r="A1904" s="21" t="str">
        <x:v>SYN-0544</x:v>
      </x:c>
      <x:c r="B1904" s="21" t="str">
        <x:v>Synthetic Supplier 0544 LLC</x:v>
      </x:c>
      <x:c r="C1904" s="38" t="str">
        <x:f>"900 000 000 000 544"</x:f>
        <x:v>900 000 000 000 544</x:v>
      </x:c>
      <x:c r="D1904" s="21" t="str">
        <x:v>SYN-0544-INV-01</x:v>
      </x:c>
      <x:c r="E1904" s="39" t="n">
        <x:v>46211</x:v>
      </x:c>
      <x:c r="F1904" s="42" t="n">
        <x:v>68760.38</x:v>
      </x:c>
      <x:c r="G1904" s="42" t="n">
        <x:v>3438.02</x:v>
      </x:c>
      <x:c r="H1904" s="42" t="n">
        <x:v>122783.87</x:v>
      </x:c>
      <x:c r="I1904" s="39" t="n">
        <x:v>45797</x:v>
      </x:c>
    </x:row>
    <x:row r="1905">
      <x:c r="A1905" s="21" t="str">
        <x:v>SYN-0544</x:v>
      </x:c>
      <x:c r="B1905" s="21" t="str">
        <x:v>Synthetic Supplier 0544 LLC</x:v>
      </x:c>
      <x:c r="C1905" s="38" t="str">
        <x:f>"900 000 000 000 544"</x:f>
        <x:v>900 000 000 000 544</x:v>
      </x:c>
      <x:c r="D1905" s="21" t="str">
        <x:v>SYN-0544-INV-02</x:v>
      </x:c>
      <x:c r="E1905" s="39" t="n">
        <x:v>46258</x:v>
      </x:c>
      <x:c r="F1905" s="42" t="n">
        <x:v>67666.14</x:v>
      </x:c>
      <x:c r="G1905" s="42" t="n">
        <x:v>3383.31</x:v>
      </x:c>
      <x:c r="H1905" s="42" t="n">
        <x:v>122783.87</x:v>
      </x:c>
      <x:c r="I1905" s="39" t="n">
        <x:v>45797</x:v>
      </x:c>
    </x:row>
    <x:row r="1906">
      <x:c r="A1906" s="21" t="str">
        <x:v>SYN-0545</x:v>
      </x:c>
      <x:c r="B1906" s="21" t="str">
        <x:v>Synthetic Supplier 0545 LLC</x:v>
      </x:c>
      <x:c r="C1906" s="38" t="str">
        <x:f>"900 000 000 000 545"</x:f>
        <x:v>900 000 000 000 545</x:v>
      </x:c>
      <x:c r="D1906" s="21" t="str">
        <x:v>SYN-0545-INV-01</x:v>
      </x:c>
      <x:c r="E1906" s="39" t="n">
        <x:v>46224</x:v>
      </x:c>
      <x:c r="F1906" s="42" t="n">
        <x:v>66523.23</x:v>
      </x:c>
      <x:c r="G1906" s="42" t="n">
        <x:v>3326.16</x:v>
      </x:c>
      <x:c r="H1906" s="42" t="n">
        <x:v>148561.53</x:v>
      </x:c>
      <x:c r="I1906" s="39"/>
    </x:row>
    <x:row r="1907">
      <x:c r="A1907" s="21" t="str">
        <x:v>SYN-0545</x:v>
      </x:c>
      <x:c r="B1907" s="21" t="str">
        <x:v>Synthetic Supplier 0545 LLC</x:v>
      </x:c>
      <x:c r="C1907" s="38" t="str">
        <x:f>"900 000 000 000 545"</x:f>
        <x:v>900 000 000 000 545</x:v>
      </x:c>
      <x:c r="D1907" s="21" t="str">
        <x:v>SYN-0545-INV-02</x:v>
      </x:c>
      <x:c r="E1907" s="39" t="n">
        <x:v>46271</x:v>
      </x:c>
      <x:c r="F1907" s="42" t="n">
        <x:v>58949.52</x:v>
      </x:c>
      <x:c r="G1907" s="42" t="n">
        <x:v>2947.48</x:v>
      </x:c>
      <x:c r="H1907" s="42" t="n">
        <x:v>148561.53</x:v>
      </x:c>
      <x:c r="I1907" s="39"/>
    </x:row>
    <x:row r="1908">
      <x:c r="A1908" s="21" t="str">
        <x:v>SYN-0545</x:v>
      </x:c>
      <x:c r="B1908" s="21" t="str">
        <x:v>Synthetic Supplier 0545 LLC</x:v>
      </x:c>
      <x:c r="C1908" s="38" t="str">
        <x:f>"900 000 000 000 545"</x:f>
        <x:v>900 000 000 000 545</x:v>
      </x:c>
      <x:c r="D1908" s="21" t="str">
        <x:v>SYN-0545-INV-03</x:v>
      </x:c>
      <x:c r="E1908" s="39" t="n">
        <x:v>45958</x:v>
      </x:c>
      <x:c r="F1908" s="42" t="n">
        <x:v>39595.62</x:v>
      </x:c>
      <x:c r="G1908" s="42" t="n">
        <x:v>1979.78</x:v>
      </x:c>
      <x:c r="H1908" s="42" t="n">
        <x:v>148561.53</x:v>
      </x:c>
      <x:c r="I1908" s="39"/>
    </x:row>
    <x:row r="1909">
      <x:c r="A1909" s="21" t="str">
        <x:v>SYN-0546</x:v>
      </x:c>
      <x:c r="B1909" s="21" t="str">
        <x:v>Synthetic Supplier 0546 LLC</x:v>
      </x:c>
      <x:c r="C1909" s="38" t="str">
        <x:f>"900 000 000 000 546"</x:f>
        <x:v>900 000 000 000 546</x:v>
      </x:c>
      <x:c r="D1909" s="21" t="str">
        <x:v>SYN-0546-INV-01</x:v>
      </x:c>
      <x:c r="E1909" s="39" t="n">
        <x:v>46237</x:v>
      </x:c>
      <x:c r="F1909" s="42" t="n">
        <x:v>58414.49</x:v>
      </x:c>
      <x:c r="G1909" s="42" t="n">
        <x:v>2920.72</x:v>
      </x:c>
      <x:c r="H1909" s="42" t="n">
        <x:v>402231</x:v>
      </x:c>
      <x:c r="I1909" s="39" t="n">
        <x:v>45860</x:v>
      </x:c>
    </x:row>
    <x:row r="1910">
      <x:c r="A1910" s="21" t="str">
        <x:v>SYN-0546</x:v>
      </x:c>
      <x:c r="B1910" s="21" t="str">
        <x:v>Synthetic Supplier 0546 LLC</x:v>
      </x:c>
      <x:c r="C1910" s="38" t="str">
        <x:f>"900 000 000 000 546"</x:f>
        <x:v>900 000 000 000 546</x:v>
      </x:c>
      <x:c r="D1910" s="21" t="str">
        <x:v>SYN-0546-INV-02</x:v>
      </x:c>
      <x:c r="E1910" s="39" t="n">
        <x:v>46284</x:v>
      </x:c>
      <x:c r="F1910" s="42" t="n">
        <x:v>131538.83</x:v>
      </x:c>
      <x:c r="G1910" s="42" t="n">
        <x:v>6576.94</x:v>
      </x:c>
      <x:c r="H1910" s="42" t="n">
        <x:v>402231</x:v>
      </x:c>
      <x:c r="I1910" s="39" t="n">
        <x:v>45860</x:v>
      </x:c>
    </x:row>
    <x:row r="1911">
      <x:c r="A1911" s="21" t="str">
        <x:v>SYN-0546</x:v>
      </x:c>
      <x:c r="B1911" s="21" t="str">
        <x:v>Synthetic Supplier 0546 LLC</x:v>
      </x:c>
      <x:c r="C1911" s="38" t="str">
        <x:f>"900 000 000 000 546"</x:f>
        <x:v>900 000 000 000 546</x:v>
      </x:c>
      <x:c r="D1911" s="21" t="str">
        <x:v>SYN-0546-INV-03</x:v>
      </x:c>
      <x:c r="E1911" s="39" t="n">
        <x:v>45971</x:v>
      </x:c>
      <x:c r="F1911" s="42" t="n">
        <x:v>78324.19</x:v>
      </x:c>
      <x:c r="G1911" s="42" t="n">
        <x:v>3916.21</x:v>
      </x:c>
      <x:c r="H1911" s="42" t="n">
        <x:v>402231</x:v>
      </x:c>
      <x:c r="I1911" s="39" t="n">
        <x:v>45860</x:v>
      </x:c>
    </x:row>
    <x:row r="1912">
      <x:c r="A1912" s="21" t="str">
        <x:v>SYN-0546</x:v>
      </x:c>
      <x:c r="B1912" s="21" t="str">
        <x:v>Synthetic Supplier 0546 LLC</x:v>
      </x:c>
      <x:c r="C1912" s="38" t="str">
        <x:f>"900 000 000 000 546"</x:f>
        <x:v>900 000 000 000 546</x:v>
      </x:c>
      <x:c r="D1912" s="21" t="str">
        <x:v>SYN-0546-INV-04</x:v>
      </x:c>
      <x:c r="E1912" s="39" t="n">
        <x:v>46018</x:v>
      </x:c>
      <x:c r="F1912" s="42" t="n">
        <x:v>81488.58</x:v>
      </x:c>
      <x:c r="G1912" s="42" t="n">
        <x:v>4074.43</x:v>
      </x:c>
      <x:c r="H1912" s="42" t="n">
        <x:v>402231</x:v>
      </x:c>
      <x:c r="I1912" s="39" t="n">
        <x:v>45860</x:v>
      </x:c>
    </x:row>
    <x:row r="1913">
      <x:c r="A1913" s="21" t="str">
        <x:v>SYN-0547</x:v>
      </x:c>
      <x:c r="B1913" s="21" t="str">
        <x:v>Synthetic Supplier 0547 LLC</x:v>
      </x:c>
      <x:c r="C1913" s="38" t="str">
        <x:f>"900 000 000 000 547"</x:f>
        <x:v>900 000 000 000 547</x:v>
      </x:c>
      <x:c r="D1913" s="21" t="str">
        <x:v>SYN-0547-INV-01</x:v>
      </x:c>
      <x:c r="E1913" s="39" t="n">
        <x:v>46250</x:v>
      </x:c>
      <x:c r="F1913" s="42" t="n">
        <x:v>48024.53</x:v>
      </x:c>
      <x:c r="G1913" s="42" t="n">
        <x:v>2401.23</x:v>
      </x:c>
      <x:c r="H1913" s="42" t="n">
        <x:v>211536.01</x:v>
      </x:c>
      <x:c r="I1913" s="39" t="n">
        <x:v>46257</x:v>
      </x:c>
    </x:row>
    <x:row r="1914">
      <x:c r="A1914" s="21" t="str">
        <x:v>SYN-0547</x:v>
      </x:c>
      <x:c r="B1914" s="21" t="str">
        <x:v>Synthetic Supplier 0547 LLC</x:v>
      </x:c>
      <x:c r="C1914" s="38" t="str">
        <x:f>"900 000 000 000 547"</x:f>
        <x:v>900 000 000 000 547</x:v>
      </x:c>
      <x:c r="D1914" s="21" t="str">
        <x:v>SYN-0547-INV-02</x:v>
      </x:c>
      <x:c r="E1914" s="39" t="n">
        <x:v>45937</x:v>
      </x:c>
      <x:c r="F1914" s="42" t="n">
        <x:v>36148.17</x:v>
      </x:c>
      <x:c r="G1914" s="42" t="n">
        <x:v>1807.41</x:v>
      </x:c>
      <x:c r="H1914" s="42" t="n">
        <x:v>211536.01</x:v>
      </x:c>
      <x:c r="I1914" s="39" t="n">
        <x:v>46257</x:v>
      </x:c>
    </x:row>
    <x:row r="1915">
      <x:c r="A1915" s="21" t="str">
        <x:v>SYN-0547</x:v>
      </x:c>
      <x:c r="B1915" s="21" t="str">
        <x:v>Synthetic Supplier 0547 LLC</x:v>
      </x:c>
      <x:c r="C1915" s="38" t="str">
        <x:f>"900 000 000 000 547"</x:f>
        <x:v>900 000 000 000 547</x:v>
      </x:c>
      <x:c r="D1915" s="21" t="str">
        <x:v>SYN-0547-INV-03</x:v>
      </x:c>
      <x:c r="E1915" s="39" t="n">
        <x:v>45984</x:v>
      </x:c>
      <x:c r="F1915" s="42" t="n">
        <x:v>65096.87</x:v>
      </x:c>
      <x:c r="G1915" s="42" t="n">
        <x:v>3254.84</x:v>
      </x:c>
      <x:c r="H1915" s="42" t="n">
        <x:v>211536.01</x:v>
      </x:c>
      <x:c r="I1915" s="39" t="n">
        <x:v>46257</x:v>
      </x:c>
    </x:row>
    <x:row r="1916">
      <x:c r="A1916" s="21" t="str">
        <x:v>SYN-0547</x:v>
      </x:c>
      <x:c r="B1916" s="21" t="str">
        <x:v>Synthetic Supplier 0547 LLC</x:v>
      </x:c>
      <x:c r="C1916" s="38" t="str">
        <x:f>"900 000 000 000 547"</x:f>
        <x:v>900 000 000 000 547</x:v>
      </x:c>
      <x:c r="D1916" s="21" t="str">
        <x:v>SYN-0547-INV-04</x:v>
      </x:c>
      <x:c r="E1916" s="39" t="n">
        <x:v>46031</x:v>
      </x:c>
      <x:c r="F1916" s="42" t="n">
        <x:v>31491.06</x:v>
      </x:c>
      <x:c r="G1916" s="42" t="n">
        <x:v>1574.55</x:v>
      </x:c>
      <x:c r="H1916" s="42" t="n">
        <x:v>211536.01</x:v>
      </x:c>
      <x:c r="I1916" s="39" t="n">
        <x:v>46257</x:v>
      </x:c>
    </x:row>
    <x:row r="1917">
      <x:c r="A1917" s="21" t="str">
        <x:v>SYN-0547</x:v>
      </x:c>
      <x:c r="B1917" s="21" t="str">
        <x:v>Synthetic Supplier 0547 LLC</x:v>
      </x:c>
      <x:c r="C1917" s="38" t="str">
        <x:f>"900 000 000 000 547"</x:f>
        <x:v>900 000 000 000 547</x:v>
      </x:c>
      <x:c r="D1917" s="21" t="str">
        <x:v>SYN-0547-INV-05</x:v>
      </x:c>
      <x:c r="E1917" s="39" t="n">
        <x:v>46078</x:v>
      </x:c>
      <x:c r="F1917" s="42" t="n">
        <x:v>54279.38</x:v>
      </x:c>
      <x:c r="G1917" s="42" t="n">
        <x:v>2713.97</x:v>
      </x:c>
      <x:c r="H1917" s="42" t="n">
        <x:v>211536.01</x:v>
      </x:c>
      <x:c r="I1917" s="39" t="n">
        <x:v>46257</x:v>
      </x:c>
    </x:row>
    <x:row r="1918">
      <x:c r="A1918" s="21" t="str">
        <x:v>SYN-0548</x:v>
      </x:c>
      <x:c r="B1918" s="21" t="str">
        <x:v>Synthetic Supplier 0548 LLC</x:v>
      </x:c>
      <x:c r="C1918" s="38" t="str">
        <x:f>"900 000 000 000 548"</x:f>
        <x:v>900 000 000 000 548</x:v>
      </x:c>
      <x:c r="D1918" s="21" t="str">
        <x:v>SYN-0548-INV-01</x:v>
      </x:c>
      <x:c r="E1918" s="39" t="n">
        <x:v>46263</x:v>
      </x:c>
      <x:c r="F1918" s="42" t="n">
        <x:v>126009.91</x:v>
      </x:c>
      <x:c r="G1918" s="42" t="n">
        <x:v>6300.5</x:v>
      </x:c>
      <x:c r="H1918" s="42" t="n">
        <x:v>258528.06</x:v>
      </x:c>
      <x:c r="I1918" s="39" t="n">
        <x:v>45924</x:v>
      </x:c>
    </x:row>
    <x:row r="1919">
      <x:c r="A1919" s="21" t="str">
        <x:v>SYN-0548</x:v>
      </x:c>
      <x:c r="B1919" s="21" t="str">
        <x:v>Synthetic Supplier 0548 LLC</x:v>
      </x:c>
      <x:c r="C1919" s="38" t="str">
        <x:f>"900 000 000 000 548"</x:f>
        <x:v>900 000 000 000 548</x:v>
      </x:c>
      <x:c r="D1919" s="21" t="str">
        <x:v>SYN-0548-INV-02</x:v>
      </x:c>
      <x:c r="E1919" s="39" t="n">
        <x:v>45950</x:v>
      </x:c>
      <x:c r="F1919" s="42" t="n">
        <x:v>161243.49</x:v>
      </x:c>
      <x:c r="G1919" s="42" t="n">
        <x:v>8062.17</x:v>
      </x:c>
      <x:c r="H1919" s="42" t="n">
        <x:v>258528.06</x:v>
      </x:c>
      <x:c r="I1919" s="39" t="n">
        <x:v>45924</x:v>
      </x:c>
    </x:row>
    <x:row r="1920">
      <x:c r="A1920" s="21" t="str">
        <x:v>SYN-0549</x:v>
      </x:c>
      <x:c r="B1920" s="21" t="str">
        <x:v>Synthetic Supplier 0549 LLC</x:v>
      </x:c>
      <x:c r="C1920" s="38" t="str">
        <x:f>"900 000 000 000 549"</x:f>
        <x:v>900 000 000 000 549</x:v>
      </x:c>
      <x:c r="D1920" s="21" t="str">
        <x:v>SYN-0549-INV-01</x:v>
      </x:c>
      <x:c r="E1920" s="39" t="n">
        <x:v>46276</x:v>
      </x:c>
      <x:c r="F1920" s="42" t="n">
        <x:v>74856.83</x:v>
      </x:c>
      <x:c r="G1920" s="42" t="n">
        <x:v>3742.84</x:v>
      </x:c>
      <x:c r="H1920" s="42" t="n">
        <x:v>213757.7</x:v>
      </x:c>
      <x:c r="I1920" s="39" t="n">
        <x:v>46047</x:v>
      </x:c>
    </x:row>
    <x:row r="1921">
      <x:c r="A1921" s="21" t="str">
        <x:v>SYN-0549</x:v>
      </x:c>
      <x:c r="B1921" s="21" t="str">
        <x:v>Synthetic Supplier 0549 LLC</x:v>
      </x:c>
      <x:c r="C1921" s="38" t="str">
        <x:f>"900 000 000 000 549"</x:f>
        <x:v>900 000 000 000 549</x:v>
      </x:c>
      <x:c r="D1921" s="21" t="str">
        <x:v>SYN-0549-INV-02</x:v>
      </x:c>
      <x:c r="E1921" s="39" t="n">
        <x:v>45963</x:v>
      </x:c>
      <x:c r="F1921" s="42" t="n">
        <x:v>79125.21</x:v>
      </x:c>
      <x:c r="G1921" s="42" t="n">
        <x:v>3956.26</x:v>
      </x:c>
      <x:c r="H1921" s="42" t="n">
        <x:v>213757.7</x:v>
      </x:c>
      <x:c r="I1921" s="39" t="n">
        <x:v>46047</x:v>
      </x:c>
    </x:row>
    <x:row r="1922">
      <x:c r="A1922" s="21" t="str">
        <x:v>SYN-0549</x:v>
      </x:c>
      <x:c r="B1922" s="21" t="str">
        <x:v>Synthetic Supplier 0549 LLC</x:v>
      </x:c>
      <x:c r="C1922" s="38" t="str">
        <x:f>"900 000 000 000 549"</x:f>
        <x:v>900 000 000 000 549</x:v>
      </x:c>
      <x:c r="D1922" s="21" t="str">
        <x:v>SYN-0549-INV-03</x:v>
      </x:c>
      <x:c r="E1922" s="39" t="n">
        <x:v>46010</x:v>
      </x:c>
      <x:c r="F1922" s="42" t="n">
        <x:v>83526.52</x:v>
      </x:c>
      <x:c r="G1922" s="42" t="n">
        <x:v>4176.33</x:v>
      </x:c>
      <x:c r="H1922" s="42" t="n">
        <x:v>213757.7</x:v>
      </x:c>
      <x:c r="I1922" s="39" t="n">
        <x:v>46047</x:v>
      </x:c>
    </x:row>
    <x:row r="1923">
      <x:c r="A1923" s="21" t="str">
        <x:v>SYN-0550</x:v>
      </x:c>
      <x:c r="B1923" s="21" t="str">
        <x:v>Synthetic Supplier 0550 LLC</x:v>
      </x:c>
      <x:c r="C1923" s="38" t="str">
        <x:f>"900 000 000 000 550"</x:f>
        <x:v>900 000 000 000 550</x:v>
      </x:c>
      <x:c r="D1923" s="21" t="str">
        <x:v>SYN-0550-INV-01</x:v>
      </x:c>
      <x:c r="E1923" s="39" t="n">
        <x:v>46289</x:v>
      </x:c>
      <x:c r="F1923" s="42" t="n">
        <x:v>40534.98</x:v>
      </x:c>
      <x:c r="G1923" s="42" t="n">
        <x:v>2026.75</x:v>
      </x:c>
      <x:c r="H1923" s="42" t="n">
        <x:v>238377.1</x:v>
      </x:c>
      <x:c r="I1923" s="39"/>
    </x:row>
    <x:row r="1924">
      <x:c r="A1924" s="21" t="str">
        <x:v>SYN-0550</x:v>
      </x:c>
      <x:c r="B1924" s="21" t="str">
        <x:v>Synthetic Supplier 0550 LLC</x:v>
      </x:c>
      <x:c r="C1924" s="38" t="str">
        <x:f>"900 000 000 000 550"</x:f>
        <x:v>900 000 000 000 550</x:v>
      </x:c>
      <x:c r="D1924" s="21" t="str">
        <x:v>SYN-0550-INV-02</x:v>
      </x:c>
      <x:c r="E1924" s="39" t="n">
        <x:v>45976</x:v>
      </x:c>
      <x:c r="F1924" s="42" t="n">
        <x:v>77928.61</x:v>
      </x:c>
      <x:c r="G1924" s="42" t="n">
        <x:v>3896.43</x:v>
      </x:c>
      <x:c r="H1924" s="42" t="n">
        <x:v>238377.1</x:v>
      </x:c>
      <x:c r="I1924" s="39"/>
    </x:row>
    <x:row r="1925">
      <x:c r="A1925" s="21" t="str">
        <x:v>SYN-0550</x:v>
      </x:c>
      <x:c r="B1925" s="21" t="str">
        <x:v>Synthetic Supplier 0550 LLC</x:v>
      </x:c>
      <x:c r="C1925" s="38" t="str">
        <x:f>"900 000 000 000 550"</x:f>
        <x:v>900 000 000 000 550</x:v>
      </x:c>
      <x:c r="D1925" s="21" t="str">
        <x:v>SYN-0550-INV-03</x:v>
      </x:c>
      <x:c r="E1925" s="39" t="n">
        <x:v>46023</x:v>
      </x:c>
      <x:c r="F1925" s="42" t="n">
        <x:v>72715.49</x:v>
      </x:c>
      <x:c r="G1925" s="42" t="n">
        <x:v>3635.77</x:v>
      </x:c>
      <x:c r="H1925" s="42" t="n">
        <x:v>238377.1</x:v>
      </x:c>
      <x:c r="I1925" s="39"/>
    </x:row>
    <x:row r="1926">
      <x:c r="A1926" s="21" t="str">
        <x:v>SYN-0550</x:v>
      </x:c>
      <x:c r="B1926" s="21" t="str">
        <x:v>Synthetic Supplier 0550 LLC</x:v>
      </x:c>
      <x:c r="C1926" s="38" t="str">
        <x:f>"900 000 000 000 550"</x:f>
        <x:v>900 000 000 000 550</x:v>
      </x:c>
      <x:c r="D1926" s="21" t="str">
        <x:v>SYN-0550-INV-04</x:v>
      </x:c>
      <x:c r="E1926" s="39" t="n">
        <x:v>46070</x:v>
      </x:c>
      <x:c r="F1926" s="42" t="n">
        <x:v>73684.36</x:v>
      </x:c>
      <x:c r="G1926" s="42" t="n">
        <x:v>3684.22</x:v>
      </x:c>
      <x:c r="H1926" s="42" t="n">
        <x:v>238377.1</x:v>
      </x:c>
      <x:c r="I1926" s="39"/>
    </x:row>
    <x:row r="1927">
      <x:c r="A1927" s="21" t="str">
        <x:v>SYN-0551</x:v>
      </x:c>
      <x:c r="B1927" s="21" t="str">
        <x:v>Synthetic Supplier 0551 LLC</x:v>
      </x:c>
      <x:c r="C1927" s="38" t="str">
        <x:f>"900 000 000 000 551"</x:f>
        <x:v>900 000 000 000 551</x:v>
      </x:c>
      <x:c r="D1927" s="21" t="str">
        <x:v>SYN-0551-INV-01</x:v>
      </x:c>
      <x:c r="E1927" s="39" t="n">
        <x:v>45942</x:v>
      </x:c>
      <x:c r="F1927" s="42" t="n">
        <x:v>58543.57</x:v>
      </x:c>
      <x:c r="G1927" s="42" t="n">
        <x:v>2927.18</x:v>
      </x:c>
      <x:c r="H1927" s="42" t="n">
        <x:v>225485.95</x:v>
      </x:c>
      <x:c r="I1927" s="39" t="n">
        <x:v>46083</x:v>
      </x:c>
    </x:row>
    <x:row r="1928">
      <x:c r="A1928" s="21" t="str">
        <x:v>SYN-0551</x:v>
      </x:c>
      <x:c r="B1928" s="21" t="str">
        <x:v>Synthetic Supplier 0551 LLC</x:v>
      </x:c>
      <x:c r="C1928" s="38" t="str">
        <x:f>"900 000 000 000 551"</x:f>
        <x:v>900 000 000 000 551</x:v>
      </x:c>
      <x:c r="D1928" s="21" t="str">
        <x:v>SYN-0551-INV-02</x:v>
      </x:c>
      <x:c r="E1928" s="39" t="n">
        <x:v>45989</x:v>
      </x:c>
      <x:c r="F1928" s="42" t="n">
        <x:v>37587.02</x:v>
      </x:c>
      <x:c r="G1928" s="42" t="n">
        <x:v>1879.35</x:v>
      </x:c>
      <x:c r="H1928" s="42" t="n">
        <x:v>225485.95</x:v>
      </x:c>
      <x:c r="I1928" s="39" t="n">
        <x:v>46083</x:v>
      </x:c>
    </x:row>
    <x:row r="1929">
      <x:c r="A1929" s="21" t="str">
        <x:v>SYN-0551</x:v>
      </x:c>
      <x:c r="B1929" s="21" t="str">
        <x:v>Synthetic Supplier 0551 LLC</x:v>
      </x:c>
      <x:c r="C1929" s="38" t="str">
        <x:f>"900 000 000 000 551"</x:f>
        <x:v>900 000 000 000 551</x:v>
      </x:c>
      <x:c r="D1929" s="21" t="str">
        <x:v>SYN-0551-INV-03</x:v>
      </x:c>
      <x:c r="E1929" s="39" t="n">
        <x:v>46036</x:v>
      </x:c>
      <x:c r="F1929" s="42" t="n">
        <x:v>32394</x:v>
      </x:c>
      <x:c r="G1929" s="42" t="n">
        <x:v>1619.7</x:v>
      </x:c>
      <x:c r="H1929" s="42" t="n">
        <x:v>225485.95</x:v>
      </x:c>
      <x:c r="I1929" s="39" t="n">
        <x:v>46083</x:v>
      </x:c>
    </x:row>
    <x:row r="1930">
      <x:c r="A1930" s="21" t="str">
        <x:v>SYN-0551</x:v>
      </x:c>
      <x:c r="B1930" s="21" t="str">
        <x:v>Synthetic Supplier 0551 LLC</x:v>
      </x:c>
      <x:c r="C1930" s="38" t="str">
        <x:f>"900 000 000 000 551"</x:f>
        <x:v>900 000 000 000 551</x:v>
      </x:c>
      <x:c r="D1930" s="21" t="str">
        <x:v>SYN-0551-INV-04</x:v>
      </x:c>
      <x:c r="E1930" s="39" t="n">
        <x:v>46083</x:v>
      </x:c>
      <x:c r="F1930" s="42" t="n">
        <x:v>71552.89</x:v>
      </x:c>
      <x:c r="G1930" s="42" t="n">
        <x:v>3577.64</x:v>
      </x:c>
      <x:c r="H1930" s="42" t="n">
        <x:v>225485.95</x:v>
      </x:c>
      <x:c r="I1930" s="39" t="n">
        <x:v>46083</x:v>
      </x:c>
    </x:row>
    <x:row r="1931">
      <x:c r="A1931" s="21" t="str">
        <x:v>SYN-0551</x:v>
      </x:c>
      <x:c r="B1931" s="21" t="str">
        <x:v>Synthetic Supplier 0551 LLC</x:v>
      </x:c>
      <x:c r="C1931" s="38" t="str">
        <x:f>"900 000 000 000 551"</x:f>
        <x:v>900 000 000 000 551</x:v>
      </x:c>
      <x:c r="D1931" s="21" t="str">
        <x:v>SYN-0551-INV-05</x:v>
      </x:c>
      <x:c r="E1931" s="39" t="n">
        <x:v>46130</x:v>
      </x:c>
      <x:c r="F1931" s="42" t="n">
        <x:v>50462.48</x:v>
      </x:c>
      <x:c r="G1931" s="42" t="n">
        <x:v>2523.12</x:v>
      </x:c>
      <x:c r="H1931" s="42" t="n">
        <x:v>225485.95</x:v>
      </x:c>
      <x:c r="I1931" s="39" t="n">
        <x:v>46083</x:v>
      </x:c>
    </x:row>
    <x:row r="1932">
      <x:c r="A1932" s="21" t="str">
        <x:v>SYN-0552</x:v>
      </x:c>
      <x:c r="B1932" s="21" t="str">
        <x:v>Synthetic Supplier 0552 LLC</x:v>
      </x:c>
      <x:c r="C1932" s="38" t="str">
        <x:f>"900 000 000 000 552"</x:f>
        <x:v>900 000 000 000 552</x:v>
      </x:c>
      <x:c r="D1932" s="21" t="str">
        <x:v>SYN-0552-INV-01</x:v>
      </x:c>
      <x:c r="E1932" s="39" t="n">
        <x:v>45955</x:v>
      </x:c>
      <x:c r="F1932" s="42" t="n">
        <x:v>156587.74</x:v>
      </x:c>
      <x:c r="G1932" s="42" t="n">
        <x:v>7829.39</x:v>
      </x:c>
      <x:c r="H1932" s="42" t="n">
        <x:v>291668.85</x:v>
      </x:c>
      <x:c r="I1932" s="39" t="n">
        <x:v>45750</x:v>
      </x:c>
    </x:row>
    <x:row r="1933">
      <x:c r="A1933" s="21" t="str">
        <x:v>SYN-0552</x:v>
      </x:c>
      <x:c r="B1933" s="21" t="str">
        <x:v>Synthetic Supplier 0552 LLC</x:v>
      </x:c>
      <x:c r="C1933" s="38" t="str">
        <x:f>"900 000 000 000 552"</x:f>
        <x:v>900 000 000 000 552</x:v>
      </x:c>
      <x:c r="D1933" s="21" t="str">
        <x:v>SYN-0552-INV-02</x:v>
      </x:c>
      <x:c r="E1933" s="39" t="n">
        <x:v>46002</x:v>
      </x:c>
      <x:c r="F1933" s="42" t="n">
        <x:v>167488.76</x:v>
      </x:c>
      <x:c r="G1933" s="42" t="n">
        <x:v>8374.44</x:v>
      </x:c>
      <x:c r="H1933" s="42" t="n">
        <x:v>291668.85</x:v>
      </x:c>
      <x:c r="I1933" s="39" t="n">
        <x:v>45750</x:v>
      </x:c>
    </x:row>
    <x:row r="1934">
      <x:c r="A1934" s="21" t="str">
        <x:v>SYN-0553</x:v>
      </x:c>
      <x:c r="B1934" s="21" t="str">
        <x:v>Synthetic Supplier 0553 LLC</x:v>
      </x:c>
      <x:c r="C1934" s="38" t="str">
        <x:f>"900 000 000 000 553"</x:f>
        <x:v>900 000 000 000 553</x:v>
      </x:c>
      <x:c r="D1934" s="21" t="str">
        <x:v>SYN-0553-INV-01</x:v>
      </x:c>
      <x:c r="E1934" s="39" t="n">
        <x:v>45968</x:v>
      </x:c>
      <x:c r="F1934" s="42" t="n">
        <x:v>100434.43</x:v>
      </x:c>
      <x:c r="G1934" s="42" t="n">
        <x:v>5021.72</x:v>
      </x:c>
      <x:c r="H1934" s="42" t="n">
        <x:v>290356.26</x:v>
      </x:c>
      <x:c r="I1934" s="39" t="n">
        <x:v>46146</x:v>
      </x:c>
    </x:row>
    <x:row r="1935">
      <x:c r="A1935" s="21" t="str">
        <x:v>SYN-0553</x:v>
      </x:c>
      <x:c r="B1935" s="21" t="str">
        <x:v>Synthetic Supplier 0553 LLC</x:v>
      </x:c>
      <x:c r="C1935" s="38" t="str">
        <x:f>"900 000 000 000 553"</x:f>
        <x:v>900 000 000 000 553</x:v>
      </x:c>
      <x:c r="D1935" s="21" t="str">
        <x:v>SYN-0553-INV-02</x:v>
      </x:c>
      <x:c r="E1935" s="39" t="n">
        <x:v>46015</x:v>
      </x:c>
      <x:c r="F1935" s="42" t="n">
        <x:v>71217.08</x:v>
      </x:c>
      <x:c r="G1935" s="42" t="n">
        <x:v>3560.85</x:v>
      </x:c>
      <x:c r="H1935" s="42" t="n">
        <x:v>290356.26</x:v>
      </x:c>
      <x:c r="I1935" s="39" t="n">
        <x:v>46146</x:v>
      </x:c>
    </x:row>
    <x:row r="1936">
      <x:c r="A1936" s="21" t="str">
        <x:v>SYN-0553</x:v>
      </x:c>
      <x:c r="B1936" s="21" t="str">
        <x:v>Synthetic Supplier 0553 LLC</x:v>
      </x:c>
      <x:c r="C1936" s="38" t="str">
        <x:f>"900 000 000 000 553"</x:f>
        <x:v>900 000 000 000 553</x:v>
      </x:c>
      <x:c r="D1936" s="21" t="str">
        <x:v>SYN-0553-INV-03</x:v>
      </x:c>
      <x:c r="E1936" s="39" t="n">
        <x:v>46062</x:v>
      </x:c>
      <x:c r="F1936" s="42" t="n">
        <x:v>80832.19</x:v>
      </x:c>
      <x:c r="G1936" s="42" t="n">
        <x:v>4041.61</x:v>
      </x:c>
      <x:c r="H1936" s="42" t="n">
        <x:v>290356.26</x:v>
      </x:c>
      <x:c r="I1936" s="39" t="n">
        <x:v>46146</x:v>
      </x:c>
    </x:row>
    <x:row r="1937">
      <x:c r="A1937" s="21" t="str">
        <x:v>SYN-0554</x:v>
      </x:c>
      <x:c r="B1937" s="21" t="str">
        <x:v>Synthetic Supplier 0554 LLC</x:v>
      </x:c>
      <x:c r="C1937" s="38" t="str">
        <x:f>"900 000 000 000 554"</x:f>
        <x:v>900 000 000 000 554</x:v>
      </x:c>
      <x:c r="D1937" s="21" t="str">
        <x:v>SYN-0554-INV-01</x:v>
      </x:c>
      <x:c r="E1937" s="39" t="n">
        <x:v>45981</x:v>
      </x:c>
      <x:c r="F1937" s="42" t="n">
        <x:v>32504.29</x:v>
      </x:c>
      <x:c r="G1937" s="42" t="n">
        <x:v>1625.21</x:v>
      </x:c>
      <x:c r="H1937" s="42" t="n">
        <x:v>160027.32</x:v>
      </x:c>
      <x:c r="I1937" s="39" t="n">
        <x:v>45813</x:v>
      </x:c>
    </x:row>
    <x:row r="1938">
      <x:c r="A1938" s="21" t="str">
        <x:v>SYN-0554</x:v>
      </x:c>
      <x:c r="B1938" s="21" t="str">
        <x:v>Synthetic Supplier 0554 LLC</x:v>
      </x:c>
      <x:c r="C1938" s="38" t="str">
        <x:f>"900 000 000 000 554"</x:f>
        <x:v>900 000 000 000 554</x:v>
      </x:c>
      <x:c r="D1938" s="21" t="str">
        <x:v>SYN-0554-INV-02</x:v>
      </x:c>
      <x:c r="E1938" s="39" t="n">
        <x:v>46028</x:v>
      </x:c>
      <x:c r="F1938" s="42" t="n">
        <x:v>59496</x:v>
      </x:c>
      <x:c r="G1938" s="42" t="n">
        <x:v>2974.8</x:v>
      </x:c>
      <x:c r="H1938" s="42" t="n">
        <x:v>160027.32</x:v>
      </x:c>
      <x:c r="I1938" s="39" t="n">
        <x:v>45813</x:v>
      </x:c>
    </x:row>
    <x:row r="1939">
      <x:c r="A1939" s="21" t="str">
        <x:v>SYN-0554</x:v>
      </x:c>
      <x:c r="B1939" s="21" t="str">
        <x:v>Synthetic Supplier 0554 LLC</x:v>
      </x:c>
      <x:c r="C1939" s="38" t="str">
        <x:f>"900 000 000 000 554"</x:f>
        <x:v>900 000 000 000 554</x:v>
      </x:c>
      <x:c r="D1939" s="21" t="str">
        <x:v>SYN-0554-INV-03</x:v>
      </x:c>
      <x:c r="E1939" s="39" t="n">
        <x:v>46075</x:v>
      </x:c>
      <x:c r="F1939" s="42" t="n">
        <x:v>42634.22</x:v>
      </x:c>
      <x:c r="G1939" s="42" t="n">
        <x:v>2131.71</x:v>
      </x:c>
      <x:c r="H1939" s="42" t="n">
        <x:v>160027.32</x:v>
      </x:c>
      <x:c r="I1939" s="39" t="n">
        <x:v>45813</x:v>
      </x:c>
    </x:row>
    <x:row r="1940">
      <x:c r="A1940" s="21" t="str">
        <x:v>SYN-0554</x:v>
      </x:c>
      <x:c r="B1940" s="21" t="str">
        <x:v>Synthetic Supplier 0554 LLC</x:v>
      </x:c>
      <x:c r="C1940" s="38" t="str">
        <x:f>"900 000 000 000 554"</x:f>
        <x:v>900 000 000 000 554</x:v>
      </x:c>
      <x:c r="D1940" s="21" t="str">
        <x:v>SYN-0554-INV-04</x:v>
      </x:c>
      <x:c r="E1940" s="39" t="n">
        <x:v>46122</x:v>
      </x:c>
      <x:c r="F1940" s="42" t="n">
        <x:v>43173.62</x:v>
      </x:c>
      <x:c r="G1940" s="42" t="n">
        <x:v>2158.68</x:v>
      </x:c>
      <x:c r="H1940" s="42" t="n">
        <x:v>160027.32</x:v>
      </x:c>
      <x:c r="I1940" s="39" t="n">
        <x:v>45813</x:v>
      </x:c>
    </x:row>
    <x:row r="1941">
      <x:c r="A1941" s="21" t="str">
        <x:v>SYN-0555</x:v>
      </x:c>
      <x:c r="B1941" s="21" t="str">
        <x:v>Synthetic Supplier 0555 LLC</x:v>
      </x:c>
      <x:c r="C1941" s="38" t="str">
        <x:f>"900 000 000 000 555"</x:f>
        <x:v>900 000 000 000 555</x:v>
      </x:c>
      <x:c r="D1941" s="21" t="str">
        <x:v>SYN-0555-INV-01</x:v>
      </x:c>
      <x:c r="E1941" s="39" t="n">
        <x:v>45994</x:v>
      </x:c>
      <x:c r="F1941" s="42" t="n">
        <x:v>30422.32</x:v>
      </x:c>
      <x:c r="G1941" s="42" t="n">
        <x:v>1521.12</x:v>
      </x:c>
      <x:c r="H1941" s="42" t="n">
        <x:v>137425.28</x:v>
      </x:c>
      <x:c r="I1941" s="39"/>
    </x:row>
    <x:row r="1942">
      <x:c r="A1942" s="21" t="str">
        <x:v>SYN-0555</x:v>
      </x:c>
      <x:c r="B1942" s="21" t="str">
        <x:v>Synthetic Supplier 0555 LLC</x:v>
      </x:c>
      <x:c r="C1942" s="38" t="str">
        <x:f>"900 000 000 000 555"</x:f>
        <x:v>900 000 000 000 555</x:v>
      </x:c>
      <x:c r="D1942" s="21" t="str">
        <x:v>SYN-0555-INV-02</x:v>
      </x:c>
      <x:c r="E1942" s="39" t="n">
        <x:v>46041</x:v>
      </x:c>
      <x:c r="F1942" s="42" t="n">
        <x:v>34068.79</x:v>
      </x:c>
      <x:c r="G1942" s="42" t="n">
        <x:v>1703.44</x:v>
      </x:c>
      <x:c r="H1942" s="42" t="n">
        <x:v>137425.28</x:v>
      </x:c>
      <x:c r="I1942" s="39"/>
    </x:row>
    <x:row r="1943">
      <x:c r="A1943" s="21" t="str">
        <x:v>SYN-0555</x:v>
      </x:c>
      <x:c r="B1943" s="21" t="str">
        <x:v>Synthetic Supplier 0555 LLC</x:v>
      </x:c>
      <x:c r="C1943" s="38" t="str">
        <x:f>"900 000 000 000 555"</x:f>
        <x:v>900 000 000 000 555</x:v>
      </x:c>
      <x:c r="D1943" s="21" t="str">
        <x:v>SYN-0555-INV-03</x:v>
      </x:c>
      <x:c r="E1943" s="39" t="n">
        <x:v>46088</x:v>
      </x:c>
      <x:c r="F1943" s="42" t="n">
        <x:v>41018.43</x:v>
      </x:c>
      <x:c r="G1943" s="42" t="n">
        <x:v>2050.92</x:v>
      </x:c>
      <x:c r="H1943" s="42" t="n">
        <x:v>137425.28</x:v>
      </x:c>
      <x:c r="I1943" s="39"/>
    </x:row>
    <x:row r="1944">
      <x:c r="A1944" s="21" t="str">
        <x:v>SYN-0555</x:v>
      </x:c>
      <x:c r="B1944" s="21" t="str">
        <x:v>Synthetic Supplier 0555 LLC</x:v>
      </x:c>
      <x:c r="C1944" s="38" t="str">
        <x:f>"900 000 000 000 555"</x:f>
        <x:v>900 000 000 000 555</x:v>
      </x:c>
      <x:c r="D1944" s="21" t="str">
        <x:v>SYN-0555-INV-04</x:v>
      </x:c>
      <x:c r="E1944" s="39" t="n">
        <x:v>46135</x:v>
      </x:c>
      <x:c r="F1944" s="42" t="n">
        <x:v>24285.28</x:v>
      </x:c>
      <x:c r="G1944" s="42" t="n">
        <x:v>1214.26</x:v>
      </x:c>
      <x:c r="H1944" s="42" t="n">
        <x:v>137425.28</x:v>
      </x:c>
      <x:c r="I1944" s="39"/>
    </x:row>
    <x:row r="1945">
      <x:c r="A1945" s="21" t="str">
        <x:v>SYN-0555</x:v>
      </x:c>
      <x:c r="B1945" s="21" t="str">
        <x:v>Synthetic Supplier 0555 LLC</x:v>
      </x:c>
      <x:c r="C1945" s="38" t="str">
        <x:f>"900 000 000 000 555"</x:f>
        <x:v>900 000 000 000 555</x:v>
      </x:c>
      <x:c r="D1945" s="21" t="str">
        <x:v>SYN-0555-INV-05</x:v>
      </x:c>
      <x:c r="E1945" s="39" t="n">
        <x:v>46182</x:v>
      </x:c>
      <x:c r="F1945" s="42" t="n">
        <x:v>22899.93</x:v>
      </x:c>
      <x:c r="G1945" s="42" t="n">
        <x:v>1145</x:v>
      </x:c>
      <x:c r="H1945" s="42" t="n">
        <x:v>137425.28</x:v>
      </x:c>
      <x:c r="I1945" s="39"/>
    </x:row>
    <x:row r="1946">
      <x:c r="A1946" s="21" t="str">
        <x:v>SYN-0556</x:v>
      </x:c>
      <x:c r="B1946" s="21" t="str">
        <x:v>Synthetic Supplier 0556 LLC</x:v>
      </x:c>
      <x:c r="C1946" s="38" t="str">
        <x:f>"900 000 000 000 556"</x:f>
        <x:v>900 000 000 000 556</x:v>
      </x:c>
      <x:c r="D1946" s="21" t="str">
        <x:v>SYN-0556-INV-01</x:v>
      </x:c>
      <x:c r="E1946" s="39" t="n">
        <x:v>46007</x:v>
      </x:c>
      <x:c r="F1946" s="42" t="n">
        <x:v>73667.41</x:v>
      </x:c>
      <x:c r="G1946" s="42" t="n">
        <x:v>3683.37</x:v>
      </x:c>
      <x:c r="H1946" s="42" t="n">
        <x:v>206458.25</x:v>
      </x:c>
      <x:c r="I1946" s="39" t="n">
        <x:v>45876</x:v>
      </x:c>
    </x:row>
    <x:row r="1947">
      <x:c r="A1947" s="21" t="str">
        <x:v>SYN-0556</x:v>
      </x:c>
      <x:c r="B1947" s="21" t="str">
        <x:v>Synthetic Supplier 0556 LLC</x:v>
      </x:c>
      <x:c r="C1947" s="38" t="str">
        <x:f>"900 000 000 000 556"</x:f>
        <x:v>900 000 000 000 556</x:v>
      </x:c>
      <x:c r="D1947" s="21" t="str">
        <x:v>SYN-0556-INV-02</x:v>
      </x:c>
      <x:c r="E1947" s="39" t="n">
        <x:v>46054</x:v>
      </x:c>
      <x:c r="F1947" s="42" t="n">
        <x:v>155730.64</x:v>
      </x:c>
      <x:c r="G1947" s="42" t="n">
        <x:v>7786.53</x:v>
      </x:c>
      <x:c r="H1947" s="42" t="n">
        <x:v>206458.25</x:v>
      </x:c>
      <x:c r="I1947" s="39" t="n">
        <x:v>45876</x:v>
      </x:c>
    </x:row>
    <x:row r="1948">
      <x:c r="A1948" s="21" t="str">
        <x:v>SYN-0557</x:v>
      </x:c>
      <x:c r="B1948" s="21" t="str">
        <x:v>Synthetic Supplier 0557 LLC</x:v>
      </x:c>
      <x:c r="C1948" s="38" t="str">
        <x:f>"900 000 000 000 557"</x:f>
        <x:v>900 000 000 000 557</x:v>
      </x:c>
      <x:c r="D1948" s="21" t="str">
        <x:v>SYN-0557-INV-01</x:v>
      </x:c>
      <x:c r="E1948" s="39" t="n">
        <x:v>46020</x:v>
      </x:c>
      <x:c r="F1948" s="42" t="n">
        <x:v>92366.02</x:v>
      </x:c>
      <x:c r="G1948" s="42" t="n">
        <x:v>4618.3</x:v>
      </x:c>
      <x:c r="H1948" s="42" t="n">
        <x:v>243109.41</x:v>
      </x:c>
      <x:c r="I1948" s="39" t="n">
        <x:v>46273</x:v>
      </x:c>
    </x:row>
    <x:row r="1949">
      <x:c r="A1949" s="21" t="str">
        <x:v>SYN-0557</x:v>
      </x:c>
      <x:c r="B1949" s="21" t="str">
        <x:v>Synthetic Supplier 0557 LLC</x:v>
      </x:c>
      <x:c r="C1949" s="38" t="str">
        <x:f>"900 000 000 000 557"</x:f>
        <x:v>900 000 000 000 557</x:v>
      </x:c>
      <x:c r="D1949" s="21" t="str">
        <x:v>SYN-0557-INV-02</x:v>
      </x:c>
      <x:c r="E1949" s="39" t="n">
        <x:v>46067</x:v>
      </x:c>
      <x:c r="F1949" s="42" t="n">
        <x:v>98087.88</x:v>
      </x:c>
      <x:c r="G1949" s="42" t="n">
        <x:v>4904.39</x:v>
      </x:c>
      <x:c r="H1949" s="42" t="n">
        <x:v>243109.41</x:v>
      </x:c>
      <x:c r="I1949" s="39" t="n">
        <x:v>46273</x:v>
      </x:c>
    </x:row>
    <x:row r="1950">
      <x:c r="A1950" s="21" t="str">
        <x:v>SYN-0557</x:v>
      </x:c>
      <x:c r="B1950" s="21" t="str">
        <x:v>Synthetic Supplier 0557 LLC</x:v>
      </x:c>
      <x:c r="C1950" s="38" t="str">
        <x:f>"900 000 000 000 557"</x:f>
        <x:v>900 000 000 000 557</x:v>
      </x:c>
      <x:c r="D1950" s="21" t="str">
        <x:v>SYN-0557-INV-03</x:v>
      </x:c>
      <x:c r="E1950" s="39" t="n">
        <x:v>46114</x:v>
      </x:c>
      <x:c r="F1950" s="42" t="n">
        <x:v>79667.67</x:v>
      </x:c>
      <x:c r="G1950" s="42" t="n">
        <x:v>3983.38</x:v>
      </x:c>
      <x:c r="H1950" s="42" t="n">
        <x:v>243109.41</x:v>
      </x:c>
      <x:c r="I1950" s="39" t="n">
        <x:v>46273</x:v>
      </x:c>
    </x:row>
    <x:row r="1951">
      <x:c r="A1951" s="21" t="str">
        <x:v>SYN-0558</x:v>
      </x:c>
      <x:c r="B1951" s="21" t="str">
        <x:v>Synthetic Supplier 0558 LLC</x:v>
      </x:c>
      <x:c r="C1951" s="38" t="str">
        <x:f>"900 000 000 000 558"</x:f>
        <x:v>900 000 000 000 558</x:v>
      </x:c>
      <x:c r="D1951" s="21" t="str">
        <x:v>SYN-0558-INV-01</x:v>
      </x:c>
      <x:c r="E1951" s="39" t="n">
        <x:v>46033</x:v>
      </x:c>
      <x:c r="F1951" s="42" t="n">
        <x:v>53471.68</x:v>
      </x:c>
      <x:c r="G1951" s="42" t="n">
        <x:v>2673.58</x:v>
      </x:c>
      <x:c r="H1951" s="42" t="n">
        <x:v>258726.36</x:v>
      </x:c>
      <x:c r="I1951" s="39" t="n">
        <x:v>45666</x:v>
      </x:c>
    </x:row>
    <x:row r="1952">
      <x:c r="A1952" s="21" t="str">
        <x:v>SYN-0558</x:v>
      </x:c>
      <x:c r="B1952" s="21" t="str">
        <x:v>Synthetic Supplier 0558 LLC</x:v>
      </x:c>
      <x:c r="C1952" s="38" t="str">
        <x:f>"900 000 000 000 558"</x:f>
        <x:v>900 000 000 000 558</x:v>
      </x:c>
      <x:c r="D1952" s="21" t="str">
        <x:v>SYN-0558-INV-02</x:v>
      </x:c>
      <x:c r="E1952" s="39" t="n">
        <x:v>46080</x:v>
      </x:c>
      <x:c r="F1952" s="42" t="n">
        <x:v>64866.83</x:v>
      </x:c>
      <x:c r="G1952" s="42" t="n">
        <x:v>3243.34</x:v>
      </x:c>
      <x:c r="H1952" s="42" t="n">
        <x:v>258726.36</x:v>
      </x:c>
      <x:c r="I1952" s="39" t="n">
        <x:v>45666</x:v>
      </x:c>
    </x:row>
    <x:row r="1953">
      <x:c r="A1953" s="21" t="str">
        <x:v>SYN-0558</x:v>
      </x:c>
      <x:c r="B1953" s="21" t="str">
        <x:v>Synthetic Supplier 0558 LLC</x:v>
      </x:c>
      <x:c r="C1953" s="38" t="str">
        <x:f>"900 000 000 000 558"</x:f>
        <x:v>900 000 000 000 558</x:v>
      </x:c>
      <x:c r="D1953" s="21" t="str">
        <x:v>SYN-0558-INV-03</x:v>
      </x:c>
      <x:c r="E1953" s="39" t="n">
        <x:v>46127</x:v>
      </x:c>
      <x:c r="F1953" s="42" t="n">
        <x:v>72095.85</x:v>
      </x:c>
      <x:c r="G1953" s="42" t="n">
        <x:v>3604.79</x:v>
      </x:c>
      <x:c r="H1953" s="42" t="n">
        <x:v>258726.36</x:v>
      </x:c>
      <x:c r="I1953" s="39" t="n">
        <x:v>45666</x:v>
      </x:c>
    </x:row>
    <x:row r="1954">
      <x:c r="A1954" s="21" t="str">
        <x:v>SYN-0558</x:v>
      </x:c>
      <x:c r="B1954" s="21" t="str">
        <x:v>Synthetic Supplier 0558 LLC</x:v>
      </x:c>
      <x:c r="C1954" s="38" t="str">
        <x:f>"900 000 000 000 558"</x:f>
        <x:v>900 000 000 000 558</x:v>
      </x:c>
      <x:c r="D1954" s="21" t="str">
        <x:v>SYN-0558-INV-04</x:v>
      </x:c>
      <x:c r="E1954" s="39" t="n">
        <x:v>46174</x:v>
      </x:c>
      <x:c r="F1954" s="42" t="n">
        <x:v>97039.38</x:v>
      </x:c>
      <x:c r="G1954" s="42" t="n">
        <x:v>4851.97</x:v>
      </x:c>
      <x:c r="H1954" s="42" t="n">
        <x:v>258726.36</x:v>
      </x:c>
      <x:c r="I1954" s="39" t="n">
        <x:v>45666</x:v>
      </x:c>
    </x:row>
    <x:row r="1955">
      <x:c r="A1955" s="21" t="str">
        <x:v>SYN-0559</x:v>
      </x:c>
      <x:c r="B1955" s="21" t="str">
        <x:v>Synthetic Supplier 0559 LLC</x:v>
      </x:c>
      <x:c r="C1955" s="38" t="str">
        <x:f>"900 000 000 000 559"</x:f>
        <x:v>900 000 000 000 559</x:v>
      </x:c>
      <x:c r="D1955" s="21" t="str">
        <x:v>SYN-0559-INV-01</x:v>
      </x:c>
      <x:c r="E1955" s="39" t="n">
        <x:v>46046</x:v>
      </x:c>
      <x:c r="F1955" s="42" t="n">
        <x:v>54927.52</x:v>
      </x:c>
      <x:c r="G1955" s="42" t="n">
        <x:v>2746.38</x:v>
      </x:c>
      <x:c r="H1955" s="42" t="n">
        <x:v>237702.47</x:v>
      </x:c>
      <x:c r="I1955" s="39" t="n">
        <x:v>46063</x:v>
      </x:c>
    </x:row>
    <x:row r="1956">
      <x:c r="A1956" s="21" t="str">
        <x:v>SYN-0559</x:v>
      </x:c>
      <x:c r="B1956" s="21" t="str">
        <x:v>Synthetic Supplier 0559 LLC</x:v>
      </x:c>
      <x:c r="C1956" s="38" t="str">
        <x:f>"900 000 000 000 559"</x:f>
        <x:v>900 000 000 000 559</x:v>
      </x:c>
      <x:c r="D1956" s="21" t="str">
        <x:v>SYN-0559-INV-02</x:v>
      </x:c>
      <x:c r="E1956" s="39" t="n">
        <x:v>46093</x:v>
      </x:c>
      <x:c r="F1956" s="42" t="n">
        <x:v>58547.26</x:v>
      </x:c>
      <x:c r="G1956" s="42" t="n">
        <x:v>2927.36</x:v>
      </x:c>
      <x:c r="H1956" s="42" t="n">
        <x:v>237702.47</x:v>
      </x:c>
      <x:c r="I1956" s="39" t="n">
        <x:v>46063</x:v>
      </x:c>
    </x:row>
    <x:row r="1957">
      <x:c r="A1957" s="21" t="str">
        <x:v>SYN-0559</x:v>
      </x:c>
      <x:c r="B1957" s="21" t="str">
        <x:v>Synthetic Supplier 0559 LLC</x:v>
      </x:c>
      <x:c r="C1957" s="38" t="str">
        <x:f>"900 000 000 000 559"</x:f>
        <x:v>900 000 000 000 559</x:v>
      </x:c>
      <x:c r="D1957" s="21" t="str">
        <x:v>SYN-0559-INV-03</x:v>
      </x:c>
      <x:c r="E1957" s="39" t="n">
        <x:v>46140</x:v>
      </x:c>
      <x:c r="F1957" s="42" t="n">
        <x:v>39151.72</x:v>
      </x:c>
      <x:c r="G1957" s="42" t="n">
        <x:v>1957.59</x:v>
      </x:c>
      <x:c r="H1957" s="42" t="n">
        <x:v>237702.47</x:v>
      </x:c>
      <x:c r="I1957" s="39" t="n">
        <x:v>46063</x:v>
      </x:c>
    </x:row>
    <x:row r="1958">
      <x:c r="A1958" s="21" t="str">
        <x:v>SYN-0559</x:v>
      </x:c>
      <x:c r="B1958" s="21" t="str">
        <x:v>Synthetic Supplier 0559 LLC</x:v>
      </x:c>
      <x:c r="C1958" s="38" t="str">
        <x:f>"900 000 000 000 559"</x:f>
        <x:v>900 000 000 000 559</x:v>
      </x:c>
      <x:c r="D1958" s="21" t="str">
        <x:v>SYN-0559-INV-04</x:v>
      </x:c>
      <x:c r="E1958" s="39" t="n">
        <x:v>46187</x:v>
      </x:c>
      <x:c r="F1958" s="42" t="n">
        <x:v>62561.73</x:v>
      </x:c>
      <x:c r="G1958" s="42" t="n">
        <x:v>3128.09</x:v>
      </x:c>
      <x:c r="H1958" s="42" t="n">
        <x:v>237702.47</x:v>
      </x:c>
      <x:c r="I1958" s="39" t="n">
        <x:v>46063</x:v>
      </x:c>
    </x:row>
    <x:row r="1959">
      <x:c r="A1959" s="21" t="str">
        <x:v>SYN-0559</x:v>
      </x:c>
      <x:c r="B1959" s="21" t="str">
        <x:v>Synthetic Supplier 0559 LLC</x:v>
      </x:c>
      <x:c r="C1959" s="38" t="str">
        <x:f>"900 000 000 000 559"</x:f>
        <x:v>900 000 000 000 559</x:v>
      </x:c>
      <x:c r="D1959" s="21" t="str">
        <x:v>SYN-0559-INV-05</x:v>
      </x:c>
      <x:c r="E1959" s="39" t="n">
        <x:v>46234</x:v>
      </x:c>
      <x:c r="F1959" s="42" t="n">
        <x:v>48925.64</x:v>
      </x:c>
      <x:c r="G1959" s="42" t="n">
        <x:v>2446.28</x:v>
      </x:c>
      <x:c r="H1959" s="42" t="n">
        <x:v>237702.47</x:v>
      </x:c>
      <x:c r="I1959" s="39" t="n">
        <x:v>46063</x:v>
      </x:c>
    </x:row>
    <x:row r="1960">
      <x:c r="A1960" s="21" t="str">
        <x:v>SYN-0560</x:v>
      </x:c>
      <x:c r="B1960" s="21" t="str">
        <x:v>Synthetic Supplier 0560 LLC</x:v>
      </x:c>
      <x:c r="C1960" s="38" t="str">
        <x:f>"900 000 000 000 560"</x:f>
        <x:v>900 000 000 000 560</x:v>
      </x:c>
      <x:c r="D1960" s="21" t="str">
        <x:v>SYN-0560-INV-01</x:v>
      </x:c>
      <x:c r="E1960" s="39" t="n">
        <x:v>46059</x:v>
      </x:c>
      <x:c r="F1960" s="42" t="n">
        <x:v>97409.54</x:v>
      </x:c>
      <x:c r="G1960" s="42" t="n">
        <x:v>4870.48</x:v>
      </x:c>
      <x:c r="H1960" s="42" t="n">
        <x:v>205202.72</x:v>
      </x:c>
      <x:c r="I1960" s="39"/>
    </x:row>
    <x:row r="1961">
      <x:c r="A1961" s="21" t="str">
        <x:v>SYN-0560</x:v>
      </x:c>
      <x:c r="B1961" s="21" t="str">
        <x:v>Synthetic Supplier 0560 LLC</x:v>
      </x:c>
      <x:c r="C1961" s="38" t="str">
        <x:f>"900 000 000 000 560"</x:f>
        <x:v>900 000 000 000 560</x:v>
      </x:c>
      <x:c r="D1961" s="21" t="str">
        <x:v>SYN-0560-INV-02</x:v>
      </x:c>
      <x:c r="E1961" s="39" t="n">
        <x:v>46106</x:v>
      </x:c>
      <x:c r="F1961" s="42" t="n">
        <x:v>81027.61</x:v>
      </x:c>
      <x:c r="G1961" s="42" t="n">
        <x:v>4051.38</x:v>
      </x:c>
      <x:c r="H1961" s="42" t="n">
        <x:v>205202.72</x:v>
      </x:c>
      <x:c r="I1961" s="39"/>
    </x:row>
    <x:row r="1962">
      <x:c r="A1962" s="21" t="str">
        <x:v>SYN-0561</x:v>
      </x:c>
      <x:c r="B1962" s="21" t="str">
        <x:v>Synthetic Supplier 0561 LLC</x:v>
      </x:c>
      <x:c r="C1962" s="38" t="str">
        <x:f>"900 000 000 000 561"</x:f>
        <x:v>900 000 000 000 561</x:v>
      </x:c>
      <x:c r="D1962" s="21" t="str">
        <x:v>SYN-0561-INV-01</x:v>
      </x:c>
      <x:c r="E1962" s="39" t="n">
        <x:v>46072</x:v>
      </x:c>
      <x:c r="F1962" s="42" t="n">
        <x:v>47108.02</x:v>
      </x:c>
      <x:c r="G1962" s="42" t="n">
        <x:v>2355.4</x:v>
      </x:c>
      <x:c r="H1962" s="42" t="n">
        <x:v>117241.87</x:v>
      </x:c>
      <x:c r="I1962" s="39" t="n">
        <x:v>46124</x:v>
      </x:c>
    </x:row>
    <x:row r="1963">
      <x:c r="A1963" s="21" t="str">
        <x:v>SYN-0561</x:v>
      </x:c>
      <x:c r="B1963" s="21" t="str">
        <x:v>Synthetic Supplier 0561 LLC</x:v>
      </x:c>
      <x:c r="C1963" s="38" t="str">
        <x:f>"900 000 000 000 561"</x:f>
        <x:v>900 000 000 000 561</x:v>
      </x:c>
      <x:c r="D1963" s="21" t="str">
        <x:v>SYN-0561-INV-02</x:v>
      </x:c>
      <x:c r="E1963" s="39" t="n">
        <x:v>46119</x:v>
      </x:c>
      <x:c r="F1963" s="42" t="n">
        <x:v>37165.36</x:v>
      </x:c>
      <x:c r="G1963" s="42" t="n">
        <x:v>1858.27</x:v>
      </x:c>
      <x:c r="H1963" s="42" t="n">
        <x:v>117241.87</x:v>
      </x:c>
      <x:c r="I1963" s="39" t="n">
        <x:v>46124</x:v>
      </x:c>
    </x:row>
    <x:row r="1964">
      <x:c r="A1964" s="21" t="str">
        <x:v>SYN-0561</x:v>
      </x:c>
      <x:c r="B1964" s="21" t="str">
        <x:v>Synthetic Supplier 0561 LLC</x:v>
      </x:c>
      <x:c r="C1964" s="38" t="str">
        <x:f>"900 000 000 000 561"</x:f>
        <x:v>900 000 000 000 561</x:v>
      </x:c>
      <x:c r="D1964" s="21" t="str">
        <x:v>SYN-0561-INV-03</x:v>
      </x:c>
      <x:c r="E1964" s="39" t="n">
        <x:v>46166</x:v>
      </x:c>
      <x:c r="F1964" s="42" t="n">
        <x:v>45995.36</x:v>
      </x:c>
      <x:c r="G1964" s="42" t="n">
        <x:v>2299.77</x:v>
      </x:c>
      <x:c r="H1964" s="42" t="n">
        <x:v>117241.87</x:v>
      </x:c>
      <x:c r="I1964" s="39" t="n">
        <x:v>46124</x:v>
      </x:c>
    </x:row>
    <x:row r="1965">
      <x:c r="A1965" s="21" t="str">
        <x:v>SYN-0562</x:v>
      </x:c>
      <x:c r="B1965" s="21" t="str">
        <x:v>Synthetic Supplier 0562 LLC</x:v>
      </x:c>
      <x:c r="C1965" s="38" t="str">
        <x:f>"900 000 000 000 562"</x:f>
        <x:v>900 000 000 000 562</x:v>
      </x:c>
      <x:c r="D1965" s="21" t="str">
        <x:v>SYN-0562-INV-01</x:v>
      </x:c>
      <x:c r="E1965" s="39" t="n">
        <x:v>46085</x:v>
      </x:c>
      <x:c r="F1965" s="42" t="n">
        <x:v>83485.24</x:v>
      </x:c>
      <x:c r="G1965" s="42" t="n">
        <x:v>4174.26</x:v>
      </x:c>
      <x:c r="H1965" s="42" t="n">
        <x:v>287656.12</x:v>
      </x:c>
      <x:c r="I1965" s="39" t="n">
        <x:v>45790</x:v>
      </x:c>
    </x:row>
    <x:row r="1966">
      <x:c r="A1966" s="21" t="str">
        <x:v>SYN-0562</x:v>
      </x:c>
      <x:c r="B1966" s="21" t="str">
        <x:v>Synthetic Supplier 0562 LLC</x:v>
      </x:c>
      <x:c r="C1966" s="38" t="str">
        <x:f>"900 000 000 000 562"</x:f>
        <x:v>900 000 000 000 562</x:v>
      </x:c>
      <x:c r="D1966" s="21" t="str">
        <x:v>SYN-0562-INV-02</x:v>
      </x:c>
      <x:c r="E1966" s="39" t="n">
        <x:v>46132</x:v>
      </x:c>
      <x:c r="F1966" s="42" t="n">
        <x:v>80539.15</x:v>
      </x:c>
      <x:c r="G1966" s="42" t="n">
        <x:v>4026.96</x:v>
      </x:c>
      <x:c r="H1966" s="42" t="n">
        <x:v>287656.12</x:v>
      </x:c>
      <x:c r="I1966" s="39" t="n">
        <x:v>45790</x:v>
      </x:c>
    </x:row>
    <x:row r="1967">
      <x:c r="A1967" s="21" t="str">
        <x:v>SYN-0562</x:v>
      </x:c>
      <x:c r="B1967" s="21" t="str">
        <x:v>Synthetic Supplier 0562 LLC</x:v>
      </x:c>
      <x:c r="C1967" s="38" t="str">
        <x:f>"900 000 000 000 562"</x:f>
        <x:v>900 000 000 000 562</x:v>
      </x:c>
      <x:c r="D1967" s="21" t="str">
        <x:v>SYN-0562-INV-03</x:v>
      </x:c>
      <x:c r="E1967" s="39" t="n">
        <x:v>46179</x:v>
      </x:c>
      <x:c r="F1967" s="42" t="n">
        <x:v>82772.99</x:v>
      </x:c>
      <x:c r="G1967" s="42" t="n">
        <x:v>4138.65</x:v>
      </x:c>
      <x:c r="H1967" s="42" t="n">
        <x:v>287656.12</x:v>
      </x:c>
      <x:c r="I1967" s="39" t="n">
        <x:v>45790</x:v>
      </x:c>
    </x:row>
    <x:row r="1968">
      <x:c r="A1968" s="21" t="str">
        <x:v>SYN-0562</x:v>
      </x:c>
      <x:c r="B1968" s="21" t="str">
        <x:v>Synthetic Supplier 0562 LLC</x:v>
      </x:c>
      <x:c r="C1968" s="38" t="str">
        <x:f>"900 000 000 000 562"</x:f>
        <x:v>900 000 000 000 562</x:v>
      </x:c>
      <x:c r="D1968" s="21" t="str">
        <x:v>SYN-0562-INV-04</x:v>
      </x:c>
      <x:c r="E1968" s="39" t="n">
        <x:v>46226</x:v>
      </x:c>
      <x:c r="F1968" s="42" t="n">
        <x:v>72820.52</x:v>
      </x:c>
      <x:c r="G1968" s="42" t="n">
        <x:v>3641.03</x:v>
      </x:c>
      <x:c r="H1968" s="42" t="n">
        <x:v>287656.12</x:v>
      </x:c>
      <x:c r="I1968" s="39" t="n">
        <x:v>45790</x:v>
      </x:c>
    </x:row>
    <x:row r="1969">
      <x:c r="A1969" s="21" t="str">
        <x:v>SYN-0563</x:v>
      </x:c>
      <x:c r="B1969" s="21" t="str">
        <x:v>Synthetic Supplier 0563 LLC</x:v>
      </x:c>
      <x:c r="C1969" s="38" t="str">
        <x:f>"900 000 000 000 563"</x:f>
        <x:v>900 000 000 000 563</x:v>
      </x:c>
      <x:c r="D1969" s="21" t="str">
        <x:v>SYN-0563-INV-01</x:v>
      </x:c>
      <x:c r="E1969" s="39" t="n">
        <x:v>46098</x:v>
      </x:c>
      <x:c r="F1969" s="42" t="n">
        <x:v>34194.03</x:v>
      </x:c>
      <x:c r="G1969" s="42" t="n">
        <x:v>1709.7</x:v>
      </x:c>
      <x:c r="H1969" s="42" t="n">
        <x:v>170536.46</x:v>
      </x:c>
      <x:c r="I1969" s="39" t="n">
        <x:v>46187</x:v>
      </x:c>
    </x:row>
    <x:row r="1970">
      <x:c r="A1970" s="21" t="str">
        <x:v>SYN-0563</x:v>
      </x:c>
      <x:c r="B1970" s="21" t="str">
        <x:v>Synthetic Supplier 0563 LLC</x:v>
      </x:c>
      <x:c r="C1970" s="38" t="str">
        <x:f>"900 000 000 000 563"</x:f>
        <x:v>900 000 000 000 563</x:v>
      </x:c>
      <x:c r="D1970" s="21" t="str">
        <x:v>SYN-0563-INV-02</x:v>
      </x:c>
      <x:c r="E1970" s="39" t="n">
        <x:v>46145</x:v>
      </x:c>
      <x:c r="F1970" s="42" t="n">
        <x:v>49750.27</x:v>
      </x:c>
      <x:c r="G1970" s="42" t="n">
        <x:v>2487.51</x:v>
      </x:c>
      <x:c r="H1970" s="42" t="n">
        <x:v>170536.46</x:v>
      </x:c>
      <x:c r="I1970" s="39" t="n">
        <x:v>46187</x:v>
      </x:c>
    </x:row>
    <x:row r="1971">
      <x:c r="A1971" s="21" t="str">
        <x:v>SYN-0563</x:v>
      </x:c>
      <x:c r="B1971" s="21" t="str">
        <x:v>Synthetic Supplier 0563 LLC</x:v>
      </x:c>
      <x:c r="C1971" s="38" t="str">
        <x:f>"900 000 000 000 563"</x:f>
        <x:v>900 000 000 000 563</x:v>
      </x:c>
      <x:c r="D1971" s="21" t="str">
        <x:v>SYN-0563-INV-03</x:v>
      </x:c>
      <x:c r="E1971" s="39" t="n">
        <x:v>46192</x:v>
      </x:c>
      <x:c r="F1971" s="42" t="n">
        <x:v>32066.54</x:v>
      </x:c>
      <x:c r="G1971" s="42" t="n">
        <x:v>1603.33</x:v>
      </x:c>
      <x:c r="H1971" s="42" t="n">
        <x:v>170536.46</x:v>
      </x:c>
      <x:c r="I1971" s="39" t="n">
        <x:v>46187</x:v>
      </x:c>
    </x:row>
    <x:row r="1972">
      <x:c r="A1972" s="21" t="str">
        <x:v>SYN-0563</x:v>
      </x:c>
      <x:c r="B1972" s="21" t="str">
        <x:v>Synthetic Supplier 0563 LLC</x:v>
      </x:c>
      <x:c r="C1972" s="38" t="str">
        <x:f>"900 000 000 000 563"</x:f>
        <x:v>900 000 000 000 563</x:v>
      </x:c>
      <x:c r="D1972" s="21" t="str">
        <x:v>SYN-0563-INV-04</x:v>
      </x:c>
      <x:c r="E1972" s="39" t="n">
        <x:v>46239</x:v>
      </x:c>
      <x:c r="F1972" s="42" t="n">
        <x:v>45271.47</x:v>
      </x:c>
      <x:c r="G1972" s="42" t="n">
        <x:v>2263.57</x:v>
      </x:c>
      <x:c r="H1972" s="42" t="n">
        <x:v>170536.46</x:v>
      </x:c>
      <x:c r="I1972" s="39" t="n">
        <x:v>46187</x:v>
      </x:c>
    </x:row>
    <x:row r="1973">
      <x:c r="A1973" s="21" t="str">
        <x:v>SYN-0563</x:v>
      </x:c>
      <x:c r="B1973" s="21" t="str">
        <x:v>Synthetic Supplier 0563 LLC</x:v>
      </x:c>
      <x:c r="C1973" s="38" t="str">
        <x:f>"900 000 000 000 563"</x:f>
        <x:v>900 000 000 000 563</x:v>
      </x:c>
      <x:c r="D1973" s="21" t="str">
        <x:v>SYN-0563-INV-05</x:v>
      </x:c>
      <x:c r="E1973" s="39" t="n">
        <x:v>46286</x:v>
      </x:c>
      <x:c r="F1973" s="42" t="n">
        <x:v>28202.64</x:v>
      </x:c>
      <x:c r="G1973" s="42" t="n">
        <x:v>1410.13</x:v>
      </x:c>
      <x:c r="H1973" s="42" t="n">
        <x:v>170536.46</x:v>
      </x:c>
      <x:c r="I1973" s="39" t="n">
        <x:v>46187</x:v>
      </x:c>
    </x:row>
    <x:row r="1974">
      <x:c r="A1974" s="21" t="str">
        <x:v>SYN-0564</x:v>
      </x:c>
      <x:c r="B1974" s="21" t="str">
        <x:v>Synthetic Supplier 0564 LLC</x:v>
      </x:c>
      <x:c r="C1974" s="38" t="str">
        <x:f>"900 000 000 000 564"</x:f>
        <x:v>900 000 000 000 564</x:v>
      </x:c>
      <x:c r="D1974" s="21" t="str">
        <x:v>SYN-0564-INV-01</x:v>
      </x:c>
      <x:c r="E1974" s="39" t="n">
        <x:v>46111</x:v>
      </x:c>
      <x:c r="F1974" s="42" t="n">
        <x:v>129136.45</x:v>
      </x:c>
      <x:c r="G1974" s="42" t="n">
        <x:v>6456.82</x:v>
      </x:c>
      <x:c r="H1974" s="42" t="n">
        <x:v>225089.35</x:v>
      </x:c>
      <x:c r="I1974" s="39" t="n">
        <x:v>45853</x:v>
      </x:c>
    </x:row>
    <x:row r="1975">
      <x:c r="A1975" s="21" t="str">
        <x:v>SYN-0564</x:v>
      </x:c>
      <x:c r="B1975" s="21" t="str">
        <x:v>Synthetic Supplier 0564 LLC</x:v>
      </x:c>
      <x:c r="C1975" s="38" t="str">
        <x:f>"900 000 000 000 564"</x:f>
        <x:v>900 000 000 000 564</x:v>
      </x:c>
      <x:c r="D1975" s="21" t="str">
        <x:v>SYN-0564-INV-02</x:v>
      </x:c>
      <x:c r="E1975" s="39" t="n">
        <x:v>46158</x:v>
      </x:c>
      <x:c r="F1975" s="42" t="n">
        <x:v>120962.83</x:v>
      </x:c>
      <x:c r="G1975" s="42" t="n">
        <x:v>6048.14</x:v>
      </x:c>
      <x:c r="H1975" s="42" t="n">
        <x:v>225089.35</x:v>
      </x:c>
      <x:c r="I1975" s="39" t="n">
        <x:v>45853</x:v>
      </x:c>
    </x:row>
    <x:row r="1976">
      <x:c r="A1976" s="21" t="str">
        <x:v>SYN-0565</x:v>
      </x:c>
      <x:c r="B1976" s="21" t="str">
        <x:v>Synthetic Supplier 0565 LLC</x:v>
      </x:c>
      <x:c r="C1976" s="38" t="str">
        <x:f>"900 000 000 000 565"</x:f>
        <x:v>900 000 000 000 565</x:v>
      </x:c>
      <x:c r="D1976" s="21" t="str">
        <x:v>SYN-0565-INV-01</x:v>
      </x:c>
      <x:c r="E1976" s="39" t="n">
        <x:v>46124</x:v>
      </x:c>
      <x:c r="F1976" s="42" t="n">
        <x:v>81898.4</x:v>
      </x:c>
      <x:c r="G1976" s="42" t="n">
        <x:v>4094.92</x:v>
      </x:c>
      <x:c r="H1976" s="42" t="n">
        <x:v>229171.28</x:v>
      </x:c>
      <x:c r="I1976" s="39"/>
    </x:row>
    <x:row r="1977">
      <x:c r="A1977" s="21" t="str">
        <x:v>SYN-0565</x:v>
      </x:c>
      <x:c r="B1977" s="21" t="str">
        <x:v>Synthetic Supplier 0565 LLC</x:v>
      </x:c>
      <x:c r="C1977" s="38" t="str">
        <x:f>"900 000 000 000 565"</x:f>
        <x:v>900 000 000 000 565</x:v>
      </x:c>
      <x:c r="D1977" s="21" t="str">
        <x:v>SYN-0565-INV-02</x:v>
      </x:c>
      <x:c r="E1977" s="39" t="n">
        <x:v>46171</x:v>
      </x:c>
      <x:c r="F1977" s="42" t="n">
        <x:v>96719.4</x:v>
      </x:c>
      <x:c r="G1977" s="42" t="n">
        <x:v>4835.97</x:v>
      </x:c>
      <x:c r="H1977" s="42" t="n">
        <x:v>229171.28</x:v>
      </x:c>
      <x:c r="I1977" s="39"/>
    </x:row>
    <x:row r="1978">
      <x:c r="A1978" s="21" t="str">
        <x:v>SYN-0565</x:v>
      </x:c>
      <x:c r="B1978" s="21" t="str">
        <x:v>Synthetic Supplier 0565 LLC</x:v>
      </x:c>
      <x:c r="C1978" s="38" t="str">
        <x:f>"900 000 000 000 565"</x:f>
        <x:v>900 000 000 000 565</x:v>
      </x:c>
      <x:c r="D1978" s="21" t="str">
        <x:v>SYN-0565-INV-03</x:v>
      </x:c>
      <x:c r="E1978" s="39" t="n">
        <x:v>46218</x:v>
      </x:c>
      <x:c r="F1978" s="42" t="n">
        <x:v>76016.96</x:v>
      </x:c>
      <x:c r="G1978" s="42" t="n">
        <x:v>3800.85</x:v>
      </x:c>
      <x:c r="H1978" s="42" t="n">
        <x:v>229171.28</x:v>
      </x:c>
      <x:c r="I1978" s="39"/>
    </x:row>
    <x:row r="1979">
      <x:c r="A1979" s="21" t="str">
        <x:v>SYN-0566</x:v>
      </x:c>
      <x:c r="B1979" s="21" t="str">
        <x:v>Synthetic Supplier 0566 LLC</x:v>
      </x:c>
      <x:c r="C1979" s="38" t="str">
        <x:f>"900 000 000 000 566"</x:f>
        <x:v>900 000 000 000 566</x:v>
      </x:c>
      <x:c r="D1979" s="21" t="str">
        <x:v>SYN-0566-INV-01</x:v>
      </x:c>
      <x:c r="E1979" s="39" t="n">
        <x:v>46137</x:v>
      </x:c>
      <x:c r="F1979" s="42" t="n">
        <x:v>64580.98</x:v>
      </x:c>
      <x:c r="G1979" s="42" t="n">
        <x:v>3229.05</x:v>
      </x:c>
      <x:c r="H1979" s="42" t="n">
        <x:v>240332.64</x:v>
      </x:c>
      <x:c r="I1979" s="39" t="n">
        <x:v>45917</x:v>
      </x:c>
    </x:row>
    <x:row r="1980">
      <x:c r="A1980" s="21" t="str">
        <x:v>SYN-0566</x:v>
      </x:c>
      <x:c r="B1980" s="21" t="str">
        <x:v>Synthetic Supplier 0566 LLC</x:v>
      </x:c>
      <x:c r="C1980" s="38" t="str">
        <x:f>"900 000 000 000 566"</x:f>
        <x:v>900 000 000 000 566</x:v>
      </x:c>
      <x:c r="D1980" s="21" t="str">
        <x:v>SYN-0566-INV-02</x:v>
      </x:c>
      <x:c r="E1980" s="39" t="n">
        <x:v>46184</x:v>
      </x:c>
      <x:c r="F1980" s="42" t="n">
        <x:v>78108.09</x:v>
      </x:c>
      <x:c r="G1980" s="42" t="n">
        <x:v>3905.4</x:v>
      </x:c>
      <x:c r="H1980" s="42" t="n">
        <x:v>240332.64</x:v>
      </x:c>
      <x:c r="I1980" s="39" t="n">
        <x:v>45917</x:v>
      </x:c>
    </x:row>
    <x:row r="1981">
      <x:c r="A1981" s="21" t="str">
        <x:v>SYN-0566</x:v>
      </x:c>
      <x:c r="B1981" s="21" t="str">
        <x:v>Synthetic Supplier 0566 LLC</x:v>
      </x:c>
      <x:c r="C1981" s="38" t="str">
        <x:f>"900 000 000 000 566"</x:f>
        <x:v>900 000 000 000 566</x:v>
      </x:c>
      <x:c r="D1981" s="21" t="str">
        <x:v>SYN-0566-INV-03</x:v>
      </x:c>
      <x:c r="E1981" s="39" t="n">
        <x:v>46231</x:v>
      </x:c>
      <x:c r="F1981" s="42" t="n">
        <x:v>77633.27</x:v>
      </x:c>
      <x:c r="G1981" s="42" t="n">
        <x:v>3881.66</x:v>
      </x:c>
      <x:c r="H1981" s="42" t="n">
        <x:v>240332.64</x:v>
      </x:c>
      <x:c r="I1981" s="39" t="n">
        <x:v>45917</x:v>
      </x:c>
    </x:row>
    <x:row r="1982">
      <x:c r="A1982" s="21" t="str">
        <x:v>SYN-0566</x:v>
      </x:c>
      <x:c r="B1982" s="21" t="str">
        <x:v>Synthetic Supplier 0566 LLC</x:v>
      </x:c>
      <x:c r="C1982" s="38" t="str">
        <x:f>"900 000 000 000 566"</x:f>
        <x:v>900 000 000 000 566</x:v>
      </x:c>
      <x:c r="D1982" s="21" t="str">
        <x:v>SYN-0566-INV-04</x:v>
      </x:c>
      <x:c r="E1982" s="39" t="n">
        <x:v>46278</x:v>
      </x:c>
      <x:c r="F1982" s="42" t="n">
        <x:v>46713.93</x:v>
      </x:c>
      <x:c r="G1982" s="42" t="n">
        <x:v>2335.7</x:v>
      </x:c>
      <x:c r="H1982" s="42" t="n">
        <x:v>240332.64</x:v>
      </x:c>
      <x:c r="I1982" s="39" t="n">
        <x:v>45917</x:v>
      </x:c>
    </x:row>
    <x:row r="1983">
      <x:c r="A1983" s="21" t="str">
        <x:v>SYN-0567</x:v>
      </x:c>
      <x:c r="B1983" s="21" t="str">
        <x:v>Synthetic Supplier 0567 LLC</x:v>
      </x:c>
      <x:c r="C1983" s="38" t="str">
        <x:f>"900 000 000 000 567"</x:f>
        <x:v>900 000 000 000 567</x:v>
      </x:c>
      <x:c r="D1983" s="21" t="str">
        <x:v>SYN-0567-INV-01</x:v>
      </x:c>
      <x:c r="E1983" s="39" t="n">
        <x:v>46150</x:v>
      </x:c>
      <x:c r="F1983" s="42" t="n">
        <x:v>42443.14</x:v>
      </x:c>
      <x:c r="G1983" s="42" t="n">
        <x:v>2122.16</x:v>
      </x:c>
      <x:c r="H1983" s="42" t="n">
        <x:v>180742.93</x:v>
      </x:c>
      <x:c r="I1983" s="39" t="n">
        <x:v>46040</x:v>
      </x:c>
    </x:row>
    <x:row r="1984">
      <x:c r="A1984" s="21" t="str">
        <x:v>SYN-0567</x:v>
      </x:c>
      <x:c r="B1984" s="21" t="str">
        <x:v>Synthetic Supplier 0567 LLC</x:v>
      </x:c>
      <x:c r="C1984" s="38" t="str">
        <x:f>"900 000 000 000 567"</x:f>
        <x:v>900 000 000 000 567</x:v>
      </x:c>
      <x:c r="D1984" s="21" t="str">
        <x:v>SYN-0567-INV-02</x:v>
      </x:c>
      <x:c r="E1984" s="39" t="n">
        <x:v>46197</x:v>
      </x:c>
      <x:c r="F1984" s="42" t="n">
        <x:v>35938.71</x:v>
      </x:c>
      <x:c r="G1984" s="42" t="n">
        <x:v>1796.94</x:v>
      </x:c>
      <x:c r="H1984" s="42" t="n">
        <x:v>180742.93</x:v>
      </x:c>
      <x:c r="I1984" s="39" t="n">
        <x:v>46040</x:v>
      </x:c>
    </x:row>
    <x:row r="1985">
      <x:c r="A1985" s="21" t="str">
        <x:v>SYN-0567</x:v>
      </x:c>
      <x:c r="B1985" s="21" t="str">
        <x:v>Synthetic Supplier 0567 LLC</x:v>
      </x:c>
      <x:c r="C1985" s="38" t="str">
        <x:f>"900 000 000 000 567"</x:f>
        <x:v>900 000 000 000 567</x:v>
      </x:c>
      <x:c r="D1985" s="21" t="str">
        <x:v>SYN-0567-INV-03</x:v>
      </x:c>
      <x:c r="E1985" s="39" t="n">
        <x:v>46244</x:v>
      </x:c>
      <x:c r="F1985" s="42" t="n">
        <x:v>17771.9</x:v>
      </x:c>
      <x:c r="G1985" s="42" t="n">
        <x:v>888.6</x:v>
      </x:c>
      <x:c r="H1985" s="42" t="n">
        <x:v>180742.93</x:v>
      </x:c>
      <x:c r="I1985" s="39" t="n">
        <x:v>46040</x:v>
      </x:c>
    </x:row>
    <x:row r="1986">
      <x:c r="A1986" s="21" t="str">
        <x:v>SYN-0567</x:v>
      </x:c>
      <x:c r="B1986" s="21" t="str">
        <x:v>Synthetic Supplier 0567 LLC</x:v>
      </x:c>
      <x:c r="C1986" s="38" t="str">
        <x:f>"900 000 000 000 567"</x:f>
        <x:v>900 000 000 000 567</x:v>
      </x:c>
      <x:c r="D1986" s="21" t="str">
        <x:v>SYN-0567-INV-04</x:v>
      </x:c>
      <x:c r="E1986" s="39" t="n">
        <x:v>46291</x:v>
      </x:c>
      <x:c r="F1986" s="42" t="n">
        <x:v>29052.91</x:v>
      </x:c>
      <x:c r="G1986" s="42" t="n">
        <x:v>1452.65</x:v>
      </x:c>
      <x:c r="H1986" s="42" t="n">
        <x:v>180742.93</x:v>
      </x:c>
      <x:c r="I1986" s="39" t="n">
        <x:v>46040</x:v>
      </x:c>
    </x:row>
    <x:row r="1987">
      <x:c r="A1987" s="21" t="str">
        <x:v>SYN-0567</x:v>
      </x:c>
      <x:c r="B1987" s="21" t="str">
        <x:v>Synthetic Supplier 0567 LLC</x:v>
      </x:c>
      <x:c r="C1987" s="38" t="str">
        <x:f>"900 000 000 000 567"</x:f>
        <x:v>900 000 000 000 567</x:v>
      </x:c>
      <x:c r="D1987" s="21" t="str">
        <x:v>SYN-0567-INV-05</x:v>
      </x:c>
      <x:c r="E1987" s="39" t="n">
        <x:v>45978</x:v>
      </x:c>
      <x:c r="F1987" s="42" t="n">
        <x:v>31961.11</x:v>
      </x:c>
      <x:c r="G1987" s="42" t="n">
        <x:v>1598.06</x:v>
      </x:c>
      <x:c r="H1987" s="42" t="n">
        <x:v>180742.93</x:v>
      </x:c>
      <x:c r="I1987" s="39" t="n">
        <x:v>46040</x:v>
      </x:c>
    </x:row>
    <x:row r="1988">
      <x:c r="A1988" s="21" t="str">
        <x:v>SYN-0568</x:v>
      </x:c>
      <x:c r="B1988" s="21" t="str">
        <x:v>Synthetic Supplier 0568 LLC</x:v>
      </x:c>
      <x:c r="C1988" s="38" t="str">
        <x:f>"900 000 000 000 568"</x:f>
        <x:v>900 000 000 000 568</x:v>
      </x:c>
      <x:c r="D1988" s="21" t="str">
        <x:v>SYN-0568-INV-01</x:v>
      </x:c>
      <x:c r="E1988" s="39" t="n">
        <x:v>46163</x:v>
      </x:c>
      <x:c r="F1988" s="42" t="n">
        <x:v>170414.94</x:v>
      </x:c>
      <x:c r="G1988" s="42" t="n">
        <x:v>8520.75</x:v>
      </x:c>
      <x:c r="H1988" s="42" t="n">
        <x:v>234014.39</x:v>
      </x:c>
      <x:c r="I1988" s="39" t="n">
        <x:v>45707</x:v>
      </x:c>
    </x:row>
    <x:row r="1989">
      <x:c r="A1989" s="21" t="str">
        <x:v>SYN-0568</x:v>
      </x:c>
      <x:c r="B1989" s="21" t="str">
        <x:v>Synthetic Supplier 0568 LLC</x:v>
      </x:c>
      <x:c r="C1989" s="38" t="str">
        <x:f>"900 000 000 000 568"</x:f>
        <x:v>900 000 000 000 568</x:v>
      </x:c>
      <x:c r="D1989" s="21" t="str">
        <x:v>SYN-0568-INV-02</x:v>
      </x:c>
      <x:c r="E1989" s="39" t="n">
        <x:v>46210</x:v>
      </x:c>
      <x:c r="F1989" s="42" t="n">
        <x:v>89601.04</x:v>
      </x:c>
      <x:c r="G1989" s="42" t="n">
        <x:v>4480.05</x:v>
      </x:c>
      <x:c r="H1989" s="42" t="n">
        <x:v>234014.39</x:v>
      </x:c>
      <x:c r="I1989" s="39" t="n">
        <x:v>45707</x:v>
      </x:c>
    </x:row>
    <x:row r="1990">
      <x:c r="A1990" s="21" t="str">
        <x:v>SYN-0569</x:v>
      </x:c>
      <x:c r="B1990" s="21" t="str">
        <x:v>Synthetic Supplier 0569 LLC</x:v>
      </x:c>
      <x:c r="C1990" s="38" t="str">
        <x:f>"900 000 000 000 569"</x:f>
        <x:v>900 000 000 000 569</x:v>
      </x:c>
      <x:c r="D1990" s="21" t="str">
        <x:v>SYN-0569-INV-01</x:v>
      </x:c>
      <x:c r="E1990" s="39" t="n">
        <x:v>46176</x:v>
      </x:c>
      <x:c r="F1990" s="42" t="n">
        <x:v>58014.91</x:v>
      </x:c>
      <x:c r="G1990" s="42" t="n">
        <x:v>2900.75</x:v>
      </x:c>
      <x:c r="H1990" s="42" t="n">
        <x:v>163613.35</x:v>
      </x:c>
      <x:c r="I1990" s="39" t="n">
        <x:v>46101</x:v>
      </x:c>
    </x:row>
    <x:row r="1991">
      <x:c r="A1991" s="21" t="str">
        <x:v>SYN-0569</x:v>
      </x:c>
      <x:c r="B1991" s="21" t="str">
        <x:v>Synthetic Supplier 0569 LLC</x:v>
      </x:c>
      <x:c r="C1991" s="38" t="str">
        <x:f>"900 000 000 000 569"</x:f>
        <x:v>900 000 000 000 569</x:v>
      </x:c>
      <x:c r="D1991" s="21" t="str">
        <x:v>SYN-0569-INV-02</x:v>
      </x:c>
      <x:c r="E1991" s="39" t="n">
        <x:v>46223</x:v>
      </x:c>
      <x:c r="F1991" s="42" t="n">
        <x:v>58374.63</x:v>
      </x:c>
      <x:c r="G1991" s="42" t="n">
        <x:v>2918.73</x:v>
      </x:c>
      <x:c r="H1991" s="42" t="n">
        <x:v>163613.35</x:v>
      </x:c>
      <x:c r="I1991" s="39" t="n">
        <x:v>46101</x:v>
      </x:c>
    </x:row>
    <x:row r="1992">
      <x:c r="A1992" s="21" t="str">
        <x:v>SYN-0569</x:v>
      </x:c>
      <x:c r="B1992" s="21" t="str">
        <x:v>Synthetic Supplier 0569 LLC</x:v>
      </x:c>
      <x:c r="C1992" s="38" t="str">
        <x:f>"900 000 000 000 569"</x:f>
        <x:v>900 000 000 000 569</x:v>
      </x:c>
      <x:c r="D1992" s="21" t="str">
        <x:v>SYN-0569-INV-03</x:v>
      </x:c>
      <x:c r="E1992" s="39" t="n">
        <x:v>46270</x:v>
      </x:c>
      <x:c r="F1992" s="42" t="n">
        <x:v>65403.07</x:v>
      </x:c>
      <x:c r="G1992" s="42" t="n">
        <x:v>3270.15</x:v>
      </x:c>
      <x:c r="H1992" s="42" t="n">
        <x:v>163613.35</x:v>
      </x:c>
      <x:c r="I1992" s="39" t="n">
        <x:v>46101</x:v>
      </x:c>
    </x:row>
    <x:row r="1993">
      <x:c r="A1993" s="21" t="str">
        <x:v>SYN-0570</x:v>
      </x:c>
      <x:c r="B1993" s="21" t="str">
        <x:v>Synthetic Supplier 0570 LLC</x:v>
      </x:c>
      <x:c r="C1993" s="38" t="str">
        <x:f>"900 000 000 000 570"</x:f>
        <x:v>900 000 000 000 570</x:v>
      </x:c>
      <x:c r="D1993" s="21" t="str">
        <x:v>SYN-0570-INV-01</x:v>
      </x:c>
      <x:c r="E1993" s="39" t="n">
        <x:v>46189</x:v>
      </x:c>
      <x:c r="F1993" s="42" t="n">
        <x:v>80615.16</x:v>
      </x:c>
      <x:c r="G1993" s="42" t="n">
        <x:v>4030.76</x:v>
      </x:c>
      <x:c r="H1993" s="42" t="n">
        <x:v>258456.2</x:v>
      </x:c>
      <x:c r="I1993" s="39"/>
    </x:row>
    <x:row r="1994">
      <x:c r="A1994" s="21" t="str">
        <x:v>SYN-0570</x:v>
      </x:c>
      <x:c r="B1994" s="21" t="str">
        <x:v>Synthetic Supplier 0570 LLC</x:v>
      </x:c>
      <x:c r="C1994" s="38" t="str">
        <x:f>"900 000 000 000 570"</x:f>
        <x:v>900 000 000 000 570</x:v>
      </x:c>
      <x:c r="D1994" s="21" t="str">
        <x:v>SYN-0570-INV-02</x:v>
      </x:c>
      <x:c r="E1994" s="39" t="n">
        <x:v>46236</x:v>
      </x:c>
      <x:c r="F1994" s="42" t="n">
        <x:v>45654.9</x:v>
      </x:c>
      <x:c r="G1994" s="42" t="n">
        <x:v>2282.75</x:v>
      </x:c>
      <x:c r="H1994" s="42" t="n">
        <x:v>258456.2</x:v>
      </x:c>
      <x:c r="I1994" s="39"/>
    </x:row>
    <x:row r="1995">
      <x:c r="A1995" s="21" t="str">
        <x:v>SYN-0570</x:v>
      </x:c>
      <x:c r="B1995" s="21" t="str">
        <x:v>Synthetic Supplier 0570 LLC</x:v>
      </x:c>
      <x:c r="C1995" s="38" t="str">
        <x:f>"900 000 000 000 570"</x:f>
        <x:v>900 000 000 000 570</x:v>
      </x:c>
      <x:c r="D1995" s="21" t="str">
        <x:v>SYN-0570-INV-03</x:v>
      </x:c>
      <x:c r="E1995" s="39" t="n">
        <x:v>46283</x:v>
      </x:c>
      <x:c r="F1995" s="42" t="n">
        <x:v>82846.5</x:v>
      </x:c>
      <x:c r="G1995" s="42" t="n">
        <x:v>4142.33</x:v>
      </x:c>
      <x:c r="H1995" s="42" t="n">
        <x:v>258456.2</x:v>
      </x:c>
      <x:c r="I1995" s="39"/>
    </x:row>
    <x:row r="1996">
      <x:c r="A1996" s="21" t="str">
        <x:v>SYN-0570</x:v>
      </x:c>
      <x:c r="B1996" s="21" t="str">
        <x:v>Synthetic Supplier 0570 LLC</x:v>
      </x:c>
      <x:c r="C1996" s="38" t="str">
        <x:f>"900 000 000 000 570"</x:f>
        <x:v>900 000 000 000 570</x:v>
      </x:c>
      <x:c r="D1996" s="21" t="str">
        <x:v>SYN-0570-INV-04</x:v>
      </x:c>
      <x:c r="E1996" s="39" t="n">
        <x:v>45970</x:v>
      </x:c>
      <x:c r="F1996" s="42" t="n">
        <x:v>78056.99</x:v>
      </x:c>
      <x:c r="G1996" s="42" t="n">
        <x:v>3902.85</x:v>
      </x:c>
      <x:c r="H1996" s="42" t="n">
        <x:v>258456.2</x:v>
      </x:c>
      <x:c r="I1996" s="39"/>
    </x:row>
    <x:row r="1997">
      <x:c r="A1997" s="21" t="str">
        <x:v>SYN-0571</x:v>
      </x:c>
      <x:c r="B1997" s="21" t="str">
        <x:v>Synthetic Supplier 0571 LLC</x:v>
      </x:c>
      <x:c r="C1997" s="38" t="str">
        <x:f>"900 000 000 000 571"</x:f>
        <x:v>900 000 000 000 571</x:v>
      </x:c>
      <x:c r="D1997" s="21" t="str">
        <x:v>SYN-0571-INV-01</x:v>
      </x:c>
      <x:c r="E1997" s="39" t="n">
        <x:v>46202</x:v>
      </x:c>
      <x:c r="F1997" s="42" t="n">
        <x:v>41479.62</x:v>
      </x:c>
      <x:c r="G1997" s="42" t="n">
        <x:v>2073.98</x:v>
      </x:c>
      <x:c r="H1997" s="42" t="n">
        <x:v>296530.04</x:v>
      </x:c>
      <x:c r="I1997" s="39" t="n">
        <x:v>46164</x:v>
      </x:c>
    </x:row>
    <x:row r="1998">
      <x:c r="A1998" s="21" t="str">
        <x:v>SYN-0571</x:v>
      </x:c>
      <x:c r="B1998" s="21" t="str">
        <x:v>Synthetic Supplier 0571 LLC</x:v>
      </x:c>
      <x:c r="C1998" s="38" t="str">
        <x:f>"900 000 000 000 571"</x:f>
        <x:v>900 000 000 000 571</x:v>
      </x:c>
      <x:c r="D1998" s="21" t="str">
        <x:v>SYN-0571-INV-02</x:v>
      </x:c>
      <x:c r="E1998" s="39" t="n">
        <x:v>46249</x:v>
      </x:c>
      <x:c r="F1998" s="42" t="n">
        <x:v>66897.44</x:v>
      </x:c>
      <x:c r="G1998" s="42" t="n">
        <x:v>3344.87</x:v>
      </x:c>
      <x:c r="H1998" s="42" t="n">
        <x:v>296530.04</x:v>
      </x:c>
      <x:c r="I1998" s="39" t="n">
        <x:v>46164</x:v>
      </x:c>
    </x:row>
    <x:row r="1999">
      <x:c r="A1999" s="21" t="str">
        <x:v>SYN-0571</x:v>
      </x:c>
      <x:c r="B1999" s="21" t="str">
        <x:v>Synthetic Supplier 0571 LLC</x:v>
      </x:c>
      <x:c r="C1999" s="38" t="str">
        <x:f>"900 000 000 000 571"</x:f>
        <x:v>900 000 000 000 571</x:v>
      </x:c>
      <x:c r="D1999" s="21" t="str">
        <x:v>SYN-0571-INV-03</x:v>
      </x:c>
      <x:c r="E1999" s="39" t="n">
        <x:v>45936</x:v>
      </x:c>
      <x:c r="F1999" s="42" t="n">
        <x:v>75258.49</x:v>
      </x:c>
      <x:c r="G1999" s="42" t="n">
        <x:v>3762.92</x:v>
      </x:c>
      <x:c r="H1999" s="42" t="n">
        <x:v>296530.04</x:v>
      </x:c>
      <x:c r="I1999" s="39" t="n">
        <x:v>46164</x:v>
      </x:c>
    </x:row>
    <x:row r="2000">
      <x:c r="A2000" s="21" t="str">
        <x:v>SYN-0571</x:v>
      </x:c>
      <x:c r="B2000" s="21" t="str">
        <x:v>Synthetic Supplier 0571 LLC</x:v>
      </x:c>
      <x:c r="C2000" s="38" t="str">
        <x:f>"900 000 000 000 571"</x:f>
        <x:v>900 000 000 000 571</x:v>
      </x:c>
      <x:c r="D2000" s="21" t="str">
        <x:v>SYN-0571-INV-04</x:v>
      </x:c>
      <x:c r="E2000" s="39" t="n">
        <x:v>45983</x:v>
      </x:c>
      <x:c r="F2000" s="42" t="n">
        <x:v>74151.81</x:v>
      </x:c>
      <x:c r="G2000" s="42" t="n">
        <x:v>3707.59</x:v>
      </x:c>
      <x:c r="H2000" s="42" t="n">
        <x:v>296530.04</x:v>
      </x:c>
      <x:c r="I2000" s="39" t="n">
        <x:v>46164</x:v>
      </x:c>
    </x:row>
    <x:row r="2001">
      <x:c r="A2001" s="21" t="str">
        <x:v>SYN-0571</x:v>
      </x:c>
      <x:c r="B2001" s="21" t="str">
        <x:v>Synthetic Supplier 0571 LLC</x:v>
      </x:c>
      <x:c r="C2001" s="38" t="str">
        <x:f>"900 000 000 000 571"</x:f>
        <x:v>900 000 000 000 571</x:v>
      </x:c>
      <x:c r="D2001" s="21" t="str">
        <x:v>SYN-0571-INV-05</x:v>
      </x:c>
      <x:c r="E2001" s="39" t="n">
        <x:v>46030</x:v>
      </x:c>
      <x:c r="F2001" s="42" t="n">
        <x:v>71690.46</x:v>
      </x:c>
      <x:c r="G2001" s="42" t="n">
        <x:v>3584.52</x:v>
      </x:c>
      <x:c r="H2001" s="42" t="n">
        <x:v>296530.04</x:v>
      </x:c>
      <x:c r="I2001" s="39" t="n">
        <x:v>46164</x:v>
      </x:c>
    </x:row>
    <x:row r="2002">
      <x:c r="A2002" s="21" t="str">
        <x:v>SYN-0572</x:v>
      </x:c>
      <x:c r="B2002" s="21" t="str">
        <x:v>Synthetic Supplier 0572 LLC</x:v>
      </x:c>
      <x:c r="C2002" s="38" t="str">
        <x:f>"900 000 000 000 572"</x:f>
        <x:v>900 000 000 000 572</x:v>
      </x:c>
      <x:c r="D2002" s="21" t="str">
        <x:v>SYN-0572-INV-01</x:v>
      </x:c>
      <x:c r="E2002" s="39" t="n">
        <x:v>46215</x:v>
      </x:c>
      <x:c r="F2002" s="42" t="n">
        <x:v>73051.38</x:v>
      </x:c>
      <x:c r="G2002" s="42" t="n">
        <x:v>3652.57</x:v>
      </x:c>
      <x:c r="H2002" s="42" t="n">
        <x:v>124607.72</x:v>
      </x:c>
      <x:c r="I2002" s="39" t="n">
        <x:v>45831</x:v>
      </x:c>
    </x:row>
    <x:row r="2003">
      <x:c r="A2003" s="21" t="str">
        <x:v>SYN-0572</x:v>
      </x:c>
      <x:c r="B2003" s="21" t="str">
        <x:v>Synthetic Supplier 0572 LLC</x:v>
      </x:c>
      <x:c r="C2003" s="38" t="str">
        <x:f>"900 000 000 000 572"</x:f>
        <x:v>900 000 000 000 572</x:v>
      </x:c>
      <x:c r="D2003" s="21" t="str">
        <x:v>SYN-0572-INV-02</x:v>
      </x:c>
      <x:c r="E2003" s="39" t="n">
        <x:v>46262</x:v>
      </x:c>
      <x:c r="F2003" s="42" t="n">
        <x:v>65401.64</x:v>
      </x:c>
      <x:c r="G2003" s="42" t="n">
        <x:v>3270.08</x:v>
      </x:c>
      <x:c r="H2003" s="42" t="n">
        <x:v>124607.72</x:v>
      </x:c>
      <x:c r="I2003" s="39" t="n">
        <x:v>45831</x:v>
      </x:c>
    </x:row>
    <x:row r="2004">
      <x:c r="A2004" s="21" t="str">
        <x:v>SYN-0573</x:v>
      </x:c>
      <x:c r="B2004" s="21" t="str">
        <x:v>Synthetic Supplier 0573 LLC</x:v>
      </x:c>
      <x:c r="C2004" s="38" t="str">
        <x:f>"900 000 000 000 573"</x:f>
        <x:v>900 000 000 000 573</x:v>
      </x:c>
      <x:c r="D2004" s="21" t="str">
        <x:v>SYN-0573-INV-01</x:v>
      </x:c>
      <x:c r="E2004" s="39" t="n">
        <x:v>46228</x:v>
      </x:c>
      <x:c r="F2004" s="42" t="n">
        <x:v>75414.66</x:v>
      </x:c>
      <x:c r="G2004" s="42" t="n">
        <x:v>3770.73</x:v>
      </x:c>
      <x:c r="H2004" s="42" t="n">
        <x:v>189962.29</x:v>
      </x:c>
      <x:c r="I2004" s="39" t="n">
        <x:v>46227</x:v>
      </x:c>
    </x:row>
    <x:row r="2005">
      <x:c r="A2005" s="21" t="str">
        <x:v>SYN-0573</x:v>
      </x:c>
      <x:c r="B2005" s="21" t="str">
        <x:v>Synthetic Supplier 0573 LLC</x:v>
      </x:c>
      <x:c r="C2005" s="38" t="str">
        <x:f>"900 000 000 000 573"</x:f>
        <x:v>900 000 000 000 573</x:v>
      </x:c>
      <x:c r="D2005" s="21" t="str">
        <x:v>SYN-0573-INV-02</x:v>
      </x:c>
      <x:c r="E2005" s="39" t="n">
        <x:v>46275</x:v>
      </x:c>
      <x:c r="F2005" s="42" t="n">
        <x:v>83518.02</x:v>
      </x:c>
      <x:c r="G2005" s="42" t="n">
        <x:v>4175.9</x:v>
      </x:c>
      <x:c r="H2005" s="42" t="n">
        <x:v>189962.29</x:v>
      </x:c>
      <x:c r="I2005" s="39" t="n">
        <x:v>46227</x:v>
      </x:c>
    </x:row>
    <x:row r="2006">
      <x:c r="A2006" s="21" t="str">
        <x:v>SYN-0573</x:v>
      </x:c>
      <x:c r="B2006" s="21" t="str">
        <x:v>Synthetic Supplier 0573 LLC</x:v>
      </x:c>
      <x:c r="C2006" s="38" t="str">
        <x:f>"900 000 000 000 573"</x:f>
        <x:v>900 000 000 000 573</x:v>
      </x:c>
      <x:c r="D2006" s="21" t="str">
        <x:v>SYN-0573-INV-03</x:v>
      </x:c>
      <x:c r="E2006" s="39" t="n">
        <x:v>45962</x:v>
      </x:c>
      <x:c r="F2006" s="42" t="n">
        <x:v>52136.53</x:v>
      </x:c>
      <x:c r="G2006" s="42" t="n">
        <x:v>2606.83</x:v>
      </x:c>
      <x:c r="H2006" s="42" t="n">
        <x:v>189962.29</x:v>
      </x:c>
      <x:c r="I2006" s="39" t="n">
        <x:v>46227</x:v>
      </x:c>
    </x:row>
    <x:row r="2007">
      <x:c r="A2007" s="21" t="str">
        <x:v>SYN-0574</x:v>
      </x:c>
      <x:c r="B2007" s="21" t="str">
        <x:v>Synthetic Supplier 0574 LLC</x:v>
      </x:c>
      <x:c r="C2007" s="38" t="str">
        <x:f>"900 000 000 000 574"</x:f>
        <x:v>900 000 000 000 574</x:v>
      </x:c>
      <x:c r="D2007" s="21" t="str">
        <x:v>SYN-0574-INV-01</x:v>
      </x:c>
      <x:c r="E2007" s="39" t="n">
        <x:v>46241</x:v>
      </x:c>
      <x:c r="F2007" s="42" t="n">
        <x:v>39190.15</x:v>
      </x:c>
      <x:c r="G2007" s="42" t="n">
        <x:v>1959.51</x:v>
      </x:c>
      <x:c r="H2007" s="42" t="n">
        <x:v>165304.65</x:v>
      </x:c>
      <x:c r="I2007" s="39" t="n">
        <x:v>45894</x:v>
      </x:c>
    </x:row>
    <x:row r="2008">
      <x:c r="A2008" s="21" t="str">
        <x:v>SYN-0574</x:v>
      </x:c>
      <x:c r="B2008" s="21" t="str">
        <x:v>Synthetic Supplier 0574 LLC</x:v>
      </x:c>
      <x:c r="C2008" s="38" t="str">
        <x:f>"900 000 000 000 574"</x:f>
        <x:v>900 000 000 000 574</x:v>
      </x:c>
      <x:c r="D2008" s="21" t="str">
        <x:v>SYN-0574-INV-02</x:v>
      </x:c>
      <x:c r="E2008" s="39" t="n">
        <x:v>46288</x:v>
      </x:c>
      <x:c r="F2008" s="42" t="n">
        <x:v>24814.3</x:v>
      </x:c>
      <x:c r="G2008" s="42" t="n">
        <x:v>1240.71</x:v>
      </x:c>
      <x:c r="H2008" s="42" t="n">
        <x:v>165304.65</x:v>
      </x:c>
      <x:c r="I2008" s="39" t="n">
        <x:v>45894</x:v>
      </x:c>
    </x:row>
    <x:row r="2009">
      <x:c r="A2009" s="21" t="str">
        <x:v>SYN-0574</x:v>
      </x:c>
      <x:c r="B2009" s="21" t="str">
        <x:v>Synthetic Supplier 0574 LLC</x:v>
      </x:c>
      <x:c r="C2009" s="38" t="str">
        <x:f>"900 000 000 000 574"</x:f>
        <x:v>900 000 000 000 574</x:v>
      </x:c>
      <x:c r="D2009" s="21" t="str">
        <x:v>SYN-0574-INV-03</x:v>
      </x:c>
      <x:c r="E2009" s="39" t="n">
        <x:v>45975</x:v>
      </x:c>
      <x:c r="F2009" s="42" t="n">
        <x:v>52058.57</x:v>
      </x:c>
      <x:c r="G2009" s="42" t="n">
        <x:v>2602.93</x:v>
      </x:c>
      <x:c r="H2009" s="42" t="n">
        <x:v>165304.65</x:v>
      </x:c>
      <x:c r="I2009" s="39" t="n">
        <x:v>45894</x:v>
      </x:c>
    </x:row>
    <x:row r="2010">
      <x:c r="A2010" s="21" t="str">
        <x:v>SYN-0574</x:v>
      </x:c>
      <x:c r="B2010" s="21" t="str">
        <x:v>Synthetic Supplier 0574 LLC</x:v>
      </x:c>
      <x:c r="C2010" s="38" t="str">
        <x:f>"900 000 000 000 574"</x:f>
        <x:v>900 000 000 000 574</x:v>
      </x:c>
      <x:c r="D2010" s="21" t="str">
        <x:v>SYN-0574-INV-04</x:v>
      </x:c>
      <x:c r="E2010" s="39" t="n">
        <x:v>46022</x:v>
      </x:c>
      <x:c r="F2010" s="42" t="n">
        <x:v>27680.16</x:v>
      </x:c>
      <x:c r="G2010" s="42" t="n">
        <x:v>1384.01</x:v>
      </x:c>
      <x:c r="H2010" s="42" t="n">
        <x:v>165304.65</x:v>
      </x:c>
      <x:c r="I2010" s="39" t="n">
        <x:v>45894</x:v>
      </x:c>
    </x:row>
    <x:row r="2011">
      <x:c r="A2011" s="21" t="str">
        <x:v>SYN-0575</x:v>
      </x:c>
      <x:c r="B2011" s="21" t="str">
        <x:v>Synthetic Supplier 0575 LLC</x:v>
      </x:c>
      <x:c r="C2011" s="38" t="str">
        <x:f>"900 000 000 000 575"</x:f>
        <x:v>900 000 000 000 575</x:v>
      </x:c>
      <x:c r="D2011" s="21" t="str">
        <x:v>SYN-0575-INV-01</x:v>
      </x:c>
      <x:c r="E2011" s="39" t="n">
        <x:v>46254</x:v>
      </x:c>
      <x:c r="F2011" s="42" t="n">
        <x:v>66059.97</x:v>
      </x:c>
      <x:c r="G2011" s="42" t="n">
        <x:v>3303</x:v>
      </x:c>
      <x:c r="H2011" s="42" t="n">
        <x:v>253929.74</x:v>
      </x:c>
      <x:c r="I2011" s="39"/>
    </x:row>
    <x:row r="2012">
      <x:c r="A2012" s="21" t="str">
        <x:v>SYN-0575</x:v>
      </x:c>
      <x:c r="B2012" s="21" t="str">
        <x:v>Synthetic Supplier 0575 LLC</x:v>
      </x:c>
      <x:c r="C2012" s="38" t="str">
        <x:f>"900 000 000 000 575"</x:f>
        <x:v>900 000 000 000 575</x:v>
      </x:c>
      <x:c r="D2012" s="21" t="str">
        <x:v>SYN-0575-INV-02</x:v>
      </x:c>
      <x:c r="E2012" s="39" t="n">
        <x:v>45941</x:v>
      </x:c>
      <x:c r="F2012" s="42" t="n">
        <x:v>47725.66</x:v>
      </x:c>
      <x:c r="G2012" s="42" t="n">
        <x:v>2386.28</x:v>
      </x:c>
      <x:c r="H2012" s="42" t="n">
        <x:v>253929.74</x:v>
      </x:c>
      <x:c r="I2012" s="39"/>
    </x:row>
    <x:row r="2013">
      <x:c r="A2013" s="21" t="str">
        <x:v>SYN-0575</x:v>
      </x:c>
      <x:c r="B2013" s="21" t="str">
        <x:v>Synthetic Supplier 0575 LLC</x:v>
      </x:c>
      <x:c r="C2013" s="38" t="str">
        <x:f>"900 000 000 000 575"</x:f>
        <x:v>900 000 000 000 575</x:v>
      </x:c>
      <x:c r="D2013" s="21" t="str">
        <x:v>SYN-0575-INV-03</x:v>
      </x:c>
      <x:c r="E2013" s="39" t="n">
        <x:v>45988</x:v>
      </x:c>
      <x:c r="F2013" s="42" t="n">
        <x:v>41943.49</x:v>
      </x:c>
      <x:c r="G2013" s="42" t="n">
        <x:v>2097.17</x:v>
      </x:c>
      <x:c r="H2013" s="42" t="n">
        <x:v>253929.74</x:v>
      </x:c>
      <x:c r="I2013" s="39"/>
    </x:row>
    <x:row r="2014">
      <x:c r="A2014" s="21" t="str">
        <x:v>SYN-0575</x:v>
      </x:c>
      <x:c r="B2014" s="21" t="str">
        <x:v>Synthetic Supplier 0575 LLC</x:v>
      </x:c>
      <x:c r="C2014" s="38" t="str">
        <x:f>"900 000 000 000 575"</x:f>
        <x:v>900 000 000 000 575</x:v>
      </x:c>
      <x:c r="D2014" s="21" t="str">
        <x:v>SYN-0575-INV-04</x:v>
      </x:c>
      <x:c r="E2014" s="39" t="n">
        <x:v>46035</x:v>
      </x:c>
      <x:c r="F2014" s="42" t="n">
        <x:v>63601.82</x:v>
      </x:c>
      <x:c r="G2014" s="42" t="n">
        <x:v>3180.09</x:v>
      </x:c>
      <x:c r="H2014" s="42" t="n">
        <x:v>253929.74</x:v>
      </x:c>
      <x:c r="I2014" s="39"/>
    </x:row>
    <x:row r="2015">
      <x:c r="A2015" s="21" t="str">
        <x:v>SYN-0575</x:v>
      </x:c>
      <x:c r="B2015" s="21" t="str">
        <x:v>Synthetic Supplier 0575 LLC</x:v>
      </x:c>
      <x:c r="C2015" s="38" t="str">
        <x:f>"900 000 000 000 575"</x:f>
        <x:v>900 000 000 000 575</x:v>
      </x:c>
      <x:c r="D2015" s="21" t="str">
        <x:v>SYN-0575-INV-05</x:v>
      </x:c>
      <x:c r="E2015" s="39" t="n">
        <x:v>46082</x:v>
      </x:c>
      <x:c r="F2015" s="42" t="n">
        <x:v>62813.21</x:v>
      </x:c>
      <x:c r="G2015" s="42" t="n">
        <x:v>3140.66</x:v>
      </x:c>
      <x:c r="H2015" s="42" t="n">
        <x:v>253929.74</x:v>
      </x:c>
      <x:c r="I2015" s="39"/>
    </x:row>
    <x:row r="2016">
      <x:c r="A2016" s="21" t="str">
        <x:v>SYN-0576</x:v>
      </x:c>
      <x:c r="B2016" s="21" t="str">
        <x:v>Synthetic Supplier 0576 LLC</x:v>
      </x:c>
      <x:c r="C2016" s="38" t="str">
        <x:f>"900 000 000 000 576"</x:f>
        <x:v>900 000 000 000 576</x:v>
      </x:c>
      <x:c r="D2016" s="21" t="str">
        <x:v>SYN-0576-INV-01</x:v>
      </x:c>
      <x:c r="E2016" s="39" t="n">
        <x:v>46267</x:v>
      </x:c>
      <x:c r="F2016" s="42" t="n">
        <x:v>177793.37</x:v>
      </x:c>
      <x:c r="G2016" s="42" t="n">
        <x:v>8889.67</x:v>
      </x:c>
      <x:c r="H2016" s="42" t="n">
        <x:v>305272.1</x:v>
      </x:c>
      <x:c r="I2016" s="39" t="n">
        <x:v>45659</x:v>
      </x:c>
    </x:row>
    <x:row r="2017">
      <x:c r="A2017" s="21" t="str">
        <x:v>SYN-0576</x:v>
      </x:c>
      <x:c r="B2017" s="21" t="str">
        <x:v>Synthetic Supplier 0576 LLC</x:v>
      </x:c>
      <x:c r="C2017" s="38" t="str">
        <x:f>"900 000 000 000 576"</x:f>
        <x:v>900 000 000 000 576</x:v>
      </x:c>
      <x:c r="D2017" s="21" t="str">
        <x:v>SYN-0576-INV-02</x:v>
      </x:c>
      <x:c r="E2017" s="39" t="n">
        <x:v>45954</x:v>
      </x:c>
      <x:c r="F2017" s="42" t="n">
        <x:v>161397.85</x:v>
      </x:c>
      <x:c r="G2017" s="42" t="n">
        <x:v>8069.89</x:v>
      </x:c>
      <x:c r="H2017" s="42" t="n">
        <x:v>305272.1</x:v>
      </x:c>
      <x:c r="I2017" s="39" t="n">
        <x:v>45659</x:v>
      </x:c>
    </x:row>
    <x:row r="2018">
      <x:c r="A2018" s="21" t="str">
        <x:v>SYN-0577</x:v>
      </x:c>
      <x:c r="B2018" s="21" t="str">
        <x:v>Synthetic Supplier 0577 LLC</x:v>
      </x:c>
      <x:c r="C2018" s="38" t="str">
        <x:f>"900 000 000 000 577"</x:f>
        <x:v>900 000 000 000 577</x:v>
      </x:c>
      <x:c r="D2018" s="21" t="str">
        <x:v>SYN-0577-INV-01</x:v>
      </x:c>
      <x:c r="E2018" s="39" t="n">
        <x:v>46280</x:v>
      </x:c>
      <x:c r="F2018" s="42" t="n">
        <x:v>85861.65</x:v>
      </x:c>
      <x:c r="G2018" s="42" t="n">
        <x:v>4293.08</x:v>
      </x:c>
      <x:c r="H2018" s="42" t="n">
        <x:v>199262.67</x:v>
      </x:c>
      <x:c r="I2018" s="39" t="n">
        <x:v>46056</x:v>
      </x:c>
    </x:row>
    <x:row r="2019">
      <x:c r="A2019" s="21" t="str">
        <x:v>SYN-0577</x:v>
      </x:c>
      <x:c r="B2019" s="21" t="str">
        <x:v>Synthetic Supplier 0577 LLC</x:v>
      </x:c>
      <x:c r="C2019" s="38" t="str">
        <x:f>"900 000 000 000 577"</x:f>
        <x:v>900 000 000 000 577</x:v>
      </x:c>
      <x:c r="D2019" s="21" t="str">
        <x:v>SYN-0577-INV-02</x:v>
      </x:c>
      <x:c r="E2019" s="39" t="n">
        <x:v>45967</x:v>
      </x:c>
      <x:c r="F2019" s="42" t="n">
        <x:v>54023.81</x:v>
      </x:c>
      <x:c r="G2019" s="42" t="n">
        <x:v>2701.19</x:v>
      </x:c>
      <x:c r="H2019" s="42" t="n">
        <x:v>199262.67</x:v>
      </x:c>
      <x:c r="I2019" s="39" t="n">
        <x:v>46056</x:v>
      </x:c>
    </x:row>
    <x:row r="2020">
      <x:c r="A2020" s="21" t="str">
        <x:v>SYN-0577</x:v>
      </x:c>
      <x:c r="B2020" s="21" t="str">
        <x:v>Synthetic Supplier 0577 LLC</x:v>
      </x:c>
      <x:c r="C2020" s="38" t="str">
        <x:f>"900 000 000 000 577"</x:f>
        <x:v>900 000 000 000 577</x:v>
      </x:c>
      <x:c r="D2020" s="21" t="str">
        <x:v>SYN-0577-INV-03</x:v>
      </x:c>
      <x:c r="E2020" s="39" t="n">
        <x:v>46014</x:v>
      </x:c>
      <x:c r="F2020" s="42" t="n">
        <x:v>81517.51</x:v>
      </x:c>
      <x:c r="G2020" s="42" t="n">
        <x:v>4075.88</x:v>
      </x:c>
      <x:c r="H2020" s="42" t="n">
        <x:v>199262.67</x:v>
      </x:c>
      <x:c r="I2020" s="39" t="n">
        <x:v>46056</x:v>
      </x:c>
    </x:row>
    <x:row r="2021">
      <x:c r="A2021" s="21" t="str">
        <x:v>SYN-0578</x:v>
      </x:c>
      <x:c r="B2021" s="21" t="str">
        <x:v>Synthetic Supplier 0578 LLC</x:v>
      </x:c>
      <x:c r="C2021" s="38" t="str">
        <x:f>"900 000 000 000 578"</x:f>
        <x:v>900 000 000 000 578</x:v>
      </x:c>
      <x:c r="D2021" s="21" t="str">
        <x:v>SYN-0578-INV-01</x:v>
      </x:c>
      <x:c r="E2021" s="39" t="n">
        <x:v>45933</x:v>
      </x:c>
      <x:c r="F2021" s="42" t="n">
        <x:v>104792.08</x:v>
      </x:c>
      <x:c r="G2021" s="42" t="n">
        <x:v>5239.6</x:v>
      </x:c>
      <x:c r="H2021" s="42" t="n">
        <x:v>287125.01</x:v>
      </x:c>
      <x:c r="I2021" s="39" t="n">
        <x:v>45720</x:v>
      </x:c>
    </x:row>
    <x:row r="2022">
      <x:c r="A2022" s="21" t="str">
        <x:v>SYN-0578</x:v>
      </x:c>
      <x:c r="B2022" s="21" t="str">
        <x:v>Synthetic Supplier 0578 LLC</x:v>
      </x:c>
      <x:c r="C2022" s="38" t="str">
        <x:f>"900 000 000 000 578"</x:f>
        <x:v>900 000 000 000 578</x:v>
      </x:c>
      <x:c r="D2022" s="21" t="str">
        <x:v>SYN-0578-INV-02</x:v>
      </x:c>
      <x:c r="E2022" s="39" t="n">
        <x:v>45980</x:v>
      </x:c>
      <x:c r="F2022" s="42" t="n">
        <x:v>66769.71</x:v>
      </x:c>
      <x:c r="G2022" s="42" t="n">
        <x:v>3338.49</x:v>
      </x:c>
      <x:c r="H2022" s="42" t="n">
        <x:v>287125.01</x:v>
      </x:c>
      <x:c r="I2022" s="39" t="n">
        <x:v>45720</x:v>
      </x:c>
    </x:row>
    <x:row r="2023">
      <x:c r="A2023" s="21" t="str">
        <x:v>SYN-0578</x:v>
      </x:c>
      <x:c r="B2023" s="21" t="str">
        <x:v>Synthetic Supplier 0578 LLC</x:v>
      </x:c>
      <x:c r="C2023" s="38" t="str">
        <x:f>"900 000 000 000 578"</x:f>
        <x:v>900 000 000 000 578</x:v>
      </x:c>
      <x:c r="D2023" s="21" t="str">
        <x:v>SYN-0578-INV-03</x:v>
      </x:c>
      <x:c r="E2023" s="39" t="n">
        <x:v>46027</x:v>
      </x:c>
      <x:c r="F2023" s="42" t="n">
        <x:v>59009.06</x:v>
      </x:c>
      <x:c r="G2023" s="42" t="n">
        <x:v>2950.45</x:v>
      </x:c>
      <x:c r="H2023" s="42" t="n">
        <x:v>287125.01</x:v>
      </x:c>
      <x:c r="I2023" s="39" t="n">
        <x:v>45720</x:v>
      </x:c>
    </x:row>
    <x:row r="2024">
      <x:c r="A2024" s="21" t="str">
        <x:v>SYN-0578</x:v>
      </x:c>
      <x:c r="B2024" s="21" t="str">
        <x:v>Synthetic Supplier 0578 LLC</x:v>
      </x:c>
      <x:c r="C2024" s="38" t="str">
        <x:f>"900 000 000 000 578"</x:f>
        <x:v>900 000 000 000 578</x:v>
      </x:c>
      <x:c r="D2024" s="21" t="str">
        <x:v>SYN-0578-INV-04</x:v>
      </x:c>
      <x:c r="E2024" s="39" t="n">
        <x:v>46074</x:v>
      </x:c>
      <x:c r="F2024" s="42" t="n">
        <x:v>88456.94</x:v>
      </x:c>
      <x:c r="G2024" s="42" t="n">
        <x:v>4422.85</x:v>
      </x:c>
      <x:c r="H2024" s="42" t="n">
        <x:v>287125.01</x:v>
      </x:c>
      <x:c r="I2024" s="39" t="n">
        <x:v>45720</x:v>
      </x:c>
    </x:row>
    <x:row r="2025">
      <x:c r="A2025" s="21" t="str">
        <x:v>SYN-0579</x:v>
      </x:c>
      <x:c r="B2025" s="21" t="str">
        <x:v>Synthetic Supplier 0579 LLC</x:v>
      </x:c>
      <x:c r="C2025" s="38" t="str">
        <x:f>"900 000 000 000 579"</x:f>
        <x:v>900 000 000 000 579</x:v>
      </x:c>
      <x:c r="D2025" s="21" t="str">
        <x:v>SYN-0579-INV-01</x:v>
      </x:c>
      <x:c r="E2025" s="39" t="n">
        <x:v>45946</x:v>
      </x:c>
      <x:c r="F2025" s="42" t="n">
        <x:v>48386.26</x:v>
      </x:c>
      <x:c r="G2025" s="42" t="n">
        <x:v>2419.31</x:v>
      </x:c>
      <x:c r="H2025" s="42" t="n">
        <x:v>224799.74</x:v>
      </x:c>
      <x:c r="I2025" s="39" t="n">
        <x:v>46117</x:v>
      </x:c>
    </x:row>
    <x:row r="2026">
      <x:c r="A2026" s="21" t="str">
        <x:v>SYN-0579</x:v>
      </x:c>
      <x:c r="B2026" s="21" t="str">
        <x:v>Synthetic Supplier 0579 LLC</x:v>
      </x:c>
      <x:c r="C2026" s="38" t="str">
        <x:f>"900 000 000 000 579"</x:f>
        <x:v>900 000 000 000 579</x:v>
      </x:c>
      <x:c r="D2026" s="21" t="str">
        <x:v>SYN-0579-INV-02</x:v>
      </x:c>
      <x:c r="E2026" s="39" t="n">
        <x:v>45993</x:v>
      </x:c>
      <x:c r="F2026" s="42" t="n">
        <x:v>32949.89</x:v>
      </x:c>
      <x:c r="G2026" s="42" t="n">
        <x:v>1647.49</x:v>
      </x:c>
      <x:c r="H2026" s="42" t="n">
        <x:v>224799.74</x:v>
      </x:c>
      <x:c r="I2026" s="39" t="n">
        <x:v>46117</x:v>
      </x:c>
    </x:row>
    <x:row r="2027">
      <x:c r="A2027" s="21" t="str">
        <x:v>SYN-0579</x:v>
      </x:c>
      <x:c r="B2027" s="21" t="str">
        <x:v>Synthetic Supplier 0579 LLC</x:v>
      </x:c>
      <x:c r="C2027" s="38" t="str">
        <x:f>"900 000 000 000 579"</x:f>
        <x:v>900 000 000 000 579</x:v>
      </x:c>
      <x:c r="D2027" s="21" t="str">
        <x:v>SYN-0579-INV-03</x:v>
      </x:c>
      <x:c r="E2027" s="39" t="n">
        <x:v>46040</x:v>
      </x:c>
      <x:c r="F2027" s="42" t="n">
        <x:v>48145.39</x:v>
      </x:c>
      <x:c r="G2027" s="42" t="n">
        <x:v>2407.27</x:v>
      </x:c>
      <x:c r="H2027" s="42" t="n">
        <x:v>224799.74</x:v>
      </x:c>
      <x:c r="I2027" s="39" t="n">
        <x:v>46117</x:v>
      </x:c>
    </x:row>
    <x:row r="2028">
      <x:c r="A2028" s="21" t="str">
        <x:v>SYN-0579</x:v>
      </x:c>
      <x:c r="B2028" s="21" t="str">
        <x:v>Synthetic Supplier 0579 LLC</x:v>
      </x:c>
      <x:c r="C2028" s="38" t="str">
        <x:f>"900 000 000 000 579"</x:f>
        <x:v>900 000 000 000 579</x:v>
      </x:c>
      <x:c r="D2028" s="21" t="str">
        <x:v>SYN-0579-INV-04</x:v>
      </x:c>
      <x:c r="E2028" s="39" t="n">
        <x:v>46087</x:v>
      </x:c>
      <x:c r="F2028" s="42" t="n">
        <x:v>60150.1</x:v>
      </x:c>
      <x:c r="G2028" s="42" t="n">
        <x:v>3007.5</x:v>
      </x:c>
      <x:c r="H2028" s="42" t="n">
        <x:v>224799.74</x:v>
      </x:c>
      <x:c r="I2028" s="39" t="n">
        <x:v>46117</x:v>
      </x:c>
    </x:row>
    <x:row r="2029">
      <x:c r="A2029" s="21" t="str">
        <x:v>SYN-0579</x:v>
      </x:c>
      <x:c r="B2029" s="21" t="str">
        <x:v>Synthetic Supplier 0579 LLC</x:v>
      </x:c>
      <x:c r="C2029" s="38" t="str">
        <x:f>"900 000 000 000 579"</x:f>
        <x:v>900 000 000 000 579</x:v>
      </x:c>
      <x:c r="D2029" s="21" t="str">
        <x:v>SYN-0579-INV-05</x:v>
      </x:c>
      <x:c r="E2029" s="39" t="n">
        <x:v>46134</x:v>
      </x:c>
      <x:c r="F2029" s="42" t="n">
        <x:v>60145.87</x:v>
      </x:c>
      <x:c r="G2029" s="42" t="n">
        <x:v>3007.29</x:v>
      </x:c>
      <x:c r="H2029" s="42" t="n">
        <x:v>224799.74</x:v>
      </x:c>
      <x:c r="I2029" s="39" t="n">
        <x:v>46117</x:v>
      </x:c>
    </x:row>
    <x:row r="2030">
      <x:c r="A2030" s="21" t="str">
        <x:v>SYN-0580</x:v>
      </x:c>
      <x:c r="B2030" s="21" t="str">
        <x:v>Synthetic Supplier 0580 LLC</x:v>
      </x:c>
      <x:c r="C2030" s="38" t="str">
        <x:f>"900 000 000 000 580"</x:f>
        <x:v>900 000 000 000 580</x:v>
      </x:c>
      <x:c r="D2030" s="21" t="str">
        <x:v>SYN-0580-INV-01</x:v>
      </x:c>
      <x:c r="E2030" s="39" t="n">
        <x:v>45959</x:v>
      </x:c>
      <x:c r="F2030" s="42" t="n">
        <x:v>113816.06</x:v>
      </x:c>
      <x:c r="G2030" s="42" t="n">
        <x:v>5690.8</x:v>
      </x:c>
      <x:c r="H2030" s="42" t="n">
        <x:v>196383.49</x:v>
      </x:c>
      <x:c r="I2030" s="39"/>
    </x:row>
    <x:row r="2031">
      <x:c r="A2031" s="21" t="str">
        <x:v>SYN-0580</x:v>
      </x:c>
      <x:c r="B2031" s="21" t="str">
        <x:v>Synthetic Supplier 0580 LLC</x:v>
      </x:c>
      <x:c r="C2031" s="38" t="str">
        <x:f>"900 000 000 000 580"</x:f>
        <x:v>900 000 000 000 580</x:v>
      </x:c>
      <x:c r="D2031" s="21" t="str">
        <x:v>SYN-0580-INV-02</x:v>
      </x:c>
      <x:c r="E2031" s="39" t="n">
        <x:v>46006</x:v>
      </x:c>
      <x:c r="F2031" s="42" t="n">
        <x:v>104387.82</x:v>
      </x:c>
      <x:c r="G2031" s="42" t="n">
        <x:v>5219.39</x:v>
      </x:c>
      <x:c r="H2031" s="42" t="n">
        <x:v>196383.49</x:v>
      </x:c>
      <x:c r="I2031" s="39"/>
    </x:row>
    <x:row r="2032">
      <x:c r="A2032" s="21" t="str">
        <x:v>SYN-0581</x:v>
      </x:c>
      <x:c r="B2032" s="21" t="str">
        <x:v>Synthetic Supplier 0581 LLC</x:v>
      </x:c>
      <x:c r="C2032" s="38" t="str">
        <x:f>"900 000 000 000 581"</x:f>
        <x:v>900 000 000 000 581</x:v>
      </x:c>
      <x:c r="D2032" s="21" t="str">
        <x:v>SYN-0581-INV-01</x:v>
      </x:c>
      <x:c r="E2032" s="39" t="n">
        <x:v>45972</x:v>
      </x:c>
      <x:c r="F2032" s="42" t="n">
        <x:v>64564.98</x:v>
      </x:c>
      <x:c r="G2032" s="42" t="n">
        <x:v>3228.25</x:v>
      </x:c>
      <x:c r="H2032" s="42" t="n">
        <x:v>165582.65</x:v>
      </x:c>
      <x:c r="I2032" s="39" t="n">
        <x:v>46180</x:v>
      </x:c>
    </x:row>
    <x:row r="2033">
      <x:c r="A2033" s="21" t="str">
        <x:v>SYN-0581</x:v>
      </x:c>
      <x:c r="B2033" s="21" t="str">
        <x:v>Synthetic Supplier 0581 LLC</x:v>
      </x:c>
      <x:c r="C2033" s="38" t="str">
        <x:f>"900 000 000 000 581"</x:f>
        <x:v>900 000 000 000 581</x:v>
      </x:c>
      <x:c r="D2033" s="21" t="str">
        <x:v>SYN-0581-INV-02</x:v>
      </x:c>
      <x:c r="E2033" s="39" t="n">
        <x:v>46019</x:v>
      </x:c>
      <x:c r="F2033" s="42" t="n">
        <x:v>50528.49</x:v>
      </x:c>
      <x:c r="G2033" s="42" t="n">
        <x:v>2526.42</x:v>
      </x:c>
      <x:c r="H2033" s="42" t="n">
        <x:v>165582.65</x:v>
      </x:c>
      <x:c r="I2033" s="39" t="n">
        <x:v>46180</x:v>
      </x:c>
    </x:row>
    <x:row r="2034">
      <x:c r="A2034" s="21" t="str">
        <x:v>SYN-0581</x:v>
      </x:c>
      <x:c r="B2034" s="21" t="str">
        <x:v>Synthetic Supplier 0581 LLC</x:v>
      </x:c>
      <x:c r="C2034" s="38" t="str">
        <x:f>"900 000 000 000 581"</x:f>
        <x:v>900 000 000 000 581</x:v>
      </x:c>
      <x:c r="D2034" s="21" t="str">
        <x:v>SYN-0581-INV-03</x:v>
      </x:c>
      <x:c r="E2034" s="39" t="n">
        <x:v>46066</x:v>
      </x:c>
      <x:c r="F2034" s="42" t="n">
        <x:v>28891.45</x:v>
      </x:c>
      <x:c r="G2034" s="42" t="n">
        <x:v>1444.57</x:v>
      </x:c>
      <x:c r="H2034" s="42" t="n">
        <x:v>165582.65</x:v>
      </x:c>
      <x:c r="I2034" s="39" t="n">
        <x:v>46180</x:v>
      </x:c>
    </x:row>
    <x:row r="2035">
      <x:c r="A2035" s="21" t="str">
        <x:v>SYN-0582</x:v>
      </x:c>
      <x:c r="B2035" s="21" t="str">
        <x:v>Synthetic Supplier 0582 LLC</x:v>
      </x:c>
      <x:c r="C2035" s="38" t="str">
        <x:f>"900 000 000 000 582"</x:f>
        <x:v>900 000 000 000 582</x:v>
      </x:c>
      <x:c r="D2035" s="21" t="str">
        <x:v>SYN-0582-INV-01</x:v>
      </x:c>
      <x:c r="E2035" s="39" t="n">
        <x:v>45985</x:v>
      </x:c>
      <x:c r="F2035" s="42" t="n">
        <x:v>41433.54</x:v>
      </x:c>
      <x:c r="G2035" s="42" t="n">
        <x:v>2071.68</x:v>
      </x:c>
      <x:c r="H2035" s="42" t="n">
        <x:v>143529.02</x:v>
      </x:c>
      <x:c r="I2035" s="39" t="n">
        <x:v>45846</x:v>
      </x:c>
    </x:row>
    <x:row r="2036">
      <x:c r="A2036" s="21" t="str">
        <x:v>SYN-0582</x:v>
      </x:c>
      <x:c r="B2036" s="21" t="str">
        <x:v>Synthetic Supplier 0582 LLC</x:v>
      </x:c>
      <x:c r="C2036" s="38" t="str">
        <x:f>"900 000 000 000 582"</x:f>
        <x:v>900 000 000 000 582</x:v>
      </x:c>
      <x:c r="D2036" s="21" t="str">
        <x:v>SYN-0582-INV-02</x:v>
      </x:c>
      <x:c r="E2036" s="39" t="n">
        <x:v>46032</x:v>
      </x:c>
      <x:c r="F2036" s="42" t="n">
        <x:v>47402.4</x:v>
      </x:c>
      <x:c r="G2036" s="42" t="n">
        <x:v>2370.12</x:v>
      </x:c>
      <x:c r="H2036" s="42" t="n">
        <x:v>143529.02</x:v>
      </x:c>
      <x:c r="I2036" s="39" t="n">
        <x:v>45846</x:v>
      </x:c>
    </x:row>
    <x:row r="2037">
      <x:c r="A2037" s="21" t="str">
        <x:v>SYN-0582</x:v>
      </x:c>
      <x:c r="B2037" s="21" t="str">
        <x:v>Synthetic Supplier 0582 LLC</x:v>
      </x:c>
      <x:c r="C2037" s="38" t="str">
        <x:f>"900 000 000 000 582"</x:f>
        <x:v>900 000 000 000 582</x:v>
      </x:c>
      <x:c r="D2037" s="21" t="str">
        <x:v>SYN-0582-INV-03</x:v>
      </x:c>
      <x:c r="E2037" s="39" t="n">
        <x:v>46079</x:v>
      </x:c>
      <x:c r="F2037" s="42" t="n">
        <x:v>30958.91</x:v>
      </x:c>
      <x:c r="G2037" s="42" t="n">
        <x:v>1547.95</x:v>
      </x:c>
      <x:c r="H2037" s="42" t="n">
        <x:v>143529.02</x:v>
      </x:c>
      <x:c r="I2037" s="39" t="n">
        <x:v>45846</x:v>
      </x:c>
    </x:row>
    <x:row r="2038">
      <x:c r="A2038" s="21" t="str">
        <x:v>SYN-0582</x:v>
      </x:c>
      <x:c r="B2038" s="21" t="str">
        <x:v>Synthetic Supplier 0582 LLC</x:v>
      </x:c>
      <x:c r="C2038" s="38" t="str">
        <x:f>"900 000 000 000 582"</x:f>
        <x:v>900 000 000 000 582</x:v>
      </x:c>
      <x:c r="D2038" s="21" t="str">
        <x:v>SYN-0582-INV-04</x:v>
      </x:c>
      <x:c r="E2038" s="39" t="n">
        <x:v>46126</x:v>
      </x:c>
      <x:c r="F2038" s="42" t="n">
        <x:v>39681.83</x:v>
      </x:c>
      <x:c r="G2038" s="42" t="n">
        <x:v>1984.09</x:v>
      </x:c>
      <x:c r="H2038" s="42" t="n">
        <x:v>143529.02</x:v>
      </x:c>
      <x:c r="I2038" s="39" t="n">
        <x:v>45846</x:v>
      </x:c>
    </x:row>
    <x:row r="2039">
      <x:c r="A2039" s="21" t="str">
        <x:v>SYN-0583</x:v>
      </x:c>
      <x:c r="B2039" s="21" t="str">
        <x:v>Synthetic Supplier 0583 LLC</x:v>
      </x:c>
      <x:c r="C2039" s="38" t="str">
        <x:f>"900 000 000 000 583"</x:f>
        <x:v>900 000 000 000 583</x:v>
      </x:c>
      <x:c r="D2039" s="21" t="str">
        <x:v>SYN-0583-INV-01</x:v>
      </x:c>
      <x:c r="E2039" s="39" t="n">
        <x:v>45998</x:v>
      </x:c>
      <x:c r="F2039" s="42" t="n">
        <x:v>30054</x:v>
      </x:c>
      <x:c r="G2039" s="42" t="n">
        <x:v>1502.7</x:v>
      </x:c>
      <x:c r="H2039" s="42" t="n">
        <x:v>181644.49</x:v>
      </x:c>
      <x:c r="I2039" s="39" t="n">
        <x:v>46243</x:v>
      </x:c>
    </x:row>
    <x:row r="2040">
      <x:c r="A2040" s="21" t="str">
        <x:v>SYN-0583</x:v>
      </x:c>
      <x:c r="B2040" s="21" t="str">
        <x:v>Synthetic Supplier 0583 LLC</x:v>
      </x:c>
      <x:c r="C2040" s="38" t="str">
        <x:f>"900 000 000 000 583"</x:f>
        <x:v>900 000 000 000 583</x:v>
      </x:c>
      <x:c r="D2040" s="21" t="str">
        <x:v>SYN-0583-INV-02</x:v>
      </x:c>
      <x:c r="E2040" s="39" t="n">
        <x:v>46045</x:v>
      </x:c>
      <x:c r="F2040" s="42" t="n">
        <x:v>46827.87</x:v>
      </x:c>
      <x:c r="G2040" s="42" t="n">
        <x:v>2341.39</x:v>
      </x:c>
      <x:c r="H2040" s="42" t="n">
        <x:v>181644.49</x:v>
      </x:c>
      <x:c r="I2040" s="39" t="n">
        <x:v>46243</x:v>
      </x:c>
    </x:row>
    <x:row r="2041">
      <x:c r="A2041" s="21" t="str">
        <x:v>SYN-0583</x:v>
      </x:c>
      <x:c r="B2041" s="21" t="str">
        <x:v>Synthetic Supplier 0583 LLC</x:v>
      </x:c>
      <x:c r="C2041" s="38" t="str">
        <x:f>"900 000 000 000 583"</x:f>
        <x:v>900 000 000 000 583</x:v>
      </x:c>
      <x:c r="D2041" s="21" t="str">
        <x:v>SYN-0583-INV-03</x:v>
      </x:c>
      <x:c r="E2041" s="39" t="n">
        <x:v>46092</x:v>
      </x:c>
      <x:c r="F2041" s="42" t="n">
        <x:v>48388.9</x:v>
      </x:c>
      <x:c r="G2041" s="42" t="n">
        <x:v>2419.44</x:v>
      </x:c>
      <x:c r="H2041" s="42" t="n">
        <x:v>181644.49</x:v>
      </x:c>
      <x:c r="I2041" s="39" t="n">
        <x:v>46243</x:v>
      </x:c>
    </x:row>
    <x:row r="2042">
      <x:c r="A2042" s="21" t="str">
        <x:v>SYN-0583</x:v>
      </x:c>
      <x:c r="B2042" s="21" t="str">
        <x:v>Synthetic Supplier 0583 LLC</x:v>
      </x:c>
      <x:c r="C2042" s="38" t="str">
        <x:f>"900 000 000 000 583"</x:f>
        <x:v>900 000 000 000 583</x:v>
      </x:c>
      <x:c r="D2042" s="21" t="str">
        <x:v>SYN-0583-INV-04</x:v>
      </x:c>
      <x:c r="E2042" s="39" t="n">
        <x:v>46139</x:v>
      </x:c>
      <x:c r="F2042" s="42" t="n">
        <x:v>41860.6</x:v>
      </x:c>
      <x:c r="G2042" s="42" t="n">
        <x:v>2093.03</x:v>
      </x:c>
      <x:c r="H2042" s="42" t="n">
        <x:v>181644.49</x:v>
      </x:c>
      <x:c r="I2042" s="39" t="n">
        <x:v>46243</x:v>
      </x:c>
    </x:row>
    <x:row r="2043">
      <x:c r="A2043" s="21" t="str">
        <x:v>SYN-0583</x:v>
      </x:c>
      <x:c r="B2043" s="21" t="str">
        <x:v>Synthetic Supplier 0583 LLC</x:v>
      </x:c>
      <x:c r="C2043" s="38" t="str">
        <x:f>"900 000 000 000 583"</x:f>
        <x:v>900 000 000 000 583</x:v>
      </x:c>
      <x:c r="D2043" s="21" t="str">
        <x:v>SYN-0583-INV-05</x:v>
      </x:c>
      <x:c r="E2043" s="39" t="n">
        <x:v>46186</x:v>
      </x:c>
      <x:c r="F2043" s="42" t="n">
        <x:v>34695.84</x:v>
      </x:c>
      <x:c r="G2043" s="42" t="n">
        <x:v>1734.79</x:v>
      </x:c>
      <x:c r="H2043" s="42" t="n">
        <x:v>181644.49</x:v>
      </x:c>
      <x:c r="I2043" s="39" t="n">
        <x:v>46243</x:v>
      </x:c>
    </x:row>
    <x:row r="2044">
      <x:c r="A2044" s="21" t="str">
        <x:v>SYN-0584</x:v>
      </x:c>
      <x:c r="B2044" s="21" t="str">
        <x:v>Synthetic Supplier 0584 LLC</x:v>
      </x:c>
      <x:c r="C2044" s="38" t="str">
        <x:f>"900 000 000 000 584"</x:f>
        <x:v>900 000 000 000 584</x:v>
      </x:c>
      <x:c r="D2044" s="21" t="str">
        <x:v>SYN-0584-INV-01</x:v>
      </x:c>
      <x:c r="E2044" s="39" t="n">
        <x:v>46011</x:v>
      </x:c>
      <x:c r="F2044" s="42" t="n">
        <x:v>101298.19</x:v>
      </x:c>
      <x:c r="G2044" s="42" t="n">
        <x:v>5064.91</x:v>
      </x:c>
      <x:c r="H2044" s="42" t="n">
        <x:v>145935.72</x:v>
      </x:c>
      <x:c r="I2044" s="39" t="n">
        <x:v>45910</x:v>
      </x:c>
    </x:row>
    <x:row r="2045">
      <x:c r="A2045" s="21" t="str">
        <x:v>SYN-0584</x:v>
      </x:c>
      <x:c r="B2045" s="21" t="str">
        <x:v>Synthetic Supplier 0584 LLC</x:v>
      </x:c>
      <x:c r="C2045" s="38" t="str">
        <x:f>"900 000 000 000 584"</x:f>
        <x:v>900 000 000 000 584</x:v>
      </x:c>
      <x:c r="D2045" s="21" t="str">
        <x:v>SYN-0584-INV-02</x:v>
      </x:c>
      <x:c r="E2045" s="39" t="n">
        <x:v>46058</x:v>
      </x:c>
      <x:c r="F2045" s="42" t="n">
        <x:v>60852.61</x:v>
      </x:c>
      <x:c r="G2045" s="42" t="n">
        <x:v>3042.63</x:v>
      </x:c>
      <x:c r="H2045" s="42" t="n">
        <x:v>145935.72</x:v>
      </x:c>
      <x:c r="I2045" s="39" t="n">
        <x:v>45910</x:v>
      </x:c>
    </x:row>
    <x:row r="2046">
      <x:c r="A2046" s="21" t="str">
        <x:v>SYN-0585</x:v>
      </x:c>
      <x:c r="B2046" s="21" t="str">
        <x:v>Synthetic Supplier 0585 LLC</x:v>
      </x:c>
      <x:c r="C2046" s="38" t="str">
        <x:f>"900 000 000 000 585"</x:f>
        <x:v>900 000 000 000 585</x:v>
      </x:c>
      <x:c r="D2046" s="21" t="str">
        <x:v>SYN-0585-INV-01</x:v>
      </x:c>
      <x:c r="E2046" s="39" t="n">
        <x:v>46024</x:v>
      </x:c>
      <x:c r="F2046" s="42" t="n">
        <x:v>104917.8</x:v>
      </x:c>
      <x:c r="G2046" s="42" t="n">
        <x:v>5245.89</x:v>
      </x:c>
      <x:c r="H2046" s="42" t="n">
        <x:v>227922.47</x:v>
      </x:c>
      <x:c r="I2046" s="39"/>
    </x:row>
    <x:row r="2047">
      <x:c r="A2047" s="21" t="str">
        <x:v>SYN-0585</x:v>
      </x:c>
      <x:c r="B2047" s="21" t="str">
        <x:v>Synthetic Supplier 0585 LLC</x:v>
      </x:c>
      <x:c r="C2047" s="38" t="str">
        <x:f>"900 000 000 000 585"</x:f>
        <x:v>900 000 000 000 585</x:v>
      </x:c>
      <x:c r="D2047" s="21" t="str">
        <x:v>SYN-0585-INV-02</x:v>
      </x:c>
      <x:c r="E2047" s="39" t="n">
        <x:v>46071</x:v>
      </x:c>
      <x:c r="F2047" s="42" t="n">
        <x:v>74475.44</x:v>
      </x:c>
      <x:c r="G2047" s="42" t="n">
        <x:v>3723.77</x:v>
      </x:c>
      <x:c r="H2047" s="42" t="n">
        <x:v>227922.47</x:v>
      </x:c>
      <x:c r="I2047" s="39"/>
    </x:row>
    <x:row r="2048">
      <x:c r="A2048" s="21" t="str">
        <x:v>SYN-0585</x:v>
      </x:c>
      <x:c r="B2048" s="21" t="str">
        <x:v>Synthetic Supplier 0585 LLC</x:v>
      </x:c>
      <x:c r="C2048" s="38" t="str">
        <x:f>"900 000 000 000 585"</x:f>
        <x:v>900 000 000 000 585</x:v>
      </x:c>
      <x:c r="D2048" s="21" t="str">
        <x:v>SYN-0585-INV-03</x:v>
      </x:c>
      <x:c r="E2048" s="39" t="n">
        <x:v>46118</x:v>
      </x:c>
      <x:c r="F2048" s="42" t="n">
        <x:v>73853.94</x:v>
      </x:c>
      <x:c r="G2048" s="42" t="n">
        <x:v>3692.7</x:v>
      </x:c>
      <x:c r="H2048" s="42" t="n">
        <x:v>227922.47</x:v>
      </x:c>
      <x:c r="I2048" s="39"/>
    </x:row>
    <x:row r="2049">
      <x:c r="A2049" s="21" t="str">
        <x:v>SYN-0586</x:v>
      </x:c>
      <x:c r="B2049" s="21" t="str">
        <x:v>Synthetic Supplier 0586 LLC</x:v>
      </x:c>
      <x:c r="C2049" s="38" t="str">
        <x:f>"900 000 000 000 586"</x:f>
        <x:v>900 000 000 000 586</x:v>
      </x:c>
      <x:c r="D2049" s="21" t="str">
        <x:v>SYN-0586-INV-01</x:v>
      </x:c>
      <x:c r="E2049" s="39" t="n">
        <x:v>46037</x:v>
      </x:c>
      <x:c r="F2049" s="42" t="n">
        <x:v>21839.75</x:v>
      </x:c>
      <x:c r="G2049" s="42" t="n">
        <x:v>1091.99</x:v>
      </x:c>
      <x:c r="H2049" s="42" t="n">
        <x:v>102861.12</x:v>
      </x:c>
      <x:c r="I2049" s="39" t="n">
        <x:v>45700</x:v>
      </x:c>
    </x:row>
    <x:row r="2050">
      <x:c r="A2050" s="21" t="str">
        <x:v>SYN-0586</x:v>
      </x:c>
      <x:c r="B2050" s="21" t="str">
        <x:v>Synthetic Supplier 0586 LLC</x:v>
      </x:c>
      <x:c r="C2050" s="38" t="str">
        <x:f>"900 000 000 000 586"</x:f>
        <x:v>900 000 000 000 586</x:v>
      </x:c>
      <x:c r="D2050" s="21" t="str">
        <x:v>SYN-0586-INV-02</x:v>
      </x:c>
      <x:c r="E2050" s="39" t="n">
        <x:v>46084</x:v>
      </x:c>
      <x:c r="F2050" s="42" t="n">
        <x:v>33710.06</x:v>
      </x:c>
      <x:c r="G2050" s="42" t="n">
        <x:v>1685.5</x:v>
      </x:c>
      <x:c r="H2050" s="42" t="n">
        <x:v>102861.12</x:v>
      </x:c>
      <x:c r="I2050" s="39" t="n">
        <x:v>45700</x:v>
      </x:c>
    </x:row>
    <x:row r="2051">
      <x:c r="A2051" s="21" t="str">
        <x:v>SYN-0586</x:v>
      </x:c>
      <x:c r="B2051" s="21" t="str">
        <x:v>Synthetic Supplier 0586 LLC</x:v>
      </x:c>
      <x:c r="C2051" s="38" t="str">
        <x:f>"900 000 000 000 586"</x:f>
        <x:v>900 000 000 000 586</x:v>
      </x:c>
      <x:c r="D2051" s="21" t="str">
        <x:v>SYN-0586-INV-03</x:v>
      </x:c>
      <x:c r="E2051" s="39" t="n">
        <x:v>46131</x:v>
      </x:c>
      <x:c r="F2051" s="42" t="n">
        <x:v>35032.63</x:v>
      </x:c>
      <x:c r="G2051" s="42" t="n">
        <x:v>1751.63</x:v>
      </x:c>
      <x:c r="H2051" s="42" t="n">
        <x:v>102861.12</x:v>
      </x:c>
      <x:c r="I2051" s="39" t="n">
        <x:v>45700</x:v>
      </x:c>
    </x:row>
    <x:row r="2052">
      <x:c r="A2052" s="21" t="str">
        <x:v>SYN-0586</x:v>
      </x:c>
      <x:c r="B2052" s="21" t="str">
        <x:v>Synthetic Supplier 0586 LLC</x:v>
      </x:c>
      <x:c r="C2052" s="38" t="str">
        <x:f>"900 000 000 000 586"</x:f>
        <x:v>900 000 000 000 586</x:v>
      </x:c>
      <x:c r="D2052" s="21" t="str">
        <x:v>SYN-0586-INV-04</x:v>
      </x:c>
      <x:c r="E2052" s="39" t="n">
        <x:v>46178</x:v>
      </x:c>
      <x:c r="F2052" s="42" t="n">
        <x:v>23707.69</x:v>
      </x:c>
      <x:c r="G2052" s="42" t="n">
        <x:v>1185.38</x:v>
      </x:c>
      <x:c r="H2052" s="42" t="n">
        <x:v>102861.12</x:v>
      </x:c>
      <x:c r="I2052" s="39" t="n">
        <x:v>45700</x:v>
      </x:c>
    </x:row>
    <x:row r="2053">
      <x:c r="A2053" s="21" t="str">
        <x:v>SYN-0587</x:v>
      </x:c>
      <x:c r="B2053" s="21" t="str">
        <x:v>Synthetic Supplier 0587 LLC</x:v>
      </x:c>
      <x:c r="C2053" s="38" t="str">
        <x:f>"900 000 000 000 587"</x:f>
        <x:v>900 000 000 000 587</x:v>
      </x:c>
      <x:c r="D2053" s="21" t="str">
        <x:v>SYN-0587-INV-01</x:v>
      </x:c>
      <x:c r="E2053" s="39" t="n">
        <x:v>46050</x:v>
      </x:c>
      <x:c r="F2053" s="42" t="n">
        <x:v>52762.73</x:v>
      </x:c>
      <x:c r="G2053" s="42" t="n">
        <x:v>2638.14</x:v>
      </x:c>
      <x:c r="H2053" s="42" t="n">
        <x:v>172348.35</x:v>
      </x:c>
      <x:c r="I2053" s="39" t="n">
        <x:v>46094</x:v>
      </x:c>
    </x:row>
    <x:row r="2054">
      <x:c r="A2054" s="21" t="str">
        <x:v>SYN-0587</x:v>
      </x:c>
      <x:c r="B2054" s="21" t="str">
        <x:v>Synthetic Supplier 0587 LLC</x:v>
      </x:c>
      <x:c r="C2054" s="38" t="str">
        <x:f>"900 000 000 000 587"</x:f>
        <x:v>900 000 000 000 587</x:v>
      </x:c>
      <x:c r="D2054" s="21" t="str">
        <x:v>SYN-0587-INV-02</x:v>
      </x:c>
      <x:c r="E2054" s="39" t="n">
        <x:v>46097</x:v>
      </x:c>
      <x:c r="F2054" s="42" t="n">
        <x:v>52700.14</x:v>
      </x:c>
      <x:c r="G2054" s="42" t="n">
        <x:v>2635.01</x:v>
      </x:c>
      <x:c r="H2054" s="42" t="n">
        <x:v>172348.35</x:v>
      </x:c>
      <x:c r="I2054" s="39" t="n">
        <x:v>46094</x:v>
      </x:c>
    </x:row>
    <x:row r="2055">
      <x:c r="A2055" s="21" t="str">
        <x:v>SYN-0587</x:v>
      </x:c>
      <x:c r="B2055" s="21" t="str">
        <x:v>Synthetic Supplier 0587 LLC</x:v>
      </x:c>
      <x:c r="C2055" s="38" t="str">
        <x:f>"900 000 000 000 587"</x:f>
        <x:v>900 000 000 000 587</x:v>
      </x:c>
      <x:c r="D2055" s="21" t="str">
        <x:v>SYN-0587-INV-03</x:v>
      </x:c>
      <x:c r="E2055" s="39" t="n">
        <x:v>46144</x:v>
      </x:c>
      <x:c r="F2055" s="42" t="n">
        <x:v>31542.66</x:v>
      </x:c>
      <x:c r="G2055" s="42" t="n">
        <x:v>1577.13</x:v>
      </x:c>
      <x:c r="H2055" s="42" t="n">
        <x:v>172348.35</x:v>
      </x:c>
      <x:c r="I2055" s="39" t="n">
        <x:v>46094</x:v>
      </x:c>
    </x:row>
    <x:row r="2056">
      <x:c r="A2056" s="21" t="str">
        <x:v>SYN-0587</x:v>
      </x:c>
      <x:c r="B2056" s="21" t="str">
        <x:v>Synthetic Supplier 0587 LLC</x:v>
      </x:c>
      <x:c r="C2056" s="38" t="str">
        <x:f>"900 000 000 000 587"</x:f>
        <x:v>900 000 000 000 587</x:v>
      </x:c>
      <x:c r="D2056" s="21" t="str">
        <x:v>SYN-0587-INV-04</x:v>
      </x:c>
      <x:c r="E2056" s="39" t="n">
        <x:v>46191</x:v>
      </x:c>
      <x:c r="F2056" s="42" t="n">
        <x:v>27315.91</x:v>
      </x:c>
      <x:c r="G2056" s="42" t="n">
        <x:v>1365.8</x:v>
      </x:c>
      <x:c r="H2056" s="42" t="n">
        <x:v>172348.35</x:v>
      </x:c>
      <x:c r="I2056" s="39" t="n">
        <x:v>46094</x:v>
      </x:c>
    </x:row>
    <x:row r="2057">
      <x:c r="A2057" s="21" t="str">
        <x:v>SYN-0587</x:v>
      </x:c>
      <x:c r="B2057" s="21" t="str">
        <x:v>Synthetic Supplier 0587 LLC</x:v>
      </x:c>
      <x:c r="C2057" s="38" t="str">
        <x:f>"900 000 000 000 587"</x:f>
        <x:v>900 000 000 000 587</x:v>
      </x:c>
      <x:c r="D2057" s="21" t="str">
        <x:v>SYN-0587-INV-05</x:v>
      </x:c>
      <x:c r="E2057" s="39" t="n">
        <x:v>46238</x:v>
      </x:c>
      <x:c r="F2057" s="42" t="n">
        <x:v>27176.72</x:v>
      </x:c>
      <x:c r="G2057" s="42" t="n">
        <x:v>1358.84</x:v>
      </x:c>
      <x:c r="H2057" s="42" t="n">
        <x:v>172348.35</x:v>
      </x:c>
      <x:c r="I2057" s="39" t="n">
        <x:v>46094</x:v>
      </x:c>
    </x:row>
    <x:row r="2058">
      <x:c r="A2058" s="21" t="str">
        <x:v>SYN-0588</x:v>
      </x:c>
      <x:c r="B2058" s="21" t="str">
        <x:v>Synthetic Supplier 0588 LLC</x:v>
      </x:c>
      <x:c r="C2058" s="38" t="str">
        <x:f>"900 000 000 000 588"</x:f>
        <x:v>900 000 000 000 588</x:v>
      </x:c>
      <x:c r="D2058" s="21" t="str">
        <x:v>SYN-0588-INV-01</x:v>
      </x:c>
      <x:c r="E2058" s="39" t="n">
        <x:v>46063</x:v>
      </x:c>
      <x:c r="F2058" s="42" t="n">
        <x:v>78181.89</x:v>
      </x:c>
      <x:c r="G2058" s="42" t="n">
        <x:v>3909.09</x:v>
      </x:c>
      <x:c r="H2058" s="42" t="n">
        <x:v>198886.13</x:v>
      </x:c>
      <x:c r="I2058" s="39" t="n">
        <x:v>45761</x:v>
      </x:c>
    </x:row>
    <x:row r="2059">
      <x:c r="A2059" s="21" t="str">
        <x:v>SYN-0588</x:v>
      </x:c>
      <x:c r="B2059" s="21" t="str">
        <x:v>Synthetic Supplier 0588 LLC</x:v>
      </x:c>
      <x:c r="C2059" s="38" t="str">
        <x:f>"900 000 000 000 588"</x:f>
        <x:v>900 000 000 000 588</x:v>
      </x:c>
      <x:c r="D2059" s="21" t="str">
        <x:v>SYN-0588-INV-02</x:v>
      </x:c>
      <x:c r="E2059" s="39" t="n">
        <x:v>46110</x:v>
      </x:c>
      <x:c r="F2059" s="42" t="n">
        <x:v>94762.56</x:v>
      </x:c>
      <x:c r="G2059" s="42" t="n">
        <x:v>4738.13</x:v>
      </x:c>
      <x:c r="H2059" s="42" t="n">
        <x:v>198886.13</x:v>
      </x:c>
      <x:c r="I2059" s="39" t="n">
        <x:v>45761</x:v>
      </x:c>
    </x:row>
    <x:row r="2060">
      <x:c r="A2060" s="21" t="str">
        <x:v>SYN-0589</x:v>
      </x:c>
      <x:c r="B2060" s="21" t="str">
        <x:v>Synthetic Supplier 0589 LLC</x:v>
      </x:c>
      <x:c r="C2060" s="38" t="str">
        <x:f>"900 000 000 000 589"</x:f>
        <x:v>900 000 000 000 589</x:v>
      </x:c>
      <x:c r="D2060" s="21" t="str">
        <x:v>SYN-0589-INV-01</x:v>
      </x:c>
      <x:c r="E2060" s="39" t="n">
        <x:v>46076</x:v>
      </x:c>
      <x:c r="F2060" s="42" t="n">
        <x:v>121853.71</x:v>
      </x:c>
      <x:c r="G2060" s="42" t="n">
        <x:v>6092.69</x:v>
      </x:c>
      <x:c r="H2060" s="42" t="n">
        <x:v>272096.7</x:v>
      </x:c>
      <x:c r="I2060" s="39" t="n">
        <x:v>46157</x:v>
      </x:c>
    </x:row>
    <x:row r="2061">
      <x:c r="A2061" s="21" t="str">
        <x:v>SYN-0589</x:v>
      </x:c>
      <x:c r="B2061" s="21" t="str">
        <x:v>Synthetic Supplier 0589 LLC</x:v>
      </x:c>
      <x:c r="C2061" s="38" t="str">
        <x:f>"900 000 000 000 589"</x:f>
        <x:v>900 000 000 000 589</x:v>
      </x:c>
      <x:c r="D2061" s="21" t="str">
        <x:v>SYN-0589-INV-02</x:v>
      </x:c>
      <x:c r="E2061" s="39" t="n">
        <x:v>46123</x:v>
      </x:c>
      <x:c r="F2061" s="42" t="n">
        <x:v>92385.4</x:v>
      </x:c>
      <x:c r="G2061" s="42" t="n">
        <x:v>4619.27</x:v>
      </x:c>
      <x:c r="H2061" s="42" t="n">
        <x:v>272096.7</x:v>
      </x:c>
      <x:c r="I2061" s="39" t="n">
        <x:v>46157</x:v>
      </x:c>
    </x:row>
    <x:row r="2062">
      <x:c r="A2062" s="21" t="str">
        <x:v>SYN-0589</x:v>
      </x:c>
      <x:c r="B2062" s="21" t="str">
        <x:v>Synthetic Supplier 0589 LLC</x:v>
      </x:c>
      <x:c r="C2062" s="38" t="str">
        <x:f>"900 000 000 000 589"</x:f>
        <x:v>900 000 000 000 589</x:v>
      </x:c>
      <x:c r="D2062" s="21" t="str">
        <x:v>SYN-0589-INV-03</x:v>
      </x:c>
      <x:c r="E2062" s="39" t="n">
        <x:v>46170</x:v>
      </x:c>
      <x:c r="F2062" s="42" t="n">
        <x:v>88090.56</x:v>
      </x:c>
      <x:c r="G2062" s="42" t="n">
        <x:v>4404.53</x:v>
      </x:c>
      <x:c r="H2062" s="42" t="n">
        <x:v>272096.7</x:v>
      </x:c>
      <x:c r="I2062" s="39" t="n">
        <x:v>46157</x:v>
      </x:c>
    </x:row>
    <x:row r="2063">
      <x:c r="A2063" s="21" t="str">
        <x:v>SYN-0590</x:v>
      </x:c>
      <x:c r="B2063" s="21" t="str">
        <x:v>Synthetic Supplier 0590 LLC</x:v>
      </x:c>
      <x:c r="C2063" s="38" t="str">
        <x:f>"900 000 000 000 590"</x:f>
        <x:v>900 000 000 000 590</x:v>
      </x:c>
      <x:c r="D2063" s="21" t="str">
        <x:v>SYN-0590-INV-01</x:v>
      </x:c>
      <x:c r="E2063" s="39" t="n">
        <x:v>46089</x:v>
      </x:c>
      <x:c r="F2063" s="42" t="n">
        <x:v>111941.44</x:v>
      </x:c>
      <x:c r="G2063" s="42" t="n">
        <x:v>5597.07</x:v>
      </x:c>
      <x:c r="H2063" s="42" t="n">
        <x:v>308431.81</x:v>
      </x:c>
      <x:c r="I2063" s="39"/>
    </x:row>
    <x:row r="2064">
      <x:c r="A2064" s="21" t="str">
        <x:v>SYN-0590</x:v>
      </x:c>
      <x:c r="B2064" s="21" t="str">
        <x:v>Synthetic Supplier 0590 LLC</x:v>
      </x:c>
      <x:c r="C2064" s="38" t="str">
        <x:f>"900 000 000 000 590"</x:f>
        <x:v>900 000 000 000 590</x:v>
      </x:c>
      <x:c r="D2064" s="21" t="str">
        <x:v>SYN-0590-INV-02</x:v>
      </x:c>
      <x:c r="E2064" s="39" t="n">
        <x:v>46136</x:v>
      </x:c>
      <x:c r="F2064" s="42" t="n">
        <x:v>50968.14</x:v>
      </x:c>
      <x:c r="G2064" s="42" t="n">
        <x:v>2548.41</x:v>
      </x:c>
      <x:c r="H2064" s="42" t="n">
        <x:v>308431.81</x:v>
      </x:c>
      <x:c r="I2064" s="39"/>
    </x:row>
    <x:row r="2065">
      <x:c r="A2065" s="21" t="str">
        <x:v>SYN-0590</x:v>
      </x:c>
      <x:c r="B2065" s="21" t="str">
        <x:v>Synthetic Supplier 0590 LLC</x:v>
      </x:c>
      <x:c r="C2065" s="38" t="str">
        <x:f>"900 000 000 000 590"</x:f>
        <x:v>900 000 000 000 590</x:v>
      </x:c>
      <x:c r="D2065" s="21" t="str">
        <x:v>SYN-0590-INV-03</x:v>
      </x:c>
      <x:c r="E2065" s="39" t="n">
        <x:v>46183</x:v>
      </x:c>
      <x:c r="F2065" s="42" t="n">
        <x:v>114288.76</x:v>
      </x:c>
      <x:c r="G2065" s="42" t="n">
        <x:v>5714.44</x:v>
      </x:c>
      <x:c r="H2065" s="42" t="n">
        <x:v>308431.81</x:v>
      </x:c>
      <x:c r="I2065" s="39"/>
    </x:row>
    <x:row r="2066">
      <x:c r="A2066" s="21" t="str">
        <x:v>SYN-0590</x:v>
      </x:c>
      <x:c r="B2066" s="21" t="str">
        <x:v>Synthetic Supplier 0590 LLC</x:v>
      </x:c>
      <x:c r="C2066" s="38" t="str">
        <x:f>"900 000 000 000 590"</x:f>
        <x:v>900 000 000 000 590</x:v>
      </x:c>
      <x:c r="D2066" s="21" t="str">
        <x:v>SYN-0590-INV-04</x:v>
      </x:c>
      <x:c r="E2066" s="39" t="n">
        <x:v>46230</x:v>
      </x:c>
      <x:c r="F2066" s="42" t="n">
        <x:v>65503.67</x:v>
      </x:c>
      <x:c r="G2066" s="42" t="n">
        <x:v>3275.18</x:v>
      </x:c>
      <x:c r="H2066" s="42" t="n">
        <x:v>308431.81</x:v>
      </x:c>
      <x:c r="I2066" s="39"/>
    </x:row>
    <x:row r="2067">
      <x:c r="A2067" s="21" t="str">
        <x:v>SYN-0591</x:v>
      </x:c>
      <x:c r="B2067" s="21" t="str">
        <x:v>Synthetic Supplier 0591 LLC</x:v>
      </x:c>
      <x:c r="C2067" s="38" t="str">
        <x:f>"900 000 000 000 591"</x:f>
        <x:v>900 000 000 000 591</x:v>
      </x:c>
      <x:c r="D2067" s="21" t="str">
        <x:v>SYN-0591-INV-01</x:v>
      </x:c>
      <x:c r="E2067" s="39" t="n">
        <x:v>46102</x:v>
      </x:c>
      <x:c r="F2067" s="42" t="n">
        <x:v>56262.1</x:v>
      </x:c>
      <x:c r="G2067" s="42" t="n">
        <x:v>2813.11</x:v>
      </x:c>
      <x:c r="H2067" s="42" t="n">
        <x:v>274505.45</x:v>
      </x:c>
      <x:c r="I2067" s="39" t="n">
        <x:v>46220</x:v>
      </x:c>
    </x:row>
    <x:row r="2068">
      <x:c r="A2068" s="21" t="str">
        <x:v>SYN-0591</x:v>
      </x:c>
      <x:c r="B2068" s="21" t="str">
        <x:v>Synthetic Supplier 0591 LLC</x:v>
      </x:c>
      <x:c r="C2068" s="38" t="str">
        <x:f>"900 000 000 000 591"</x:f>
        <x:v>900 000 000 000 591</x:v>
      </x:c>
      <x:c r="D2068" s="21" t="str">
        <x:v>SYN-0591-INV-02</x:v>
      </x:c>
      <x:c r="E2068" s="39" t="n">
        <x:v>46149</x:v>
      </x:c>
      <x:c r="F2068" s="42" t="n">
        <x:v>43322.65</x:v>
      </x:c>
      <x:c r="G2068" s="42" t="n">
        <x:v>2166.13</x:v>
      </x:c>
      <x:c r="H2068" s="42" t="n">
        <x:v>274505.45</x:v>
      </x:c>
      <x:c r="I2068" s="39" t="n">
        <x:v>46220</x:v>
      </x:c>
    </x:row>
    <x:row r="2069">
      <x:c r="A2069" s="21" t="str">
        <x:v>SYN-0591</x:v>
      </x:c>
      <x:c r="B2069" s="21" t="str">
        <x:v>Synthetic Supplier 0591 LLC</x:v>
      </x:c>
      <x:c r="C2069" s="38" t="str">
        <x:f>"900 000 000 000 591"</x:f>
        <x:v>900 000 000 000 591</x:v>
      </x:c>
      <x:c r="D2069" s="21" t="str">
        <x:v>SYN-0591-INV-03</x:v>
      </x:c>
      <x:c r="E2069" s="39" t="n">
        <x:v>46196</x:v>
      </x:c>
      <x:c r="F2069" s="42" t="n">
        <x:v>43773.7</x:v>
      </x:c>
      <x:c r="G2069" s="42" t="n">
        <x:v>2188.68</x:v>
      </x:c>
      <x:c r="H2069" s="42" t="n">
        <x:v>274505.45</x:v>
      </x:c>
      <x:c r="I2069" s="39" t="n">
        <x:v>46220</x:v>
      </x:c>
    </x:row>
    <x:row r="2070">
      <x:c r="A2070" s="21" t="str">
        <x:v>SYN-0591</x:v>
      </x:c>
      <x:c r="B2070" s="21" t="str">
        <x:v>Synthetic Supplier 0591 LLC</x:v>
      </x:c>
      <x:c r="C2070" s="38" t="str">
        <x:f>"900 000 000 000 591"</x:f>
        <x:v>900 000 000 000 591</x:v>
      </x:c>
      <x:c r="D2070" s="21" t="str">
        <x:v>SYN-0591-INV-04</x:v>
      </x:c>
      <x:c r="E2070" s="39" t="n">
        <x:v>46243</x:v>
      </x:c>
      <x:c r="F2070" s="42" t="n">
        <x:v>82012.65</x:v>
      </x:c>
      <x:c r="G2070" s="42" t="n">
        <x:v>4100.63</x:v>
      </x:c>
      <x:c r="H2070" s="42" t="n">
        <x:v>274505.45</x:v>
      </x:c>
      <x:c r="I2070" s="39" t="n">
        <x:v>46220</x:v>
      </x:c>
    </x:row>
    <x:row r="2071">
      <x:c r="A2071" s="21" t="str">
        <x:v>SYN-0591</x:v>
      </x:c>
      <x:c r="B2071" s="21" t="str">
        <x:v>Synthetic Supplier 0591 LLC</x:v>
      </x:c>
      <x:c r="C2071" s="38" t="str">
        <x:f>"900 000 000 000 591"</x:f>
        <x:v>900 000 000 000 591</x:v>
      </x:c>
      <x:c r="D2071" s="21" t="str">
        <x:v>SYN-0591-INV-05</x:v>
      </x:c>
      <x:c r="E2071" s="39" t="n">
        <x:v>46290</x:v>
      </x:c>
      <x:c r="F2071" s="42" t="n">
        <x:v>79634.95</x:v>
      </x:c>
      <x:c r="G2071" s="42" t="n">
        <x:v>3981.75</x:v>
      </x:c>
      <x:c r="H2071" s="42" t="n">
        <x:v>274505.45</x:v>
      </x:c>
      <x:c r="I2071" s="39" t="n">
        <x:v>46220</x:v>
      </x:c>
    </x:row>
    <x:row r="2072">
      <x:c r="A2072" s="21" t="str">
        <x:v>SYN-0592</x:v>
      </x:c>
      <x:c r="B2072" s="21" t="str">
        <x:v>Synthetic Supplier 0592 LLC</x:v>
      </x:c>
      <x:c r="C2072" s="38" t="str">
        <x:f>"900 000 000 000 592"</x:f>
        <x:v>900 000 000 000 592</x:v>
      </x:c>
      <x:c r="D2072" s="21" t="str">
        <x:v>SYN-0592-INV-01</x:v>
      </x:c>
      <x:c r="E2072" s="39" t="n">
        <x:v>46115</x:v>
      </x:c>
      <x:c r="F2072" s="42" t="n">
        <x:v>63996.96</x:v>
      </x:c>
      <x:c r="G2072" s="42" t="n">
        <x:v>3199.85</x:v>
      </x:c>
      <x:c r="H2072" s="42" t="n">
        <x:v>116982.74</x:v>
      </x:c>
      <x:c r="I2072" s="39" t="n">
        <x:v>45887</x:v>
      </x:c>
    </x:row>
    <x:row r="2073">
      <x:c r="A2073" s="21" t="str">
        <x:v>SYN-0592</x:v>
      </x:c>
      <x:c r="B2073" s="21" t="str">
        <x:v>Synthetic Supplier 0592 LLC</x:v>
      </x:c>
      <x:c r="C2073" s="38" t="str">
        <x:f>"900 000 000 000 592"</x:f>
        <x:v>900 000 000 000 592</x:v>
      </x:c>
      <x:c r="D2073" s="21" t="str">
        <x:v>SYN-0592-INV-02</x:v>
      </x:c>
      <x:c r="E2073" s="39" t="n">
        <x:v>46162</x:v>
      </x:c>
      <x:c r="F2073" s="42" t="n">
        <x:v>65983.87</x:v>
      </x:c>
      <x:c r="G2073" s="42" t="n">
        <x:v>3299.19</x:v>
      </x:c>
      <x:c r="H2073" s="42" t="n">
        <x:v>116982.74</x:v>
      </x:c>
      <x:c r="I2073" s="39" t="n">
        <x:v>45887</x:v>
      </x:c>
    </x:row>
    <x:row r="2074">
      <x:c r="A2074" s="21" t="str">
        <x:v>SYN-0593</x:v>
      </x:c>
      <x:c r="B2074" s="21" t="str">
        <x:v>Synthetic Supplier 0593 LLC</x:v>
      </x:c>
      <x:c r="C2074" s="38" t="str">
        <x:f>"900 000 000 000 593"</x:f>
        <x:v>900 000 000 000 593</x:v>
      </x:c>
      <x:c r="D2074" s="21" t="str">
        <x:v>SYN-0593-INV-01</x:v>
      </x:c>
      <x:c r="E2074" s="39" t="n">
        <x:v>46128</x:v>
      </x:c>
      <x:c r="F2074" s="42" t="n">
        <x:v>48697.79</x:v>
      </x:c>
      <x:c r="G2074" s="42" t="n">
        <x:v>2434.89</x:v>
      </x:c>
      <x:c r="H2074" s="42" t="n">
        <x:v>154670.46</x:v>
      </x:c>
      <x:c r="I2074" s="39" t="n">
        <x:v>46284</x:v>
      </x:c>
    </x:row>
    <x:row r="2075">
      <x:c r="A2075" s="21" t="str">
        <x:v>SYN-0593</x:v>
      </x:c>
      <x:c r="B2075" s="21" t="str">
        <x:v>Synthetic Supplier 0593 LLC</x:v>
      </x:c>
      <x:c r="C2075" s="38" t="str">
        <x:f>"900 000 000 000 593"</x:f>
        <x:v>900 000 000 000 593</x:v>
      </x:c>
      <x:c r="D2075" s="21" t="str">
        <x:v>SYN-0593-INV-02</x:v>
      </x:c>
      <x:c r="E2075" s="39" t="n">
        <x:v>46175</x:v>
      </x:c>
      <x:c r="F2075" s="42" t="n">
        <x:v>57576.32</x:v>
      </x:c>
      <x:c r="G2075" s="42" t="n">
        <x:v>2878.82</x:v>
      </x:c>
      <x:c r="H2075" s="42" t="n">
        <x:v>154670.46</x:v>
      </x:c>
      <x:c r="I2075" s="39" t="n">
        <x:v>46284</x:v>
      </x:c>
    </x:row>
    <x:row r="2076">
      <x:c r="A2076" s="21" t="str">
        <x:v>SYN-0593</x:v>
      </x:c>
      <x:c r="B2076" s="21" t="str">
        <x:v>Synthetic Supplier 0593 LLC</x:v>
      </x:c>
      <x:c r="C2076" s="38" t="str">
        <x:f>"900 000 000 000 593"</x:f>
        <x:v>900 000 000 000 593</x:v>
      </x:c>
      <x:c r="D2076" s="21" t="str">
        <x:v>SYN-0593-INV-03</x:v>
      </x:c>
      <x:c r="E2076" s="39" t="n">
        <x:v>46222</x:v>
      </x:c>
      <x:c r="F2076" s="42" t="n">
        <x:v>65581.96</x:v>
      </x:c>
      <x:c r="G2076" s="42" t="n">
        <x:v>3279.1</x:v>
      </x:c>
      <x:c r="H2076" s="42" t="n">
        <x:v>154670.46</x:v>
      </x:c>
      <x:c r="I2076" s="39" t="n">
        <x:v>46284</x:v>
      </x:c>
    </x:row>
    <x:row r="2077">
      <x:c r="A2077" s="21" t="str">
        <x:v>SYN-0594</x:v>
      </x:c>
      <x:c r="B2077" s="21" t="str">
        <x:v>Synthetic Supplier 0594 LLC</x:v>
      </x:c>
      <x:c r="C2077" s="38" t="str">
        <x:f>"900 000 000 000 594"</x:f>
        <x:v>900 000 000 000 594</x:v>
      </x:c>
      <x:c r="D2077" s="21" t="str">
        <x:v>SYN-0594-INV-01</x:v>
      </x:c>
      <x:c r="E2077" s="39" t="n">
        <x:v>46141</x:v>
      </x:c>
      <x:c r="F2077" s="42" t="n">
        <x:v>20920.98</x:v>
      </x:c>
      <x:c r="G2077" s="42" t="n">
        <x:v>1046.05</x:v>
      </x:c>
      <x:c r="H2077" s="42" t="n">
        <x:v>113354.99</x:v>
      </x:c>
      <x:c r="I2077" s="39" t="n">
        <x:v>45677</x:v>
      </x:c>
    </x:row>
    <x:row r="2078">
      <x:c r="A2078" s="21" t="str">
        <x:v>SYN-0594</x:v>
      </x:c>
      <x:c r="B2078" s="21" t="str">
        <x:v>Synthetic Supplier 0594 LLC</x:v>
      </x:c>
      <x:c r="C2078" s="38" t="str">
        <x:f>"900 000 000 000 594"</x:f>
        <x:v>900 000 000 000 594</x:v>
      </x:c>
      <x:c r="D2078" s="21" t="str">
        <x:v>SYN-0594-INV-02</x:v>
      </x:c>
      <x:c r="E2078" s="39" t="n">
        <x:v>46188</x:v>
      </x:c>
      <x:c r="F2078" s="42" t="n">
        <x:v>26370.58</x:v>
      </x:c>
      <x:c r="G2078" s="42" t="n">
        <x:v>1318.53</x:v>
      </x:c>
      <x:c r="H2078" s="42" t="n">
        <x:v>113354.99</x:v>
      </x:c>
      <x:c r="I2078" s="39" t="n">
        <x:v>45677</x:v>
      </x:c>
    </x:row>
    <x:row r="2079">
      <x:c r="A2079" s="21" t="str">
        <x:v>SYN-0594</x:v>
      </x:c>
      <x:c r="B2079" s="21" t="str">
        <x:v>Synthetic Supplier 0594 LLC</x:v>
      </x:c>
      <x:c r="C2079" s="38" t="str">
        <x:f>"900 000 000 000 594"</x:f>
        <x:v>900 000 000 000 594</x:v>
      </x:c>
      <x:c r="D2079" s="21" t="str">
        <x:v>SYN-0594-INV-03</x:v>
      </x:c>
      <x:c r="E2079" s="39" t="n">
        <x:v>46235</x:v>
      </x:c>
      <x:c r="F2079" s="42" t="n">
        <x:v>38165.81</x:v>
      </x:c>
      <x:c r="G2079" s="42" t="n">
        <x:v>1908.29</x:v>
      </x:c>
      <x:c r="H2079" s="42" t="n">
        <x:v>113354.99</x:v>
      </x:c>
      <x:c r="I2079" s="39" t="n">
        <x:v>45677</x:v>
      </x:c>
    </x:row>
    <x:row r="2080">
      <x:c r="A2080" s="21" t="str">
        <x:v>SYN-0594</x:v>
      </x:c>
      <x:c r="B2080" s="21" t="str">
        <x:v>Synthetic Supplier 0594 LLC</x:v>
      </x:c>
      <x:c r="C2080" s="38" t="str">
        <x:f>"900 000 000 000 594"</x:f>
        <x:v>900 000 000 000 594</x:v>
      </x:c>
      <x:c r="D2080" s="21" t="str">
        <x:v>SYN-0594-INV-04</x:v>
      </x:c>
      <x:c r="E2080" s="39" t="n">
        <x:v>46282</x:v>
      </x:c>
      <x:c r="F2080" s="42" t="n">
        <x:v>40492.62</x:v>
      </x:c>
      <x:c r="G2080" s="42" t="n">
        <x:v>2024.63</x:v>
      </x:c>
      <x:c r="H2080" s="42" t="n">
        <x:v>113354.99</x:v>
      </x:c>
      <x:c r="I2080" s="39" t="n">
        <x:v>45677</x:v>
      </x:c>
    </x:row>
    <x:row r="2081">
      <x:c r="A2081" s="21" t="str">
        <x:v>SYN-0595</x:v>
      </x:c>
      <x:c r="B2081" s="21" t="str">
        <x:v>Synthetic Supplier 0595 LLC</x:v>
      </x:c>
      <x:c r="C2081" s="38" t="str">
        <x:f>"900 000 000 000 595"</x:f>
        <x:v>900 000 000 000 595</x:v>
      </x:c>
      <x:c r="D2081" s="21" t="str">
        <x:v>SYN-0595-INV-01</x:v>
      </x:c>
      <x:c r="E2081" s="39" t="n">
        <x:v>46154</x:v>
      </x:c>
      <x:c r="F2081" s="42" t="n">
        <x:v>56304.22</x:v>
      </x:c>
      <x:c r="G2081" s="42" t="n">
        <x:v>2815.21</x:v>
      </x:c>
      <x:c r="H2081" s="42" t="n">
        <x:v>275348.72</x:v>
      </x:c>
      <x:c r="I2081" s="39"/>
    </x:row>
    <x:row r="2082">
      <x:c r="A2082" s="21" t="str">
        <x:v>SYN-0595</x:v>
      </x:c>
      <x:c r="B2082" s="21" t="str">
        <x:v>Synthetic Supplier 0595 LLC</x:v>
      </x:c>
      <x:c r="C2082" s="38" t="str">
        <x:f>"900 000 000 000 595"</x:f>
        <x:v>900 000 000 000 595</x:v>
      </x:c>
      <x:c r="D2082" s="21" t="str">
        <x:v>SYN-0595-INV-02</x:v>
      </x:c>
      <x:c r="E2082" s="39" t="n">
        <x:v>46201</x:v>
      </x:c>
      <x:c r="F2082" s="42" t="n">
        <x:v>29909.36</x:v>
      </x:c>
      <x:c r="G2082" s="42" t="n">
        <x:v>1495.47</x:v>
      </x:c>
      <x:c r="H2082" s="42" t="n">
        <x:v>275348.72</x:v>
      </x:c>
      <x:c r="I2082" s="39"/>
    </x:row>
    <x:row r="2083">
      <x:c r="A2083" s="21" t="str">
        <x:v>SYN-0595</x:v>
      </x:c>
      <x:c r="B2083" s="21" t="str">
        <x:v>Synthetic Supplier 0595 LLC</x:v>
      </x:c>
      <x:c r="C2083" s="38" t="str">
        <x:f>"900 000 000 000 595"</x:f>
        <x:v>900 000 000 000 595</x:v>
      </x:c>
      <x:c r="D2083" s="21" t="str">
        <x:v>SYN-0595-INV-03</x:v>
      </x:c>
      <x:c r="E2083" s="39" t="n">
        <x:v>46248</x:v>
      </x:c>
      <x:c r="F2083" s="42" t="n">
        <x:v>59664.77</x:v>
      </x:c>
      <x:c r="G2083" s="42" t="n">
        <x:v>2983.24</x:v>
      </x:c>
      <x:c r="H2083" s="42" t="n">
        <x:v>275348.72</x:v>
      </x:c>
      <x:c r="I2083" s="39"/>
    </x:row>
    <x:row r="2084">
      <x:c r="A2084" s="21" t="str">
        <x:v>SYN-0595</x:v>
      </x:c>
      <x:c r="B2084" s="21" t="str">
        <x:v>Synthetic Supplier 0595 LLC</x:v>
      </x:c>
      <x:c r="C2084" s="38" t="str">
        <x:f>"900 000 000 000 595"</x:f>
        <x:v>900 000 000 000 595</x:v>
      </x:c>
      <x:c r="D2084" s="21" t="str">
        <x:v>SYN-0595-INV-04</x:v>
      </x:c>
      <x:c r="E2084" s="39" t="n">
        <x:v>45935</x:v>
      </x:c>
      <x:c r="F2084" s="42" t="n">
        <x:v>52696.49</x:v>
      </x:c>
      <x:c r="G2084" s="42" t="n">
        <x:v>2634.82</x:v>
      </x:c>
      <x:c r="H2084" s="42" t="n">
        <x:v>275348.72</x:v>
      </x:c>
      <x:c r="I2084" s="39"/>
    </x:row>
    <x:row r="2085">
      <x:c r="A2085" s="21" t="str">
        <x:v>SYN-0595</x:v>
      </x:c>
      <x:c r="B2085" s="21" t="str">
        <x:v>Synthetic Supplier 0595 LLC</x:v>
      </x:c>
      <x:c r="C2085" s="38" t="str">
        <x:f>"900 000 000 000 595"</x:f>
        <x:v>900 000 000 000 595</x:v>
      </x:c>
      <x:c r="D2085" s="21" t="str">
        <x:v>SYN-0595-INV-05</x:v>
      </x:c>
      <x:c r="E2085" s="39" t="n">
        <x:v>45982</x:v>
      </x:c>
      <x:c r="F2085" s="42" t="n">
        <x:v>40858.84</x:v>
      </x:c>
      <x:c r="G2085" s="42" t="n">
        <x:v>2042.94</x:v>
      </x:c>
      <x:c r="H2085" s="42" t="n">
        <x:v>275348.72</x:v>
      </x:c>
      <x:c r="I2085" s="39"/>
    </x:row>
    <x:row r="2086">
      <x:c r="A2086" s="21" t="str">
        <x:v>SYN-0596</x:v>
      </x:c>
      <x:c r="B2086" s="21" t="str">
        <x:v>Synthetic Supplier 0596 LLC</x:v>
      </x:c>
      <x:c r="C2086" s="38" t="str">
        <x:f>"900 000 000 000 596"</x:f>
        <x:v>900 000 000 000 596</x:v>
      </x:c>
      <x:c r="D2086" s="21" t="str">
        <x:v>SYN-0596-INV-01</x:v>
      </x:c>
      <x:c r="E2086" s="39" t="n">
        <x:v>46167</x:v>
      </x:c>
      <x:c r="F2086" s="42" t="n">
        <x:v>149609.54</x:v>
      </x:c>
      <x:c r="G2086" s="42" t="n">
        <x:v>7480.48</x:v>
      </x:c>
      <x:c r="H2086" s="42" t="n">
        <x:v>267865.24</x:v>
      </x:c>
      <x:c r="I2086" s="39" t="n">
        <x:v>45738</x:v>
      </x:c>
    </x:row>
    <x:row r="2087">
      <x:c r="A2087" s="21" t="str">
        <x:v>SYN-0596</x:v>
      </x:c>
      <x:c r="B2087" s="21" t="str">
        <x:v>Synthetic Supplier 0596 LLC</x:v>
      </x:c>
      <x:c r="C2087" s="38" t="str">
        <x:f>"900 000 000 000 596"</x:f>
        <x:v>900 000 000 000 596</x:v>
      </x:c>
      <x:c r="D2087" s="21" t="str">
        <x:v>SYN-0596-INV-02</x:v>
      </x:c>
      <x:c r="E2087" s="39" t="n">
        <x:v>46214</x:v>
      </x:c>
      <x:c r="F2087" s="42" t="n">
        <x:v>148018.51</x:v>
      </x:c>
      <x:c r="G2087" s="42" t="n">
        <x:v>7400.93</x:v>
      </x:c>
      <x:c r="H2087" s="42" t="n">
        <x:v>267865.24</x:v>
      </x:c>
      <x:c r="I2087" s="39" t="n">
        <x:v>45738</x:v>
      </x:c>
    </x:row>
    <x:row r="2088">
      <x:c r="A2088" s="21" t="str">
        <x:v>SYN-0597</x:v>
      </x:c>
      <x:c r="B2088" s="21" t="str">
        <x:v>Synthetic Supplier 0597 LLC</x:v>
      </x:c>
      <x:c r="C2088" s="38" t="str">
        <x:f>"900 000 000 000 597"</x:f>
        <x:v>900 000 000 000 597</x:v>
      </x:c>
      <x:c r="D2088" s="21" t="str">
        <x:v>SYN-0597-INV-01</x:v>
      </x:c>
      <x:c r="E2088" s="39" t="n">
        <x:v>46180</x:v>
      </x:c>
      <x:c r="F2088" s="42" t="n">
        <x:v>84301.65</x:v>
      </x:c>
      <x:c r="G2088" s="42" t="n">
        <x:v>4215.08</x:v>
      </x:c>
      <x:c r="H2088" s="42" t="n">
        <x:v>213746.46</x:v>
      </x:c>
      <x:c r="I2088" s="39" t="n">
        <x:v>46135</x:v>
      </x:c>
    </x:row>
    <x:row r="2089">
      <x:c r="A2089" s="21" t="str">
        <x:v>SYN-0597</x:v>
      </x:c>
      <x:c r="B2089" s="21" t="str">
        <x:v>Synthetic Supplier 0597 LLC</x:v>
      </x:c>
      <x:c r="C2089" s="38" t="str">
        <x:f>"900 000 000 000 597"</x:f>
        <x:v>900 000 000 000 597</x:v>
      </x:c>
      <x:c r="D2089" s="21" t="str">
        <x:v>SYN-0597-INV-02</x:v>
      </x:c>
      <x:c r="E2089" s="39" t="n">
        <x:v>46227</x:v>
      </x:c>
      <x:c r="F2089" s="42" t="n">
        <x:v>87222.84</x:v>
      </x:c>
      <x:c r="G2089" s="42" t="n">
        <x:v>4361.14</x:v>
      </x:c>
      <x:c r="H2089" s="42" t="n">
        <x:v>213746.46</x:v>
      </x:c>
      <x:c r="I2089" s="39" t="n">
        <x:v>46135</x:v>
      </x:c>
    </x:row>
    <x:row r="2090">
      <x:c r="A2090" s="21" t="str">
        <x:v>SYN-0597</x:v>
      </x:c>
      <x:c r="B2090" s="21" t="str">
        <x:v>Synthetic Supplier 0597 LLC</x:v>
      </x:c>
      <x:c r="C2090" s="38" t="str">
        <x:f>"900 000 000 000 597"</x:f>
        <x:v>900 000 000 000 597</x:v>
      </x:c>
      <x:c r="D2090" s="21" t="str">
        <x:v>SYN-0597-INV-03</x:v>
      </x:c>
      <x:c r="E2090" s="39" t="n">
        <x:v>46274</x:v>
      </x:c>
      <x:c r="F2090" s="42" t="n">
        <x:v>65971.58</x:v>
      </x:c>
      <x:c r="G2090" s="42" t="n">
        <x:v>3298.58</x:v>
      </x:c>
      <x:c r="H2090" s="42" t="n">
        <x:v>213746.46</x:v>
      </x:c>
      <x:c r="I2090" s="39" t="n">
        <x:v>46135</x:v>
      </x:c>
    </x:row>
    <x:row r="2091">
      <x:c r="A2091" s="21" t="str">
        <x:v>SYN-0598</x:v>
      </x:c>
      <x:c r="B2091" s="21" t="str">
        <x:v>Synthetic Supplier 0598 LLC</x:v>
      </x:c>
      <x:c r="C2091" s="38" t="str">
        <x:f>"900 000 000 000 598"</x:f>
        <x:v>900 000 000 000 598</x:v>
      </x:c>
      <x:c r="D2091" s="21" t="str">
        <x:v>SYN-0598-INV-01</x:v>
      </x:c>
      <x:c r="E2091" s="39" t="n">
        <x:v>46193</x:v>
      </x:c>
      <x:c r="F2091" s="42" t="n">
        <x:v>28665.59</x:v>
      </x:c>
      <x:c r="G2091" s="42" t="n">
        <x:v>1433.28</x:v>
      </x:c>
      <x:c r="H2091" s="42" t="n">
        <x:v>101044.18</x:v>
      </x:c>
      <x:c r="I2091" s="39" t="n">
        <x:v>45801</x:v>
      </x:c>
    </x:row>
    <x:row r="2092">
      <x:c r="A2092" s="21" t="str">
        <x:v>SYN-0598</x:v>
      </x:c>
      <x:c r="B2092" s="21" t="str">
        <x:v>Synthetic Supplier 0598 LLC</x:v>
      </x:c>
      <x:c r="C2092" s="38" t="str">
        <x:f>"900 000 000 000 598"</x:f>
        <x:v>900 000 000 000 598</x:v>
      </x:c>
      <x:c r="D2092" s="21" t="str">
        <x:v>SYN-0598-INV-02</x:v>
      </x:c>
      <x:c r="E2092" s="39" t="n">
        <x:v>46240</x:v>
      </x:c>
      <x:c r="F2092" s="42" t="n">
        <x:v>21816</x:v>
      </x:c>
      <x:c r="G2092" s="42" t="n">
        <x:v>1090.8</x:v>
      </x:c>
      <x:c r="H2092" s="42" t="n">
        <x:v>101044.18</x:v>
      </x:c>
      <x:c r="I2092" s="39" t="n">
        <x:v>45801</x:v>
      </x:c>
    </x:row>
    <x:row r="2093">
      <x:c r="A2093" s="21" t="str">
        <x:v>SYN-0598</x:v>
      </x:c>
      <x:c r="B2093" s="21" t="str">
        <x:v>Synthetic Supplier 0598 LLC</x:v>
      </x:c>
      <x:c r="C2093" s="38" t="str">
        <x:f>"900 000 000 000 598"</x:f>
        <x:v>900 000 000 000 598</x:v>
      </x:c>
      <x:c r="D2093" s="21" t="str">
        <x:v>SYN-0598-INV-03</x:v>
      </x:c>
      <x:c r="E2093" s="39" t="n">
        <x:v>46287</x:v>
      </x:c>
      <x:c r="F2093" s="42" t="n">
        <x:v>25062.25</x:v>
      </x:c>
      <x:c r="G2093" s="42" t="n">
        <x:v>1253.11</x:v>
      </x:c>
      <x:c r="H2093" s="42" t="n">
        <x:v>101044.18</x:v>
      </x:c>
      <x:c r="I2093" s="39" t="n">
        <x:v>45801</x:v>
      </x:c>
    </x:row>
    <x:row r="2094">
      <x:c r="A2094" s="21" t="str">
        <x:v>SYN-0598</x:v>
      </x:c>
      <x:c r="B2094" s="21" t="str">
        <x:v>Synthetic Supplier 0598 LLC</x:v>
      </x:c>
      <x:c r="C2094" s="38" t="str">
        <x:f>"900 000 000 000 598"</x:f>
        <x:v>900 000 000 000 598</x:v>
      </x:c>
      <x:c r="D2094" s="21" t="str">
        <x:v>SYN-0598-INV-04</x:v>
      </x:c>
      <x:c r="E2094" s="39" t="n">
        <x:v>45974</x:v>
      </x:c>
      <x:c r="F2094" s="42" t="n">
        <x:v>36727.47</x:v>
      </x:c>
      <x:c r="G2094" s="42" t="n">
        <x:v>1836.37</x:v>
      </x:c>
      <x:c r="H2094" s="42" t="n">
        <x:v>101044.18</x:v>
      </x:c>
      <x:c r="I2094" s="39" t="n">
        <x:v>45801</x:v>
      </x:c>
    </x:row>
    <x:row r="2095">
      <x:c r="A2095" s="21" t="str">
        <x:v>SYN-0599</x:v>
      </x:c>
      <x:c r="B2095" s="21" t="str">
        <x:v>Synthetic Supplier 0599 LLC</x:v>
      </x:c>
      <x:c r="C2095" s="38" t="str">
        <x:f>"900 000 000 000 599"</x:f>
        <x:v>900 000 000 000 599</x:v>
      </x:c>
      <x:c r="D2095" s="21" t="str">
        <x:v>SYN-0599-INV-01</x:v>
      </x:c>
      <x:c r="E2095" s="39" t="n">
        <x:v>46206</x:v>
      </x:c>
      <x:c r="F2095" s="42" t="n">
        <x:v>32557.81</x:v>
      </x:c>
      <x:c r="G2095" s="42" t="n">
        <x:v>1627.89</x:v>
      </x:c>
      <x:c r="H2095" s="42" t="n">
        <x:v>243785.84</x:v>
      </x:c>
      <x:c r="I2095" s="39" t="n">
        <x:v>46198</x:v>
      </x:c>
    </x:row>
    <x:row r="2096">
      <x:c r="A2096" s="21" t="str">
        <x:v>SYN-0599</x:v>
      </x:c>
      <x:c r="B2096" s="21" t="str">
        <x:v>Synthetic Supplier 0599 LLC</x:v>
      </x:c>
      <x:c r="C2096" s="38" t="str">
        <x:f>"900 000 000 000 599"</x:f>
        <x:v>900 000 000 000 599</x:v>
      </x:c>
      <x:c r="D2096" s="21" t="str">
        <x:v>SYN-0599-INV-02</x:v>
      </x:c>
      <x:c r="E2096" s="39" t="n">
        <x:v>46253</x:v>
      </x:c>
      <x:c r="F2096" s="42" t="n">
        <x:v>55508.54</x:v>
      </x:c>
      <x:c r="G2096" s="42" t="n">
        <x:v>2775.43</x:v>
      </x:c>
      <x:c r="H2096" s="42" t="n">
        <x:v>243785.84</x:v>
      </x:c>
      <x:c r="I2096" s="39" t="n">
        <x:v>46198</x:v>
      </x:c>
    </x:row>
    <x:row r="2097">
      <x:c r="A2097" s="21" t="str">
        <x:v>SYN-0599</x:v>
      </x:c>
      <x:c r="B2097" s="21" t="str">
        <x:v>Synthetic Supplier 0599 LLC</x:v>
      </x:c>
      <x:c r="C2097" s="38" t="str">
        <x:f>"900 000 000 000 599"</x:f>
        <x:v>900 000 000 000 599</x:v>
      </x:c>
      <x:c r="D2097" s="21" t="str">
        <x:v>SYN-0599-INV-03</x:v>
      </x:c>
      <x:c r="E2097" s="39" t="n">
        <x:v>45940</x:v>
      </x:c>
      <x:c r="F2097" s="42" t="n">
        <x:v>74015.21</x:v>
      </x:c>
      <x:c r="G2097" s="42" t="n">
        <x:v>3700.76</x:v>
      </x:c>
      <x:c r="H2097" s="42" t="n">
        <x:v>243785.84</x:v>
      </x:c>
      <x:c r="I2097" s="39" t="n">
        <x:v>46198</x:v>
      </x:c>
    </x:row>
    <x:row r="2098">
      <x:c r="A2098" s="21" t="str">
        <x:v>SYN-0599</x:v>
      </x:c>
      <x:c r="B2098" s="21" t="str">
        <x:v>Synthetic Supplier 0599 LLC</x:v>
      </x:c>
      <x:c r="C2098" s="38" t="str">
        <x:f>"900 000 000 000 599"</x:f>
        <x:v>900 000 000 000 599</x:v>
      </x:c>
      <x:c r="D2098" s="21" t="str">
        <x:v>SYN-0599-INV-04</x:v>
      </x:c>
      <x:c r="E2098" s="39" t="n">
        <x:v>45987</x:v>
      </x:c>
      <x:c r="F2098" s="42" t="n">
        <x:v>53104.13</x:v>
      </x:c>
      <x:c r="G2098" s="42" t="n">
        <x:v>2655.21</x:v>
      </x:c>
      <x:c r="H2098" s="42" t="n">
        <x:v>243785.84</x:v>
      </x:c>
      <x:c r="I2098" s="39" t="n">
        <x:v>46198</x:v>
      </x:c>
    </x:row>
    <x:row r="2099">
      <x:c r="A2099" s="21" t="str">
        <x:v>SYN-0599</x:v>
      </x:c>
      <x:c r="B2099" s="21" t="str">
        <x:v>Synthetic Supplier 0599 LLC</x:v>
      </x:c>
      <x:c r="C2099" s="38" t="str">
        <x:f>"900 000 000 000 599"</x:f>
        <x:v>900 000 000 000 599</x:v>
      </x:c>
      <x:c r="D2099" s="21" t="str">
        <x:v>SYN-0599-INV-05</x:v>
      </x:c>
      <x:c r="E2099" s="39" t="n">
        <x:v>46034</x:v>
      </x:c>
      <x:c r="F2099" s="42" t="n">
        <x:v>55687.46</x:v>
      </x:c>
      <x:c r="G2099" s="42" t="n">
        <x:v>2784.37</x:v>
      </x:c>
      <x:c r="H2099" s="42" t="n">
        <x:v>243785.84</x:v>
      </x:c>
      <x:c r="I2099" s="39" t="n">
        <x:v>46198</x:v>
      </x:c>
    </x:row>
    <x:row r="2100">
      <x:c r="A2100" s="21" t="str">
        <x:v>SYN-0600</x:v>
      </x:c>
      <x:c r="B2100" s="21" t="str">
        <x:v>Synthetic Supplier 0600 LLC</x:v>
      </x:c>
      <x:c r="C2100" s="38" t="str">
        <x:f>"900 000 000 000 600"</x:f>
        <x:v>900 000 000 000 600</x:v>
      </x:c>
      <x:c r="D2100" s="21" t="str">
        <x:v>SYN-0600-INV-01</x:v>
      </x:c>
      <x:c r="E2100" s="39" t="n">
        <x:v>46219</x:v>
      </x:c>
      <x:c r="F2100" s="42" t="n">
        <x:v>174907.88</x:v>
      </x:c>
      <x:c r="G2100" s="42" t="n">
        <x:v>8745.39</x:v>
      </x:c>
      <x:c r="H2100" s="42" t="n">
        <x:v>230664.65</x:v>
      </x:c>
      <x:c r="I2100" s="39"/>
    </x:row>
    <x:row r="2101">
      <x:c r="A2101" s="21" t="str">
        <x:v>SYN-0600</x:v>
      </x:c>
      <x:c r="B2101" s="21" t="str">
        <x:v>Synthetic Supplier 0600 LLC</x:v>
      </x:c>
      <x:c r="C2101" s="38" t="str">
        <x:f>"900 000 000 000 600"</x:f>
        <x:v>900 000 000 000 600</x:v>
      </x:c>
      <x:c r="D2101" s="21" t="str">
        <x:v>SYN-0600-INV-02</x:v>
      </x:c>
      <x:c r="E2101" s="39" t="n">
        <x:v>46266</x:v>
      </x:c>
      <x:c r="F2101" s="42" t="n">
        <x:v>81386.17</x:v>
      </x:c>
      <x:c r="G2101" s="42" t="n">
        <x:v>4069.31</x:v>
      </x:c>
      <x:c r="H2101" s="42" t="n">
        <x:v>230664.65</x:v>
      </x:c>
      <x:c r="I2101" s="39"/>
    </x:row>
    <x:row r="2102">
      <x:c r="A2102" s="21" t="str">
        <x:v>SYN-0601</x:v>
      </x:c>
      <x:c r="B2102" s="21" t="str">
        <x:v>Synthetic Supplier 0601 LLC</x:v>
      </x:c>
      <x:c r="C2102" s="38" t="str">
        <x:f>"900 000 000 000 601"</x:f>
        <x:v>900 000 000 000 601</x:v>
      </x:c>
      <x:c r="D2102" s="21" t="str">
        <x:v>SYN-0601-INV-01</x:v>
      </x:c>
      <x:c r="E2102" s="39" t="n">
        <x:v>46232</x:v>
      </x:c>
      <x:c r="F2102" s="42" t="n">
        <x:v>122270.39</x:v>
      </x:c>
      <x:c r="G2102" s="42" t="n">
        <x:v>6113.52</x:v>
      </x:c>
      <x:c r="H2102" s="42" t="n">
        <x:v>303924.19</x:v>
      </x:c>
      <x:c r="I2102" s="39" t="n">
        <x:v>46236</x:v>
      </x:c>
    </x:row>
    <x:row r="2103">
      <x:c r="A2103" s="21" t="str">
        <x:v>SYN-0601</x:v>
      </x:c>
      <x:c r="B2103" s="21" t="str">
        <x:v>Synthetic Supplier 0601 LLC</x:v>
      </x:c>
      <x:c r="C2103" s="38" t="str">
        <x:f>"900 000 000 000 601"</x:f>
        <x:v>900 000 000 000 601</x:v>
      </x:c>
      <x:c r="D2103" s="21" t="str">
        <x:v>SYN-0601-INV-02</x:v>
      </x:c>
      <x:c r="E2103" s="39" t="n">
        <x:v>46279</x:v>
      </x:c>
      <x:c r="F2103" s="42" t="n">
        <x:v>86983.96</x:v>
      </x:c>
      <x:c r="G2103" s="42" t="n">
        <x:v>4349.2</x:v>
      </x:c>
      <x:c r="H2103" s="42" t="n">
        <x:v>303924.19</x:v>
      </x:c>
      <x:c r="I2103" s="39" t="n">
        <x:v>46236</x:v>
      </x:c>
    </x:row>
    <x:row r="2104">
      <x:c r="A2104" s="21" t="str">
        <x:v>SYN-0601</x:v>
      </x:c>
      <x:c r="B2104" s="21" t="str">
        <x:v>Synthetic Supplier 0601 LLC</x:v>
      </x:c>
      <x:c r="C2104" s="38" t="str">
        <x:f>"900 000 000 000 601"</x:f>
        <x:v>900 000 000 000 601</x:v>
      </x:c>
      <x:c r="D2104" s="21" t="str">
        <x:v>SYN-0601-INV-03</x:v>
      </x:c>
      <x:c r="E2104" s="39" t="n">
        <x:v>45966</x:v>
      </x:c>
      <x:c r="F2104" s="42" t="n">
        <x:v>128439.19</x:v>
      </x:c>
      <x:c r="G2104" s="42" t="n">
        <x:v>6421.96</x:v>
      </x:c>
      <x:c r="H2104" s="42" t="n">
        <x:v>303924.19</x:v>
      </x:c>
      <x:c r="I2104" s="39" t="n">
        <x:v>46236</x:v>
      </x:c>
    </x:row>
    <x:row r="2105">
      <x:c r="A2105" s="21" t="str">
        <x:v>SYN-0602</x:v>
      </x:c>
      <x:c r="B2105" s="21" t="str">
        <x:v>Synthetic Supplier 0602 LLC</x:v>
      </x:c>
      <x:c r="C2105" s="38" t="str">
        <x:f>"900 000 000 000 602"</x:f>
        <x:v>900 000 000 000 602</x:v>
      </x:c>
      <x:c r="D2105" s="21" t="str">
        <x:v>SYN-0602-INV-01</x:v>
      </x:c>
      <x:c r="E2105" s="39" t="n">
        <x:v>46245</x:v>
      </x:c>
      <x:c r="F2105" s="42" t="n">
        <x:v>94834.45</x:v>
      </x:c>
      <x:c r="G2105" s="42" t="n">
        <x:v>4741.72</x:v>
      </x:c>
      <x:c r="H2105" s="42" t="n">
        <x:v>348442.67</x:v>
      </x:c>
      <x:c r="I2105" s="39" t="n">
        <x:v>45903</x:v>
      </x:c>
    </x:row>
    <x:row r="2106">
      <x:c r="A2106" s="21" t="str">
        <x:v>SYN-0602</x:v>
      </x:c>
      <x:c r="B2106" s="21" t="str">
        <x:v>Synthetic Supplier 0602 LLC</x:v>
      </x:c>
      <x:c r="C2106" s="38" t="str">
        <x:f>"900 000 000 000 602"</x:f>
        <x:v>900 000 000 000 602</x:v>
      </x:c>
      <x:c r="D2106" s="21" t="str">
        <x:v>SYN-0602-INV-02</x:v>
      </x:c>
      <x:c r="E2106" s="39" t="n">
        <x:v>45932</x:v>
      </x:c>
      <x:c r="F2106" s="42" t="n">
        <x:v>62673.88</x:v>
      </x:c>
      <x:c r="G2106" s="42" t="n">
        <x:v>3133.69</x:v>
      </x:c>
      <x:c r="H2106" s="42" t="n">
        <x:v>348442.67</x:v>
      </x:c>
      <x:c r="I2106" s="39" t="n">
        <x:v>45903</x:v>
      </x:c>
    </x:row>
    <x:row r="2107">
      <x:c r="A2107" s="21" t="str">
        <x:v>SYN-0602</x:v>
      </x:c>
      <x:c r="B2107" s="21" t="str">
        <x:v>Synthetic Supplier 0602 LLC</x:v>
      </x:c>
      <x:c r="C2107" s="38" t="str">
        <x:f>"900 000 000 000 602"</x:f>
        <x:v>900 000 000 000 602</x:v>
      </x:c>
      <x:c r="D2107" s="21" t="str">
        <x:v>SYN-0602-INV-03</x:v>
      </x:c>
      <x:c r="E2107" s="39" t="n">
        <x:v>45979</x:v>
      </x:c>
      <x:c r="F2107" s="42" t="n">
        <x:v>89663.37</x:v>
      </x:c>
      <x:c r="G2107" s="42" t="n">
        <x:v>4483.17</x:v>
      </x:c>
      <x:c r="H2107" s="42" t="n">
        <x:v>348442.67</x:v>
      </x:c>
      <x:c r="I2107" s="39" t="n">
        <x:v>45903</x:v>
      </x:c>
    </x:row>
    <x:row r="2108">
      <x:c r="A2108" s="21" t="str">
        <x:v>SYN-0602</x:v>
      </x:c>
      <x:c r="B2108" s="21" t="str">
        <x:v>Synthetic Supplier 0602 LLC</x:v>
      </x:c>
      <x:c r="C2108" s="38" t="str">
        <x:f>"900 000 000 000 602"</x:f>
        <x:v>900 000 000 000 602</x:v>
      </x:c>
      <x:c r="D2108" s="21" t="str">
        <x:v>SYN-0602-INV-04</x:v>
      </x:c>
      <x:c r="E2108" s="39" t="n">
        <x:v>46026</x:v>
      </x:c>
      <x:c r="F2108" s="42" t="n">
        <x:v>55821.93</x:v>
      </x:c>
      <x:c r="G2108" s="42" t="n">
        <x:v>2791.1</x:v>
      </x:c>
      <x:c r="H2108" s="42" t="n">
        <x:v>348442.67</x:v>
      </x:c>
      <x:c r="I2108" s="39" t="n">
        <x:v>45903</x:v>
      </x:c>
    </x:row>
    <x:row r="2109">
      <x:c r="A2109" s="21" t="str">
        <x:v>SYN-0603</x:v>
      </x:c>
      <x:c r="B2109" s="21" t="str">
        <x:v>Synthetic Supplier 0603 LLC</x:v>
      </x:c>
      <x:c r="C2109" s="38" t="str">
        <x:f>"900 000 000 000 603"</x:f>
        <x:v>900 000 000 000 603</x:v>
      </x:c>
      <x:c r="D2109" s="21" t="str">
        <x:v>SYN-0603-INV-01</x:v>
      </x:c>
      <x:c r="E2109" s="39" t="n">
        <x:v>46258</x:v>
      </x:c>
      <x:c r="F2109" s="42" t="n">
        <x:v>34525.85</x:v>
      </x:c>
      <x:c r="G2109" s="42" t="n">
        <x:v>1726.29</x:v>
      </x:c>
      <x:c r="H2109" s="42" t="n">
        <x:v>211107.45</x:v>
      </x:c>
      <x:c r="I2109" s="39" t="n">
        <x:v>46026</x:v>
      </x:c>
    </x:row>
    <x:row r="2110">
      <x:c r="A2110" s="21" t="str">
        <x:v>SYN-0603</x:v>
      </x:c>
      <x:c r="B2110" s="21" t="str">
        <x:v>Synthetic Supplier 0603 LLC</x:v>
      </x:c>
      <x:c r="C2110" s="38" t="str">
        <x:f>"900 000 000 000 603"</x:f>
        <x:v>900 000 000 000 603</x:v>
      </x:c>
      <x:c r="D2110" s="21" t="str">
        <x:v>SYN-0603-INV-02</x:v>
      </x:c>
      <x:c r="E2110" s="39" t="n">
        <x:v>45945</x:v>
      </x:c>
      <x:c r="F2110" s="42" t="n">
        <x:v>41538.73</x:v>
      </x:c>
      <x:c r="G2110" s="42" t="n">
        <x:v>2076.94</x:v>
      </x:c>
      <x:c r="H2110" s="42" t="n">
        <x:v>211107.45</x:v>
      </x:c>
      <x:c r="I2110" s="39" t="n">
        <x:v>46026</x:v>
      </x:c>
    </x:row>
    <x:row r="2111">
      <x:c r="A2111" s="21" t="str">
        <x:v>SYN-0603</x:v>
      </x:c>
      <x:c r="B2111" s="21" t="str">
        <x:v>Synthetic Supplier 0603 LLC</x:v>
      </x:c>
      <x:c r="C2111" s="38" t="str">
        <x:f>"900 000 000 000 603"</x:f>
        <x:v>900 000 000 000 603</x:v>
      </x:c>
      <x:c r="D2111" s="21" t="str">
        <x:v>SYN-0603-INV-03</x:v>
      </x:c>
      <x:c r="E2111" s="39" t="n">
        <x:v>45992</x:v>
      </x:c>
      <x:c r="F2111" s="42" t="n">
        <x:v>51531.17</x:v>
      </x:c>
      <x:c r="G2111" s="42" t="n">
        <x:v>2576.56</x:v>
      </x:c>
      <x:c r="H2111" s="42" t="n">
        <x:v>211107.45</x:v>
      </x:c>
      <x:c r="I2111" s="39" t="n">
        <x:v>46026</x:v>
      </x:c>
    </x:row>
    <x:row r="2112">
      <x:c r="A2112" s="21" t="str">
        <x:v>SYN-0603</x:v>
      </x:c>
      <x:c r="B2112" s="21" t="str">
        <x:v>Synthetic Supplier 0603 LLC</x:v>
      </x:c>
      <x:c r="C2112" s="38" t="str">
        <x:f>"900 000 000 000 603"</x:f>
        <x:v>900 000 000 000 603</x:v>
      </x:c>
      <x:c r="D2112" s="21" t="str">
        <x:v>SYN-0603-INV-04</x:v>
      </x:c>
      <x:c r="E2112" s="39" t="n">
        <x:v>46039</x:v>
      </x:c>
      <x:c r="F2112" s="42" t="n">
        <x:v>57088.95</x:v>
      </x:c>
      <x:c r="G2112" s="42" t="n">
        <x:v>2854.45</x:v>
      </x:c>
      <x:c r="H2112" s="42" t="n">
        <x:v>211107.45</x:v>
      </x:c>
      <x:c r="I2112" s="39" t="n">
        <x:v>46026</x:v>
      </x:c>
    </x:row>
    <x:row r="2113">
      <x:c r="A2113" s="21" t="str">
        <x:v>SYN-0603</x:v>
      </x:c>
      <x:c r="B2113" s="21" t="str">
        <x:v>Synthetic Supplier 0603 LLC</x:v>
      </x:c>
      <x:c r="C2113" s="38" t="str">
        <x:f>"900 000 000 000 603"</x:f>
        <x:v>900 000 000 000 603</x:v>
      </x:c>
      <x:c r="D2113" s="21" t="str">
        <x:v>SYN-0603-INV-05</x:v>
      </x:c>
      <x:c r="E2113" s="39" t="n">
        <x:v>46086</x:v>
      </x:c>
      <x:c r="F2113" s="42" t="n">
        <x:v>49879.14</x:v>
      </x:c>
      <x:c r="G2113" s="42" t="n">
        <x:v>2493.96</x:v>
      </x:c>
      <x:c r="H2113" s="42" t="n">
        <x:v>211107.45</x:v>
      </x:c>
      <x:c r="I2113" s="39" t="n">
        <x:v>46026</x:v>
      </x:c>
    </x:row>
    <x:row r="2114">
      <x:c r="A2114" s="21" t="str">
        <x:v>SYN-0604</x:v>
      </x:c>
      <x:c r="B2114" s="21" t="str">
        <x:v>Synthetic Supplier 0604 LLC</x:v>
      </x:c>
      <x:c r="C2114" s="38" t="str">
        <x:f>"900 000 000 000 604"</x:f>
        <x:v>900 000 000 000 604</x:v>
      </x:c>
      <x:c r="D2114" s="21" t="str">
        <x:v>SYN-0604-INV-01</x:v>
      </x:c>
      <x:c r="E2114" s="39" t="n">
        <x:v>46271</x:v>
      </x:c>
      <x:c r="F2114" s="42" t="n">
        <x:v>66849.98</x:v>
      </x:c>
      <x:c r="G2114" s="42" t="n">
        <x:v>3342.5</x:v>
      </x:c>
      <x:c r="H2114" s="42" t="n">
        <x:v>128169.48</x:v>
      </x:c>
      <x:c r="I2114" s="39" t="n">
        <x:v>45693</x:v>
      </x:c>
    </x:row>
    <x:row r="2115">
      <x:c r="A2115" s="21" t="str">
        <x:v>SYN-0604</x:v>
      </x:c>
      <x:c r="B2115" s="21" t="str">
        <x:v>Synthetic Supplier 0604 LLC</x:v>
      </x:c>
      <x:c r="C2115" s="38" t="str">
        <x:f>"900 000 000 000 604"</x:f>
        <x:v>900 000 000 000 604</x:v>
      </x:c>
      <x:c r="D2115" s="21" t="str">
        <x:v>SYN-0604-INV-02</x:v>
      </x:c>
      <x:c r="E2115" s="39" t="n">
        <x:v>45958</x:v>
      </x:c>
      <x:c r="F2115" s="42" t="n">
        <x:v>75560.56</x:v>
      </x:c>
      <x:c r="G2115" s="42" t="n">
        <x:v>3778.03</x:v>
      </x:c>
      <x:c r="H2115" s="42" t="n">
        <x:v>128169.48</x:v>
      </x:c>
      <x:c r="I2115" s="39" t="n">
        <x:v>45693</x:v>
      </x:c>
    </x:row>
    <x:row r="2116">
      <x:c r="A2116" s="21" t="str">
        <x:v>SYN-0605</x:v>
      </x:c>
      <x:c r="B2116" s="21" t="str">
        <x:v>Synthetic Supplier 0605 LLC</x:v>
      </x:c>
      <x:c r="C2116" s="38" t="str">
        <x:f>"900 000 000 000 605"</x:f>
        <x:v>900 000 000 000 605</x:v>
      </x:c>
      <x:c r="D2116" s="21" t="str">
        <x:v>SYN-0605-INV-01</x:v>
      </x:c>
      <x:c r="E2116" s="39" t="n">
        <x:v>46284</x:v>
      </x:c>
      <x:c r="F2116" s="42" t="n">
        <x:v>77481.05</x:v>
      </x:c>
      <x:c r="G2116" s="42" t="n">
        <x:v>3874.05</x:v>
      </x:c>
      <x:c r="H2116" s="42" t="n">
        <x:v>194323.12</x:v>
      </x:c>
      <x:c r="I2116" s="39"/>
    </x:row>
    <x:row r="2117">
      <x:c r="A2117" s="21" t="str">
        <x:v>SYN-0605</x:v>
      </x:c>
      <x:c r="B2117" s="21" t="str">
        <x:v>Synthetic Supplier 0605 LLC</x:v>
      </x:c>
      <x:c r="C2117" s="38" t="str">
        <x:f>"900 000 000 000 605"</x:f>
        <x:v>900 000 000 000 605</x:v>
      </x:c>
      <x:c r="D2117" s="21" t="str">
        <x:v>SYN-0605-INV-02</x:v>
      </x:c>
      <x:c r="E2117" s="39" t="n">
        <x:v>45971</x:v>
      </x:c>
      <x:c r="F2117" s="42" t="n">
        <x:v>60690.48</x:v>
      </x:c>
      <x:c r="G2117" s="42" t="n">
        <x:v>3034.52</x:v>
      </x:c>
      <x:c r="H2117" s="42" t="n">
        <x:v>194323.12</x:v>
      </x:c>
      <x:c r="I2117" s="39"/>
    </x:row>
    <x:row r="2118">
      <x:c r="A2118" s="21" t="str">
        <x:v>SYN-0605</x:v>
      </x:c>
      <x:c r="B2118" s="21" t="str">
        <x:v>Synthetic Supplier 0605 LLC</x:v>
      </x:c>
      <x:c r="C2118" s="38" t="str">
        <x:f>"900 000 000 000 605"</x:f>
        <x:v>900 000 000 000 605</x:v>
      </x:c>
      <x:c r="D2118" s="21" t="str">
        <x:v>SYN-0605-INV-03</x:v>
      </x:c>
      <x:c r="E2118" s="39" t="n">
        <x:v>46018</x:v>
      </x:c>
      <x:c r="F2118" s="42" t="n">
        <x:v>77743.04</x:v>
      </x:c>
      <x:c r="G2118" s="42" t="n">
        <x:v>3887.15</x:v>
      </x:c>
      <x:c r="H2118" s="42" t="n">
        <x:v>194323.12</x:v>
      </x:c>
      <x:c r="I2118" s="39"/>
    </x:row>
    <x:row r="2119">
      <x:c r="A2119" s="21" t="str">
        <x:v>SYN-0606</x:v>
      </x:c>
      <x:c r="B2119" s="21" t="str">
        <x:v>Synthetic Supplier 0606 LLC</x:v>
      </x:c>
      <x:c r="C2119" s="38" t="str">
        <x:f>"900 000 000 000 606"</x:f>
        <x:v>900 000 000 000 606</x:v>
      </x:c>
      <x:c r="D2119" s="21" t="str">
        <x:v>SYN-0606-INV-01</x:v>
      </x:c>
      <x:c r="E2119" s="39" t="n">
        <x:v>45937</x:v>
      </x:c>
      <x:c r="F2119" s="42" t="n">
        <x:v>44125.65</x:v>
      </x:c>
      <x:c r="G2119" s="42" t="n">
        <x:v>2206.28</x:v>
      </x:c>
      <x:c r="H2119" s="42" t="n">
        <x:v>132945.33</x:v>
      </x:c>
      <x:c r="I2119" s="39" t="n">
        <x:v>45754</x:v>
      </x:c>
    </x:row>
    <x:row r="2120">
      <x:c r="A2120" s="21" t="str">
        <x:v>SYN-0606</x:v>
      </x:c>
      <x:c r="B2120" s="21" t="str">
        <x:v>Synthetic Supplier 0606 LLC</x:v>
      </x:c>
      <x:c r="C2120" s="38" t="str">
        <x:f>"900 000 000 000 606"</x:f>
        <x:v>900 000 000 000 606</x:v>
      </x:c>
      <x:c r="D2120" s="21" t="str">
        <x:v>SYN-0606-INV-02</x:v>
      </x:c>
      <x:c r="E2120" s="39" t="n">
        <x:v>45984</x:v>
      </x:c>
      <x:c r="F2120" s="42" t="n">
        <x:v>42539.85</x:v>
      </x:c>
      <x:c r="G2120" s="42" t="n">
        <x:v>2126.99</x:v>
      </x:c>
      <x:c r="H2120" s="42" t="n">
        <x:v>132945.33</x:v>
      </x:c>
      <x:c r="I2120" s="39" t="n">
        <x:v>45754</x:v>
      </x:c>
    </x:row>
    <x:row r="2121">
      <x:c r="A2121" s="21" t="str">
        <x:v>SYN-0606</x:v>
      </x:c>
      <x:c r="B2121" s="21" t="str">
        <x:v>Synthetic Supplier 0606 LLC</x:v>
      </x:c>
      <x:c r="C2121" s="38" t="str">
        <x:f>"900 000 000 000 606"</x:f>
        <x:v>900 000 000 000 606</x:v>
      </x:c>
      <x:c r="D2121" s="21" t="str">
        <x:v>SYN-0606-INV-03</x:v>
      </x:c>
      <x:c r="E2121" s="39" t="n">
        <x:v>46031</x:v>
      </x:c>
      <x:c r="F2121" s="42" t="n">
        <x:v>22210.52</x:v>
      </x:c>
      <x:c r="G2121" s="42" t="n">
        <x:v>1110.53</x:v>
      </x:c>
      <x:c r="H2121" s="42" t="n">
        <x:v>132945.33</x:v>
      </x:c>
      <x:c r="I2121" s="39" t="n">
        <x:v>45754</x:v>
      </x:c>
    </x:row>
    <x:row r="2122">
      <x:c r="A2122" s="21" t="str">
        <x:v>SYN-0606</x:v>
      </x:c>
      <x:c r="B2122" s="21" t="str">
        <x:v>Synthetic Supplier 0606 LLC</x:v>
      </x:c>
      <x:c r="C2122" s="38" t="str">
        <x:f>"900 000 000 000 606"</x:f>
        <x:v>900 000 000 000 606</x:v>
      </x:c>
      <x:c r="D2122" s="21" t="str">
        <x:v>SYN-0606-INV-04</x:v>
      </x:c>
      <x:c r="E2122" s="39" t="n">
        <x:v>46078</x:v>
      </x:c>
      <x:c r="F2122" s="42" t="n">
        <x:v>38841.01</x:v>
      </x:c>
      <x:c r="G2122" s="42" t="n">
        <x:v>1942.05</x:v>
      </x:c>
      <x:c r="H2122" s="42" t="n">
        <x:v>132945.33</x:v>
      </x:c>
      <x:c r="I2122" s="39" t="n">
        <x:v>45754</x:v>
      </x:c>
    </x:row>
    <x:row r="2123">
      <x:c r="A2123" s="21" t="str">
        <x:v>SYN-0607</x:v>
      </x:c>
      <x:c r="B2123" s="21" t="str">
        <x:v>Synthetic Supplier 0607 LLC</x:v>
      </x:c>
      <x:c r="C2123" s="38" t="str">
        <x:f>"900 000 000 000 607"</x:f>
        <x:v>900 000 000 000 607</x:v>
      </x:c>
      <x:c r="D2123" s="21" t="str">
        <x:v>SYN-0607-INV-01</x:v>
      </x:c>
      <x:c r="E2123" s="39" t="n">
        <x:v>45950</x:v>
      </x:c>
      <x:c r="F2123" s="42" t="n">
        <x:v>66580.47</x:v>
      </x:c>
      <x:c r="G2123" s="42" t="n">
        <x:v>3329.02</x:v>
      </x:c>
      <x:c r="H2123" s="42" t="n">
        <x:v>280731.47</x:v>
      </x:c>
      <x:c r="I2123" s="39" t="n">
        <x:v>46150</x:v>
      </x:c>
    </x:row>
    <x:row r="2124">
      <x:c r="A2124" s="21" t="str">
        <x:v>SYN-0607</x:v>
      </x:c>
      <x:c r="B2124" s="21" t="str">
        <x:v>Synthetic Supplier 0607 LLC</x:v>
      </x:c>
      <x:c r="C2124" s="38" t="str">
        <x:f>"900 000 000 000 607"</x:f>
        <x:v>900 000 000 000 607</x:v>
      </x:c>
      <x:c r="D2124" s="21" t="str">
        <x:v>SYN-0607-INV-02</x:v>
      </x:c>
      <x:c r="E2124" s="39" t="n">
        <x:v>45997</x:v>
      </x:c>
      <x:c r="F2124" s="42" t="n">
        <x:v>68650.05</x:v>
      </x:c>
      <x:c r="G2124" s="42" t="n">
        <x:v>3432.5</x:v>
      </x:c>
      <x:c r="H2124" s="42" t="n">
        <x:v>280731.47</x:v>
      </x:c>
      <x:c r="I2124" s="39" t="n">
        <x:v>46150</x:v>
      </x:c>
    </x:row>
    <x:row r="2125">
      <x:c r="A2125" s="21" t="str">
        <x:v>SYN-0607</x:v>
      </x:c>
      <x:c r="B2125" s="21" t="str">
        <x:v>Synthetic Supplier 0607 LLC</x:v>
      </x:c>
      <x:c r="C2125" s="38" t="str">
        <x:f>"900 000 000 000 607"</x:f>
        <x:v>900 000 000 000 607</x:v>
      </x:c>
      <x:c r="D2125" s="21" t="str">
        <x:v>SYN-0607-INV-03</x:v>
      </x:c>
      <x:c r="E2125" s="39" t="n">
        <x:v>46044</x:v>
      </x:c>
      <x:c r="F2125" s="42" t="n">
        <x:v>41501.06</x:v>
      </x:c>
      <x:c r="G2125" s="42" t="n">
        <x:v>2075.05</x:v>
      </x:c>
      <x:c r="H2125" s="42" t="n">
        <x:v>280731.47</x:v>
      </x:c>
      <x:c r="I2125" s="39" t="n">
        <x:v>46150</x:v>
      </x:c>
    </x:row>
    <x:row r="2126">
      <x:c r="A2126" s="21" t="str">
        <x:v>SYN-0607</x:v>
      </x:c>
      <x:c r="B2126" s="21" t="str">
        <x:v>Synthetic Supplier 0607 LLC</x:v>
      </x:c>
      <x:c r="C2126" s="38" t="str">
        <x:f>"900 000 000 000 607"</x:f>
        <x:v>900 000 000 000 607</x:v>
      </x:c>
      <x:c r="D2126" s="21" t="str">
        <x:v>SYN-0607-INV-04</x:v>
      </x:c>
      <x:c r="E2126" s="39" t="n">
        <x:v>46091</x:v>
      </x:c>
      <x:c r="F2126" s="42" t="n">
        <x:v>71342.15</x:v>
      </x:c>
      <x:c r="G2126" s="42" t="n">
        <x:v>3567.11</x:v>
      </x:c>
      <x:c r="H2126" s="42" t="n">
        <x:v>280731.47</x:v>
      </x:c>
      <x:c r="I2126" s="39" t="n">
        <x:v>46150</x:v>
      </x:c>
    </x:row>
    <x:row r="2127">
      <x:c r="A2127" s="21" t="str">
        <x:v>SYN-0607</x:v>
      </x:c>
      <x:c r="B2127" s="21" t="str">
        <x:v>Synthetic Supplier 0607 LLC</x:v>
      </x:c>
      <x:c r="C2127" s="38" t="str">
        <x:f>"900 000 000 000 607"</x:f>
        <x:v>900 000 000 000 607</x:v>
      </x:c>
      <x:c r="D2127" s="21" t="str">
        <x:v>SYN-0607-INV-05</x:v>
      </x:c>
      <x:c r="E2127" s="39" t="n">
        <x:v>46138</x:v>
      </x:c>
      <x:c r="F2127" s="42" t="n">
        <x:v>63850.12</x:v>
      </x:c>
      <x:c r="G2127" s="42" t="n">
        <x:v>3192.51</x:v>
      </x:c>
      <x:c r="H2127" s="42" t="n">
        <x:v>280731.47</x:v>
      </x:c>
      <x:c r="I2127" s="39" t="n">
        <x:v>46150</x:v>
      </x:c>
    </x:row>
    <x:row r="2128">
      <x:c r="A2128" s="21" t="str">
        <x:v>SYN-0608</x:v>
      </x:c>
      <x:c r="B2128" s="21" t="str">
        <x:v>Synthetic Supplier 0608 LLC</x:v>
      </x:c>
      <x:c r="C2128" s="38" t="str">
        <x:f>"900 000 000 000 608"</x:f>
        <x:v>900 000 000 000 608</x:v>
      </x:c>
      <x:c r="D2128" s="21" t="str">
        <x:v>SYN-0608-INV-01</x:v>
      </x:c>
      <x:c r="E2128" s="39" t="n">
        <x:v>45963</x:v>
      </x:c>
      <x:c r="F2128" s="42" t="n">
        <x:v>136976.28</x:v>
      </x:c>
      <x:c r="G2128" s="42" t="n">
        <x:v>6848.81</x:v>
      </x:c>
      <x:c r="H2128" s="42" t="n">
        <x:v>216035.12</x:v>
      </x:c>
      <x:c r="I2128" s="39" t="n">
        <x:v>45817</x:v>
      </x:c>
    </x:row>
    <x:row r="2129">
      <x:c r="A2129" s="21" t="str">
        <x:v>SYN-0608</x:v>
      </x:c>
      <x:c r="B2129" s="21" t="str">
        <x:v>Synthetic Supplier 0608 LLC</x:v>
      </x:c>
      <x:c r="C2129" s="38" t="str">
        <x:f>"900 000 000 000 608"</x:f>
        <x:v>900 000 000 000 608</x:v>
      </x:c>
      <x:c r="D2129" s="21" t="str">
        <x:v>SYN-0608-INV-02</x:v>
      </x:c>
      <x:c r="E2129" s="39" t="n">
        <x:v>46010</x:v>
      </x:c>
      <x:c r="F2129" s="42" t="n">
        <x:v>103062.74</x:v>
      </x:c>
      <x:c r="G2129" s="42" t="n">
        <x:v>5153.14</x:v>
      </x:c>
      <x:c r="H2129" s="42" t="n">
        <x:v>216035.12</x:v>
      </x:c>
      <x:c r="I2129" s="39" t="n">
        <x:v>45817</x:v>
      </x:c>
    </x:row>
    <x:row r="2130">
      <x:c r="A2130" s="21" t="str">
        <x:v>SYN-0609</x:v>
      </x:c>
      <x:c r="B2130" s="21" t="str">
        <x:v>Synthetic Supplier 0609 LLC</x:v>
      </x:c>
      <x:c r="C2130" s="38" t="str">
        <x:f>"900 000 000 000 609"</x:f>
        <x:v>900 000 000 000 609</x:v>
      </x:c>
      <x:c r="D2130" s="21" t="str">
        <x:v>SYN-0609-INV-01</x:v>
      </x:c>
      <x:c r="E2130" s="39" t="n">
        <x:v>45976</x:v>
      </x:c>
      <x:c r="F2130" s="42" t="n">
        <x:v>43962.7</x:v>
      </x:c>
      <x:c r="G2130" s="42" t="n">
        <x:v>2198.14</x:v>
      </x:c>
      <x:c r="H2130" s="42" t="n">
        <x:v>140443.97</x:v>
      </x:c>
      <x:c r="I2130" s="39" t="n">
        <x:v>46213</x:v>
      </x:c>
    </x:row>
    <x:row r="2131">
      <x:c r="A2131" s="21" t="str">
        <x:v>SYN-0609</x:v>
      </x:c>
      <x:c r="B2131" s="21" t="str">
        <x:v>Synthetic Supplier 0609 LLC</x:v>
      </x:c>
      <x:c r="C2131" s="38" t="str">
        <x:f>"900 000 000 000 609"</x:f>
        <x:v>900 000 000 000 609</x:v>
      </x:c>
      <x:c r="D2131" s="21" t="str">
        <x:v>SYN-0609-INV-02</x:v>
      </x:c>
      <x:c r="E2131" s="39" t="n">
        <x:v>46023</x:v>
      </x:c>
      <x:c r="F2131" s="42" t="n">
        <x:v>40363.05</x:v>
      </x:c>
      <x:c r="G2131" s="42" t="n">
        <x:v>2018.15</x:v>
      </x:c>
      <x:c r="H2131" s="42" t="n">
        <x:v>140443.97</x:v>
      </x:c>
      <x:c r="I2131" s="39" t="n">
        <x:v>46213</x:v>
      </x:c>
    </x:row>
    <x:row r="2132">
      <x:c r="A2132" s="21" t="str">
        <x:v>SYN-0609</x:v>
      </x:c>
      <x:c r="B2132" s="21" t="str">
        <x:v>Synthetic Supplier 0609 LLC</x:v>
      </x:c>
      <x:c r="C2132" s="38" t="str">
        <x:f>"900 000 000 000 609"</x:f>
        <x:v>900 000 000 000 609</x:v>
      </x:c>
      <x:c r="D2132" s="21" t="str">
        <x:v>SYN-0609-INV-03</x:v>
      </x:c>
      <x:c r="E2132" s="39" t="n">
        <x:v>46070</x:v>
      </x:c>
      <x:c r="F2132" s="42" t="n">
        <x:v>37799.44</x:v>
      </x:c>
      <x:c r="G2132" s="42" t="n">
        <x:v>1889.97</x:v>
      </x:c>
      <x:c r="H2132" s="42" t="n">
        <x:v>140443.97</x:v>
      </x:c>
      <x:c r="I2132" s="39" t="n">
        <x:v>46213</x:v>
      </x:c>
    </x:row>
    <x:row r="2133">
      <x:c r="A2133" s="21" t="str">
        <x:v>SYN-0610</x:v>
      </x:c>
      <x:c r="B2133" s="21" t="str">
        <x:v>Synthetic Supplier 0610 LLC</x:v>
      </x:c>
      <x:c r="C2133" s="38" t="str">
        <x:f>"900 000 000 000 610"</x:f>
        <x:v>900 000 000 000 610</x:v>
      </x:c>
      <x:c r="D2133" s="21" t="str">
        <x:v>SYN-0610-INV-01</x:v>
      </x:c>
      <x:c r="E2133" s="39" t="n">
        <x:v>45989</x:v>
      </x:c>
      <x:c r="F2133" s="42" t="n">
        <x:v>71626.16</x:v>
      </x:c>
      <x:c r="G2133" s="42" t="n">
        <x:v>3581.31</x:v>
      </x:c>
      <x:c r="H2133" s="42" t="n">
        <x:v>267316.44</x:v>
      </x:c>
      <x:c r="I2133" s="39"/>
    </x:row>
    <x:row r="2134">
      <x:c r="A2134" s="21" t="str">
        <x:v>SYN-0610</x:v>
      </x:c>
      <x:c r="B2134" s="21" t="str">
        <x:v>Synthetic Supplier 0610 LLC</x:v>
      </x:c>
      <x:c r="C2134" s="38" t="str">
        <x:f>"900 000 000 000 610"</x:f>
        <x:v>900 000 000 000 610</x:v>
      </x:c>
      <x:c r="D2134" s="21" t="str">
        <x:v>SYN-0610-INV-02</x:v>
      </x:c>
      <x:c r="E2134" s="39" t="n">
        <x:v>46036</x:v>
      </x:c>
      <x:c r="F2134" s="42" t="n">
        <x:v>75994.06</x:v>
      </x:c>
      <x:c r="G2134" s="42" t="n">
        <x:v>3799.7</x:v>
      </x:c>
      <x:c r="H2134" s="42" t="n">
        <x:v>267316.44</x:v>
      </x:c>
      <x:c r="I2134" s="39"/>
    </x:row>
    <x:row r="2135">
      <x:c r="A2135" s="21" t="str">
        <x:v>SYN-0610</x:v>
      </x:c>
      <x:c r="B2135" s="21" t="str">
        <x:v>Synthetic Supplier 0610 LLC</x:v>
      </x:c>
      <x:c r="C2135" s="38" t="str">
        <x:f>"900 000 000 000 610"</x:f>
        <x:v>900 000 000 000 610</x:v>
      </x:c>
      <x:c r="D2135" s="21" t="str">
        <x:v>SYN-0610-INV-03</x:v>
      </x:c>
      <x:c r="E2135" s="39" t="n">
        <x:v>46083</x:v>
      </x:c>
      <x:c r="F2135" s="42" t="n">
        <x:v>74128.81</x:v>
      </x:c>
      <x:c r="G2135" s="42" t="n">
        <x:v>3706.44</x:v>
      </x:c>
      <x:c r="H2135" s="42" t="n">
        <x:v>267316.44</x:v>
      </x:c>
      <x:c r="I2135" s="39"/>
    </x:row>
    <x:row r="2136">
      <x:c r="A2136" s="21" t="str">
        <x:v>SYN-0610</x:v>
      </x:c>
      <x:c r="B2136" s="21" t="str">
        <x:v>Synthetic Supplier 0610 LLC</x:v>
      </x:c>
      <x:c r="C2136" s="38" t="str">
        <x:f>"900 000 000 000 610"</x:f>
        <x:v>900 000 000 000 610</x:v>
      </x:c>
      <x:c r="D2136" s="21" t="str">
        <x:v>SYN-0610-INV-04</x:v>
      </x:c>
      <x:c r="E2136" s="39" t="n">
        <x:v>46130</x:v>
      </x:c>
      <x:c r="F2136" s="42" t="n">
        <x:v>75269.24</x:v>
      </x:c>
      <x:c r="G2136" s="42" t="n">
        <x:v>3763.46</x:v>
      </x:c>
      <x:c r="H2136" s="42" t="n">
        <x:v>267316.44</x:v>
      </x:c>
      <x:c r="I2136" s="39"/>
    </x:row>
    <x:row r="2137">
      <x:c r="A2137" s="21" t="str">
        <x:v>SYN-0611</x:v>
      </x:c>
      <x:c r="B2137" s="21" t="str">
        <x:v>Synthetic Supplier 0611 LLC</x:v>
      </x:c>
      <x:c r="C2137" s="38" t="str">
        <x:f>"900 000 000 000 611"</x:f>
        <x:v>900 000 000 000 611</x:v>
      </x:c>
      <x:c r="D2137" s="21" t="str">
        <x:v>SYN-0611-INV-01</x:v>
      </x:c>
      <x:c r="E2137" s="39" t="n">
        <x:v>46002</x:v>
      </x:c>
      <x:c r="F2137" s="42" t="n">
        <x:v>39386.71</x:v>
      </x:c>
      <x:c r="G2137" s="42" t="n">
        <x:v>1969.34</x:v>
      </x:c>
      <x:c r="H2137" s="42" t="n">
        <x:v>139309.61</x:v>
      </x:c>
      <x:c r="I2137" s="39" t="n">
        <x:v>46277</x:v>
      </x:c>
    </x:row>
    <x:row r="2138">
      <x:c r="A2138" s="21" t="str">
        <x:v>SYN-0611</x:v>
      </x:c>
      <x:c r="B2138" s="21" t="str">
        <x:v>Synthetic Supplier 0611 LLC</x:v>
      </x:c>
      <x:c r="C2138" s="38" t="str">
        <x:f>"900 000 000 000 611"</x:f>
        <x:v>900 000 000 000 611</x:v>
      </x:c>
      <x:c r="D2138" s="21" t="str">
        <x:v>SYN-0611-INV-02</x:v>
      </x:c>
      <x:c r="E2138" s="39" t="n">
        <x:v>46049</x:v>
      </x:c>
      <x:c r="F2138" s="42" t="n">
        <x:v>34882.53</x:v>
      </x:c>
      <x:c r="G2138" s="42" t="n">
        <x:v>1744.13</x:v>
      </x:c>
      <x:c r="H2138" s="42" t="n">
        <x:v>139309.61</x:v>
      </x:c>
      <x:c r="I2138" s="39" t="n">
        <x:v>46277</x:v>
      </x:c>
    </x:row>
    <x:row r="2139">
      <x:c r="A2139" s="21" t="str">
        <x:v>SYN-0611</x:v>
      </x:c>
      <x:c r="B2139" s="21" t="str">
        <x:v>Synthetic Supplier 0611 LLC</x:v>
      </x:c>
      <x:c r="C2139" s="38" t="str">
        <x:f>"900 000 000 000 611"</x:f>
        <x:v>900 000 000 000 611</x:v>
      </x:c>
      <x:c r="D2139" s="21" t="str">
        <x:v>SYN-0611-INV-03</x:v>
      </x:c>
      <x:c r="E2139" s="39" t="n">
        <x:v>46096</x:v>
      </x:c>
      <x:c r="F2139" s="42" t="n">
        <x:v>28209.91</x:v>
      </x:c>
      <x:c r="G2139" s="42" t="n">
        <x:v>1410.5</x:v>
      </x:c>
      <x:c r="H2139" s="42" t="n">
        <x:v>139309.61</x:v>
      </x:c>
      <x:c r="I2139" s="39" t="n">
        <x:v>46277</x:v>
      </x:c>
    </x:row>
    <x:row r="2140">
      <x:c r="A2140" s="21" t="str">
        <x:v>SYN-0611</x:v>
      </x:c>
      <x:c r="B2140" s="21" t="str">
        <x:v>Synthetic Supplier 0611 LLC</x:v>
      </x:c>
      <x:c r="C2140" s="38" t="str">
        <x:f>"900 000 000 000 611"</x:f>
        <x:v>900 000 000 000 611</x:v>
      </x:c>
      <x:c r="D2140" s="21" t="str">
        <x:v>SYN-0611-INV-04</x:v>
      </x:c>
      <x:c r="E2140" s="39" t="n">
        <x:v>46143</x:v>
      </x:c>
      <x:c r="F2140" s="42" t="n">
        <x:v>18854.11</x:v>
      </x:c>
      <x:c r="G2140" s="42" t="n">
        <x:v>942.71</x:v>
      </x:c>
      <x:c r="H2140" s="42" t="n">
        <x:v>139309.61</x:v>
      </x:c>
      <x:c r="I2140" s="39" t="n">
        <x:v>46277</x:v>
      </x:c>
    </x:row>
    <x:row r="2141">
      <x:c r="A2141" s="21" t="str">
        <x:v>SYN-0611</x:v>
      </x:c>
      <x:c r="B2141" s="21" t="str">
        <x:v>Synthetic Supplier 0611 LLC</x:v>
      </x:c>
      <x:c r="C2141" s="38" t="str">
        <x:f>"900 000 000 000 611"</x:f>
        <x:v>900 000 000 000 611</x:v>
      </x:c>
      <x:c r="D2141" s="21" t="str">
        <x:v>SYN-0611-INV-05</x:v>
      </x:c>
      <x:c r="E2141" s="39" t="n">
        <x:v>46190</x:v>
      </x:c>
      <x:c r="F2141" s="42" t="n">
        <x:v>33455.21</x:v>
      </x:c>
      <x:c r="G2141" s="42" t="n">
        <x:v>1672.76</x:v>
      </x:c>
      <x:c r="H2141" s="42" t="n">
        <x:v>139309.61</x:v>
      </x:c>
      <x:c r="I2141" s="39" t="n">
        <x:v>46277</x:v>
      </x:c>
    </x:row>
    <x:row r="2142">
      <x:c r="A2142" s="21" t="str">
        <x:v>SYN-0612</x:v>
      </x:c>
      <x:c r="B2142" s="21" t="str">
        <x:v>Synthetic Supplier 0612 LLC</x:v>
      </x:c>
      <x:c r="C2142" s="38" t="str">
        <x:f>"900 000 000 000 612"</x:f>
        <x:v>900 000 000 000 612</x:v>
      </x:c>
      <x:c r="D2142" s="21" t="str">
        <x:v>SYN-0612-INV-01</x:v>
      </x:c>
      <x:c r="E2142" s="39" t="n">
        <x:v>46015</x:v>
      </x:c>
      <x:c r="F2142" s="42" t="n">
        <x:v>66371.68</x:v>
      </x:c>
      <x:c r="G2142" s="42" t="n">
        <x:v>3318.58</x:v>
      </x:c>
      <x:c r="H2142" s="42" t="n">
        <x:v>99978.27</x:v>
      </x:c>
      <x:c r="I2142" s="39" t="n">
        <x:v>45670</x:v>
      </x:c>
    </x:row>
    <x:row r="2143">
      <x:c r="A2143" s="21" t="str">
        <x:v>SYN-0612</x:v>
      </x:c>
      <x:c r="B2143" s="21" t="str">
        <x:v>Synthetic Supplier 0612 LLC</x:v>
      </x:c>
      <x:c r="C2143" s="38" t="str">
        <x:f>"900 000 000 000 612"</x:f>
        <x:v>900 000 000 000 612</x:v>
      </x:c>
      <x:c r="D2143" s="21" t="str">
        <x:v>SYN-0612-INV-02</x:v>
      </x:c>
      <x:c r="E2143" s="39" t="n">
        <x:v>46062</x:v>
      </x:c>
      <x:c r="F2143" s="42" t="n">
        <x:v>44715.28</x:v>
      </x:c>
      <x:c r="G2143" s="42" t="n">
        <x:v>2235.76</x:v>
      </x:c>
      <x:c r="H2143" s="42" t="n">
        <x:v>99978.27</x:v>
      </x:c>
      <x:c r="I2143" s="39" t="n">
        <x:v>45670</x:v>
      </x:c>
    </x:row>
    <x:row r="2144">
      <x:c r="A2144" s="21" t="str">
        <x:v>SYN-0613</x:v>
      </x:c>
      <x:c r="B2144" s="21" t="str">
        <x:v>Synthetic Supplier 0613 LLC</x:v>
      </x:c>
      <x:c r="C2144" s="38" t="str">
        <x:f>"900 000 000 000 613"</x:f>
        <x:v>900 000 000 000 613</x:v>
      </x:c>
      <x:c r="D2144" s="21" t="str">
        <x:v>SYN-0613-INV-01</x:v>
      </x:c>
      <x:c r="E2144" s="39" t="n">
        <x:v>46028</x:v>
      </x:c>
      <x:c r="F2144" s="42" t="n">
        <x:v>110648.16</x:v>
      </x:c>
      <x:c r="G2144" s="42" t="n">
        <x:v>5532.41</x:v>
      </x:c>
      <x:c r="H2144" s="42" t="n">
        <x:v>246384.75</x:v>
      </x:c>
      <x:c r="I2144" s="39" t="n">
        <x:v>46067</x:v>
      </x:c>
    </x:row>
    <x:row r="2145">
      <x:c r="A2145" s="21" t="str">
        <x:v>SYN-0613</x:v>
      </x:c>
      <x:c r="B2145" s="21" t="str">
        <x:v>Synthetic Supplier 0613 LLC</x:v>
      </x:c>
      <x:c r="C2145" s="38" t="str">
        <x:f>"900 000 000 000 613"</x:f>
        <x:v>900 000 000 000 613</x:v>
      </x:c>
      <x:c r="D2145" s="21" t="str">
        <x:v>SYN-0613-INV-02</x:v>
      </x:c>
      <x:c r="E2145" s="39" t="n">
        <x:v>46075</x:v>
      </x:c>
      <x:c r="F2145" s="42" t="n">
        <x:v>66924.85</x:v>
      </x:c>
      <x:c r="G2145" s="42" t="n">
        <x:v>3346.24</x:v>
      </x:c>
      <x:c r="H2145" s="42" t="n">
        <x:v>246384.75</x:v>
      </x:c>
      <x:c r="I2145" s="39" t="n">
        <x:v>46067</x:v>
      </x:c>
    </x:row>
    <x:row r="2146">
      <x:c r="A2146" s="21" t="str">
        <x:v>SYN-0613</x:v>
      </x:c>
      <x:c r="B2146" s="21" t="str">
        <x:v>Synthetic Supplier 0613 LLC</x:v>
      </x:c>
      <x:c r="C2146" s="38" t="str">
        <x:f>"900 000 000 000 613"</x:f>
        <x:v>900 000 000 000 613</x:v>
      </x:c>
      <x:c r="D2146" s="21" t="str">
        <x:v>SYN-0613-INV-03</x:v>
      </x:c>
      <x:c r="E2146" s="39" t="n">
        <x:v>46122</x:v>
      </x:c>
      <x:c r="F2146" s="42" t="n">
        <x:v>96187.83</x:v>
      </x:c>
      <x:c r="G2146" s="42" t="n">
        <x:v>4809.39</x:v>
      </x:c>
      <x:c r="H2146" s="42" t="n">
        <x:v>246384.75</x:v>
      </x:c>
      <x:c r="I2146" s="39" t="n">
        <x:v>46067</x:v>
      </x:c>
    </x:row>
    <x:row r="2147">
      <x:c r="A2147" s="21" t="str">
        <x:v>SYN-0614</x:v>
      </x:c>
      <x:c r="B2147" s="21" t="str">
        <x:v>Synthetic Supplier 0614 LLC</x:v>
      </x:c>
      <x:c r="C2147" s="38" t="str">
        <x:f>"900 000 000 000 614"</x:f>
        <x:v>900 000 000 000 614</x:v>
      </x:c>
      <x:c r="D2147" s="21" t="str">
        <x:v>SYN-0614-INV-01</x:v>
      </x:c>
      <x:c r="E2147" s="39" t="n">
        <x:v>46041</x:v>
      </x:c>
      <x:c r="F2147" s="42" t="n">
        <x:v>25205.64</x:v>
      </x:c>
      <x:c r="G2147" s="42" t="n">
        <x:v>1260.28</x:v>
      </x:c>
      <x:c r="H2147" s="42" t="n">
        <x:v>143876.26</x:v>
      </x:c>
      <x:c r="I2147" s="39" t="n">
        <x:v>45731</x:v>
      </x:c>
    </x:row>
    <x:row r="2148">
      <x:c r="A2148" s="21" t="str">
        <x:v>SYN-0614</x:v>
      </x:c>
      <x:c r="B2148" s="21" t="str">
        <x:v>Synthetic Supplier 0614 LLC</x:v>
      </x:c>
      <x:c r="C2148" s="38" t="str">
        <x:f>"900 000 000 000 614"</x:f>
        <x:v>900 000 000 000 614</x:v>
      </x:c>
      <x:c r="D2148" s="21" t="str">
        <x:v>SYN-0614-INV-02</x:v>
      </x:c>
      <x:c r="E2148" s="39" t="n">
        <x:v>46088</x:v>
      </x:c>
      <x:c r="F2148" s="42" t="n">
        <x:v>50383.62</x:v>
      </x:c>
      <x:c r="G2148" s="42" t="n">
        <x:v>2519.18</x:v>
      </x:c>
      <x:c r="H2148" s="42" t="n">
        <x:v>143876.26</x:v>
      </x:c>
      <x:c r="I2148" s="39" t="n">
        <x:v>45731</x:v>
      </x:c>
    </x:row>
    <x:row r="2149">
      <x:c r="A2149" s="21" t="str">
        <x:v>SYN-0614</x:v>
      </x:c>
      <x:c r="B2149" s="21" t="str">
        <x:v>Synthetic Supplier 0614 LLC</x:v>
      </x:c>
      <x:c r="C2149" s="38" t="str">
        <x:f>"900 000 000 000 614"</x:f>
        <x:v>900 000 000 000 614</x:v>
      </x:c>
      <x:c r="D2149" s="21" t="str">
        <x:v>SYN-0614-INV-03</x:v>
      </x:c>
      <x:c r="E2149" s="39" t="n">
        <x:v>46135</x:v>
      </x:c>
      <x:c r="F2149" s="42" t="n">
        <x:v>26959.76</x:v>
      </x:c>
      <x:c r="G2149" s="42" t="n">
        <x:v>1347.99</x:v>
      </x:c>
      <x:c r="H2149" s="42" t="n">
        <x:v>143876.26</x:v>
      </x:c>
      <x:c r="I2149" s="39" t="n">
        <x:v>45731</x:v>
      </x:c>
    </x:row>
    <x:row r="2150">
      <x:c r="A2150" s="21" t="str">
        <x:v>SYN-0614</x:v>
      </x:c>
      <x:c r="B2150" s="21" t="str">
        <x:v>Synthetic Supplier 0614 LLC</x:v>
      </x:c>
      <x:c r="C2150" s="38" t="str">
        <x:f>"900 000 000 000 614"</x:f>
        <x:v>900 000 000 000 614</x:v>
      </x:c>
      <x:c r="D2150" s="21" t="str">
        <x:v>SYN-0614-INV-04</x:v>
      </x:c>
      <x:c r="E2150" s="39" t="n">
        <x:v>46182</x:v>
      </x:c>
      <x:c r="F2150" s="42" t="n">
        <x:v>57313.49</x:v>
      </x:c>
      <x:c r="G2150" s="42" t="n">
        <x:v>2865.67</x:v>
      </x:c>
      <x:c r="H2150" s="42" t="n">
        <x:v>143876.26</x:v>
      </x:c>
      <x:c r="I2150" s="39" t="n">
        <x:v>45731</x:v>
      </x:c>
    </x:row>
    <x:row r="2151">
      <x:c r="A2151" s="21" t="str">
        <x:v>SYN-0615</x:v>
      </x:c>
      <x:c r="B2151" s="21" t="str">
        <x:v>Synthetic Supplier 0615 LLC</x:v>
      </x:c>
      <x:c r="C2151" s="38" t="str">
        <x:f>"900 000 000 000 615"</x:f>
        <x:v>900 000 000 000 615</x:v>
      </x:c>
      <x:c r="D2151" s="21" t="str">
        <x:v>SYN-0615-INV-01</x:v>
      </x:c>
      <x:c r="E2151" s="39" t="n">
        <x:v>46054</x:v>
      </x:c>
      <x:c r="F2151" s="42" t="n">
        <x:v>25454.13</x:v>
      </x:c>
      <x:c r="G2151" s="42" t="n">
        <x:v>1272.71</x:v>
      </x:c>
      <x:c r="H2151" s="42" t="n">
        <x:v>145235.19</x:v>
      </x:c>
      <x:c r="I2151" s="39"/>
    </x:row>
    <x:row r="2152">
      <x:c r="A2152" s="21" t="str">
        <x:v>SYN-0615</x:v>
      </x:c>
      <x:c r="B2152" s="21" t="str">
        <x:v>Synthetic Supplier 0615 LLC</x:v>
      </x:c>
      <x:c r="C2152" s="38" t="str">
        <x:f>"900 000 000 000 615"</x:f>
        <x:v>900 000 000 000 615</x:v>
      </x:c>
      <x:c r="D2152" s="21" t="str">
        <x:v>SYN-0615-INV-02</x:v>
      </x:c>
      <x:c r="E2152" s="39" t="n">
        <x:v>46101</x:v>
      </x:c>
      <x:c r="F2152" s="42" t="n">
        <x:v>29185.58</x:v>
      </x:c>
      <x:c r="G2152" s="42" t="n">
        <x:v>1459.28</x:v>
      </x:c>
      <x:c r="H2152" s="42" t="n">
        <x:v>145235.19</x:v>
      </x:c>
      <x:c r="I2152" s="39"/>
    </x:row>
    <x:row r="2153">
      <x:c r="A2153" s="21" t="str">
        <x:v>SYN-0615</x:v>
      </x:c>
      <x:c r="B2153" s="21" t="str">
        <x:v>Synthetic Supplier 0615 LLC</x:v>
      </x:c>
      <x:c r="C2153" s="38" t="str">
        <x:f>"900 000 000 000 615"</x:f>
        <x:v>900 000 000 000 615</x:v>
      </x:c>
      <x:c r="D2153" s="21" t="str">
        <x:v>SYN-0615-INV-03</x:v>
      </x:c>
      <x:c r="E2153" s="39" t="n">
        <x:v>46148</x:v>
      </x:c>
      <x:c r="F2153" s="42" t="n">
        <x:v>33812.76</x:v>
      </x:c>
      <x:c r="G2153" s="42" t="n">
        <x:v>1690.64</x:v>
      </x:c>
      <x:c r="H2153" s="42" t="n">
        <x:v>145235.19</x:v>
      </x:c>
      <x:c r="I2153" s="39"/>
    </x:row>
    <x:row r="2154">
      <x:c r="A2154" s="21" t="str">
        <x:v>SYN-0615</x:v>
      </x:c>
      <x:c r="B2154" s="21" t="str">
        <x:v>Synthetic Supplier 0615 LLC</x:v>
      </x:c>
      <x:c r="C2154" s="38" t="str">
        <x:f>"900 000 000 000 615"</x:f>
        <x:v>900 000 000 000 615</x:v>
      </x:c>
      <x:c r="D2154" s="21" t="str">
        <x:v>SYN-0615-INV-04</x:v>
      </x:c>
      <x:c r="E2154" s="39" t="n">
        <x:v>46195</x:v>
      </x:c>
      <x:c r="F2154" s="42" t="n">
        <x:v>38450.13</x:v>
      </x:c>
      <x:c r="G2154" s="42" t="n">
        <x:v>1922.51</x:v>
      </x:c>
      <x:c r="H2154" s="42" t="n">
        <x:v>145235.19</x:v>
      </x:c>
      <x:c r="I2154" s="39"/>
    </x:row>
    <x:row r="2155">
      <x:c r="A2155" s="21" t="str">
        <x:v>SYN-0615</x:v>
      </x:c>
      <x:c r="B2155" s="21" t="str">
        <x:v>Synthetic Supplier 0615 LLC</x:v>
      </x:c>
      <x:c r="C2155" s="38" t="str">
        <x:f>"900 000 000 000 615"</x:f>
        <x:v>900 000 000 000 615</x:v>
      </x:c>
      <x:c r="D2155" s="21" t="str">
        <x:v>SYN-0615-INV-05</x:v>
      </x:c>
      <x:c r="E2155" s="39" t="n">
        <x:v>46242</x:v>
      </x:c>
      <x:c r="F2155" s="42" t="n">
        <x:v>34469.83</x:v>
      </x:c>
      <x:c r="G2155" s="42" t="n">
        <x:v>1723.49</x:v>
      </x:c>
      <x:c r="H2155" s="42" t="n">
        <x:v>145235.19</x:v>
      </x:c>
      <x:c r="I2155" s="39"/>
    </x:row>
    <x:row r="2156">
      <x:c r="A2156" s="21" t="str">
        <x:v>SYN-0616</x:v>
      </x:c>
      <x:c r="B2156" s="21" t="str">
        <x:v>Synthetic Supplier 0616 LLC</x:v>
      </x:c>
      <x:c r="C2156" s="38" t="str">
        <x:f>"900 000 000 000 616"</x:f>
        <x:v>900 000 000 000 616</x:v>
      </x:c>
      <x:c r="D2156" s="21" t="str">
        <x:v>SYN-0616-INV-01</x:v>
      </x:c>
      <x:c r="E2156" s="39" t="n">
        <x:v>46067</x:v>
      </x:c>
      <x:c r="F2156" s="42" t="n">
        <x:v>51491.19</x:v>
      </x:c>
      <x:c r="G2156" s="42" t="n">
        <x:v>2574.56</x:v>
      </x:c>
      <x:c r="H2156" s="42" t="n">
        <x:v>139587.57</x:v>
      </x:c>
      <x:c r="I2156" s="39" t="n">
        <x:v>45794</x:v>
      </x:c>
    </x:row>
    <x:row r="2157">
      <x:c r="A2157" s="21" t="str">
        <x:v>SYN-0616</x:v>
      </x:c>
      <x:c r="B2157" s="21" t="str">
        <x:v>Synthetic Supplier 0616 LLC</x:v>
      </x:c>
      <x:c r="C2157" s="38" t="str">
        <x:f>"900 000 000 000 616"</x:f>
        <x:v>900 000 000 000 616</x:v>
      </x:c>
      <x:c r="D2157" s="21" t="str">
        <x:v>SYN-0616-INV-02</x:v>
      </x:c>
      <x:c r="E2157" s="39" t="n">
        <x:v>46114</x:v>
      </x:c>
      <x:c r="F2157" s="42" t="n">
        <x:v>69889.3</x:v>
      </x:c>
      <x:c r="G2157" s="42" t="n">
        <x:v>3494.47</x:v>
      </x:c>
      <x:c r="H2157" s="42" t="n">
        <x:v>139587.57</x:v>
      </x:c>
      <x:c r="I2157" s="39" t="n">
        <x:v>45794</x:v>
      </x:c>
    </x:row>
    <x:row r="2158">
      <x:c r="A2158" s="21" t="str">
        <x:v>SYN-0617</x:v>
      </x:c>
      <x:c r="B2158" s="21" t="str">
        <x:v>Synthetic Supplier 0617 LLC</x:v>
      </x:c>
      <x:c r="C2158" s="38" t="str">
        <x:f>"900 000 000 000 617"</x:f>
        <x:v>900 000 000 000 617</x:v>
      </x:c>
      <x:c r="D2158" s="21" t="str">
        <x:v>SYN-0617-INV-01</x:v>
      </x:c>
      <x:c r="E2158" s="39" t="n">
        <x:v>46080</x:v>
      </x:c>
      <x:c r="F2158" s="42" t="n">
        <x:v>44958.83</x:v>
      </x:c>
      <x:c r="G2158" s="42" t="n">
        <x:v>2247.94</x:v>
      </x:c>
      <x:c r="H2158" s="42" t="n">
        <x:v>137257.98</x:v>
      </x:c>
      <x:c r="I2158" s="39" t="n">
        <x:v>46191</x:v>
      </x:c>
    </x:row>
    <x:row r="2159">
      <x:c r="A2159" s="21" t="str">
        <x:v>SYN-0617</x:v>
      </x:c>
      <x:c r="B2159" s="21" t="str">
        <x:v>Synthetic Supplier 0617 LLC</x:v>
      </x:c>
      <x:c r="C2159" s="38" t="str">
        <x:f>"900 000 000 000 617"</x:f>
        <x:v>900 000 000 000 617</x:v>
      </x:c>
      <x:c r="D2159" s="21" t="str">
        <x:v>SYN-0617-INV-02</x:v>
      </x:c>
      <x:c r="E2159" s="39" t="n">
        <x:v>46127</x:v>
      </x:c>
      <x:c r="F2159" s="42" t="n">
        <x:v>51296.37</x:v>
      </x:c>
      <x:c r="G2159" s="42" t="n">
        <x:v>2564.82</x:v>
      </x:c>
      <x:c r="H2159" s="42" t="n">
        <x:v>137257.98</x:v>
      </x:c>
      <x:c r="I2159" s="39" t="n">
        <x:v>46191</x:v>
      </x:c>
    </x:row>
    <x:row r="2160">
      <x:c r="A2160" s="21" t="str">
        <x:v>SYN-0617</x:v>
      </x:c>
      <x:c r="B2160" s="21" t="str">
        <x:v>Synthetic Supplier 0617 LLC</x:v>
      </x:c>
      <x:c r="C2160" s="38" t="str">
        <x:f>"900 000 000 000 617"</x:f>
        <x:v>900 000 000 000 617</x:v>
      </x:c>
      <x:c r="D2160" s="21" t="str">
        <x:v>SYN-0617-INV-03</x:v>
      </x:c>
      <x:c r="E2160" s="39" t="n">
        <x:v>46174</x:v>
      </x:c>
      <x:c r="F2160" s="42" t="n">
        <x:v>56253.68</x:v>
      </x:c>
      <x:c r="G2160" s="42" t="n">
        <x:v>2812.68</x:v>
      </x:c>
      <x:c r="H2160" s="42" t="n">
        <x:v>137257.98</x:v>
      </x:c>
      <x:c r="I2160" s="39" t="n">
        <x:v>46191</x:v>
      </x:c>
    </x:row>
    <x:row r="2161">
      <x:c r="A2161" s="21" t="str">
        <x:v>SYN-0618</x:v>
      </x:c>
      <x:c r="B2161" s="21" t="str">
        <x:v>Synthetic Supplier 0618 LLC</x:v>
      </x:c>
      <x:c r="C2161" s="38" t="str">
        <x:f>"900 000 000 000 618"</x:f>
        <x:v>900 000 000 000 618</x:v>
      </x:c>
      <x:c r="D2161" s="21" t="str">
        <x:v>SYN-0618-INV-01</x:v>
      </x:c>
      <x:c r="E2161" s="39" t="n">
        <x:v>46093</x:v>
      </x:c>
      <x:c r="F2161" s="42" t="n">
        <x:v>70924.77</x:v>
      </x:c>
      <x:c r="G2161" s="42" t="n">
        <x:v>3546.24</x:v>
      </x:c>
      <x:c r="H2161" s="42" t="n">
        <x:v>279266.72</x:v>
      </x:c>
      <x:c r="I2161" s="39" t="n">
        <x:v>45857</x:v>
      </x:c>
    </x:row>
    <x:row r="2162">
      <x:c r="A2162" s="21" t="str">
        <x:v>SYN-0618</x:v>
      </x:c>
      <x:c r="B2162" s="21" t="str">
        <x:v>Synthetic Supplier 0618 LLC</x:v>
      </x:c>
      <x:c r="C2162" s="38" t="str">
        <x:f>"900 000 000 000 618"</x:f>
        <x:v>900 000 000 000 618</x:v>
      </x:c>
      <x:c r="D2162" s="21" t="str">
        <x:v>SYN-0618-INV-02</x:v>
      </x:c>
      <x:c r="E2162" s="39" t="n">
        <x:v>46140</x:v>
      </x:c>
      <x:c r="F2162" s="42" t="n">
        <x:v>76610.97</x:v>
      </x:c>
      <x:c r="G2162" s="42" t="n">
        <x:v>3830.55</x:v>
      </x:c>
      <x:c r="H2162" s="42" t="n">
        <x:v>279266.72</x:v>
      </x:c>
      <x:c r="I2162" s="39" t="n">
        <x:v>45857</x:v>
      </x:c>
    </x:row>
    <x:row r="2163">
      <x:c r="A2163" s="21" t="str">
        <x:v>SYN-0618</x:v>
      </x:c>
      <x:c r="B2163" s="21" t="str">
        <x:v>Synthetic Supplier 0618 LLC</x:v>
      </x:c>
      <x:c r="C2163" s="38" t="str">
        <x:f>"900 000 000 000 618"</x:f>
        <x:v>900 000 000 000 618</x:v>
      </x:c>
      <x:c r="D2163" s="21" t="str">
        <x:v>SYN-0618-INV-03</x:v>
      </x:c>
      <x:c r="E2163" s="39" t="n">
        <x:v>46187</x:v>
      </x:c>
      <x:c r="F2163" s="42" t="n">
        <x:v>95765.27</x:v>
      </x:c>
      <x:c r="G2163" s="42" t="n">
        <x:v>4788.26</x:v>
      </x:c>
      <x:c r="H2163" s="42" t="n">
        <x:v>279266.72</x:v>
      </x:c>
      <x:c r="I2163" s="39" t="n">
        <x:v>45857</x:v>
      </x:c>
    </x:row>
    <x:row r="2164">
      <x:c r="A2164" s="21" t="str">
        <x:v>SYN-0618</x:v>
      </x:c>
      <x:c r="B2164" s="21" t="str">
        <x:v>Synthetic Supplier 0618 LLC</x:v>
      </x:c>
      <x:c r="C2164" s="38" t="str">
        <x:f>"900 000 000 000 618"</x:f>
        <x:v>900 000 000 000 618</x:v>
      </x:c>
      <x:c r="D2164" s="21" t="str">
        <x:v>SYN-0618-INV-04</x:v>
      </x:c>
      <x:c r="E2164" s="39" t="n">
        <x:v>46234</x:v>
      </x:c>
      <x:c r="F2164" s="42" t="n">
        <x:v>66995.35</x:v>
      </x:c>
      <x:c r="G2164" s="42" t="n">
        <x:v>3349.77</x:v>
      </x:c>
      <x:c r="H2164" s="42" t="n">
        <x:v>279266.72</x:v>
      </x:c>
      <x:c r="I2164" s="39" t="n">
        <x:v>45857</x:v>
      </x:c>
    </x:row>
    <x:row r="2165">
      <x:c r="A2165" s="21" t="str">
        <x:v>SYN-0619</x:v>
      </x:c>
      <x:c r="B2165" s="21" t="str">
        <x:v>Synthetic Supplier 0619 LLC</x:v>
      </x:c>
      <x:c r="C2165" s="38" t="str">
        <x:f>"900 000 000 000 619"</x:f>
        <x:v>900 000 000 000 619</x:v>
      </x:c>
      <x:c r="D2165" s="21" t="str">
        <x:v>SYN-0619-INV-01</x:v>
      </x:c>
      <x:c r="E2165" s="39" t="n">
        <x:v>46106</x:v>
      </x:c>
      <x:c r="F2165" s="42" t="n">
        <x:v>22118.56</x:v>
      </x:c>
      <x:c r="G2165" s="42" t="n">
        <x:v>1105.93</x:v>
      </x:c>
      <x:c r="H2165" s="42" t="n">
        <x:v>112976.44</x:v>
      </x:c>
      <x:c r="I2165" s="39" t="n">
        <x:v>46254</x:v>
      </x:c>
    </x:row>
    <x:row r="2166">
      <x:c r="A2166" s="21" t="str">
        <x:v>SYN-0619</x:v>
      </x:c>
      <x:c r="B2166" s="21" t="str">
        <x:v>Synthetic Supplier 0619 LLC</x:v>
      </x:c>
      <x:c r="C2166" s="38" t="str">
        <x:f>"900 000 000 000 619"</x:f>
        <x:v>900 000 000 000 619</x:v>
      </x:c>
      <x:c r="D2166" s="21" t="str">
        <x:v>SYN-0619-INV-02</x:v>
      </x:c>
      <x:c r="E2166" s="39" t="n">
        <x:v>46153</x:v>
      </x:c>
      <x:c r="F2166" s="42" t="n">
        <x:v>28899.01</x:v>
      </x:c>
      <x:c r="G2166" s="42" t="n">
        <x:v>1444.95</x:v>
      </x:c>
      <x:c r="H2166" s="42" t="n">
        <x:v>112976.44</x:v>
      </x:c>
      <x:c r="I2166" s="39" t="n">
        <x:v>46254</x:v>
      </x:c>
    </x:row>
    <x:row r="2167">
      <x:c r="A2167" s="21" t="str">
        <x:v>SYN-0619</x:v>
      </x:c>
      <x:c r="B2167" s="21" t="str">
        <x:v>Synthetic Supplier 0619 LLC</x:v>
      </x:c>
      <x:c r="C2167" s="38" t="str">
        <x:f>"900 000 000 000 619"</x:f>
        <x:v>900 000 000 000 619</x:v>
      </x:c>
      <x:c r="D2167" s="21" t="str">
        <x:v>SYN-0619-INV-03</x:v>
      </x:c>
      <x:c r="E2167" s="39" t="n">
        <x:v>46200</x:v>
      </x:c>
      <x:c r="F2167" s="42" t="n">
        <x:v>15243.91</x:v>
      </x:c>
      <x:c r="G2167" s="42" t="n">
        <x:v>762.2</x:v>
      </x:c>
      <x:c r="H2167" s="42" t="n">
        <x:v>112976.44</x:v>
      </x:c>
      <x:c r="I2167" s="39" t="n">
        <x:v>46254</x:v>
      </x:c>
    </x:row>
    <x:row r="2168">
      <x:c r="A2168" s="21" t="str">
        <x:v>SYN-0619</x:v>
      </x:c>
      <x:c r="B2168" s="21" t="str">
        <x:v>Synthetic Supplier 0619 LLC</x:v>
      </x:c>
      <x:c r="C2168" s="38" t="str">
        <x:f>"900 000 000 000 619"</x:f>
        <x:v>900 000 000 000 619</x:v>
      </x:c>
      <x:c r="D2168" s="21" t="str">
        <x:v>SYN-0619-INV-04</x:v>
      </x:c>
      <x:c r="E2168" s="39" t="n">
        <x:v>46247</x:v>
      </x:c>
      <x:c r="F2168" s="42" t="n">
        <x:v>26244.16</x:v>
      </x:c>
      <x:c r="G2168" s="42" t="n">
        <x:v>1312.21</x:v>
      </x:c>
      <x:c r="H2168" s="42" t="n">
        <x:v>112976.44</x:v>
      </x:c>
      <x:c r="I2168" s="39" t="n">
        <x:v>46254</x:v>
      </x:c>
    </x:row>
    <x:row r="2169">
      <x:c r="A2169" s="21" t="str">
        <x:v>SYN-0619</x:v>
      </x:c>
      <x:c r="B2169" s="21" t="str">
        <x:v>Synthetic Supplier 0619 LLC</x:v>
      </x:c>
      <x:c r="C2169" s="38" t="str">
        <x:f>"900 000 000 000 619"</x:f>
        <x:v>900 000 000 000 619</x:v>
      </x:c>
      <x:c r="D2169" s="21" t="str">
        <x:v>SYN-0619-INV-05</x:v>
      </x:c>
      <x:c r="E2169" s="39" t="n">
        <x:v>45934</x:v>
      </x:c>
      <x:c r="F2169" s="42" t="n">
        <x:v>33023.74</x:v>
      </x:c>
      <x:c r="G2169" s="42" t="n">
        <x:v>1651.19</x:v>
      </x:c>
      <x:c r="H2169" s="42" t="n">
        <x:v>112976.44</x:v>
      </x:c>
      <x:c r="I2169" s="39" t="n">
        <x:v>46254</x:v>
      </x:c>
    </x:row>
    <x:row r="2170">
      <x:c r="A2170" s="21" t="str">
        <x:v>SYN-0620</x:v>
      </x:c>
      <x:c r="B2170" s="21" t="str">
        <x:v>Synthetic Supplier 0620 LLC</x:v>
      </x:c>
      <x:c r="C2170" s="38" t="str">
        <x:f>"900 000 000 000 620"</x:f>
        <x:v>900 000 000 000 620</x:v>
      </x:c>
      <x:c r="D2170" s="21" t="str">
        <x:v>SYN-0620-INV-01</x:v>
      </x:c>
      <x:c r="E2170" s="39" t="n">
        <x:v>46119</x:v>
      </x:c>
      <x:c r="F2170" s="42" t="n">
        <x:v>77431.09</x:v>
      </x:c>
      <x:c r="G2170" s="42" t="n">
        <x:v>3871.55</x:v>
      </x:c>
      <x:c r="H2170" s="42" t="n">
        <x:v>110374.64</x:v>
      </x:c>
      <x:c r="I2170" s="39"/>
    </x:row>
    <x:row r="2171">
      <x:c r="A2171" s="21" t="str">
        <x:v>SYN-0620</x:v>
      </x:c>
      <x:c r="B2171" s="21" t="str">
        <x:v>Synthetic Supplier 0620 LLC</x:v>
      </x:c>
      <x:c r="C2171" s="38" t="str">
        <x:f>"900 000 000 000 620"</x:f>
        <x:v>900 000 000 000 620</x:v>
      </x:c>
      <x:c r="D2171" s="21" t="str">
        <x:v>SYN-0620-INV-02</x:v>
      </x:c>
      <x:c r="E2171" s="39" t="n">
        <x:v>46166</x:v>
      </x:c>
      <x:c r="F2171" s="42" t="n">
        <x:v>45207.4</x:v>
      </x:c>
      <x:c r="G2171" s="42" t="n">
        <x:v>2260.37</x:v>
      </x:c>
      <x:c r="H2171" s="42" t="n">
        <x:v>110374.64</x:v>
      </x:c>
      <x:c r="I2171" s="39"/>
    </x:row>
    <x:row r="2172">
      <x:c r="A2172" s="21" t="str">
        <x:v>SYN-0621</x:v>
      </x:c>
      <x:c r="B2172" s="21" t="str">
        <x:v>Synthetic Supplier 0621 LLC</x:v>
      </x:c>
      <x:c r="C2172" s="38" t="str">
        <x:f>"900 000 000 000 621"</x:f>
        <x:v>900 000 000 000 621</x:v>
      </x:c>
      <x:c r="D2172" s="21" t="str">
        <x:v>SYN-0621-INV-01</x:v>
      </x:c>
      <x:c r="E2172" s="39" t="n">
        <x:v>46132</x:v>
      </x:c>
      <x:c r="F2172" s="42" t="n">
        <x:v>118026.79</x:v>
      </x:c>
      <x:c r="G2172" s="42" t="n">
        <x:v>5901.34</x:v>
      </x:c>
      <x:c r="H2172" s="42" t="n">
        <x:v>312844.88</x:v>
      </x:c>
      <x:c r="I2172" s="39" t="n">
        <x:v>46044</x:v>
      </x:c>
    </x:row>
    <x:row r="2173">
      <x:c r="A2173" s="21" t="str">
        <x:v>SYN-0621</x:v>
      </x:c>
      <x:c r="B2173" s="21" t="str">
        <x:v>Synthetic Supplier 0621 LLC</x:v>
      </x:c>
      <x:c r="C2173" s="38" t="str">
        <x:f>"900 000 000 000 621"</x:f>
        <x:v>900 000 000 000 621</x:v>
      </x:c>
      <x:c r="D2173" s="21" t="str">
        <x:v>SYN-0621-INV-02</x:v>
      </x:c>
      <x:c r="E2173" s="39" t="n">
        <x:v>46179</x:v>
      </x:c>
      <x:c r="F2173" s="42" t="n">
        <x:v>104301.22</x:v>
      </x:c>
      <x:c r="G2173" s="42" t="n">
        <x:v>5215.06</x:v>
      </x:c>
      <x:c r="H2173" s="42" t="n">
        <x:v>312844.88</x:v>
      </x:c>
      <x:c r="I2173" s="39" t="n">
        <x:v>46044</x:v>
      </x:c>
    </x:row>
    <x:row r="2174">
      <x:c r="A2174" s="21" t="str">
        <x:v>SYN-0621</x:v>
      </x:c>
      <x:c r="B2174" s="21" t="str">
        <x:v>Synthetic Supplier 0621 LLC</x:v>
      </x:c>
      <x:c r="C2174" s="38" t="str">
        <x:f>"900 000 000 000 621"</x:f>
        <x:v>900 000 000 000 621</x:v>
      </x:c>
      <x:c r="D2174" s="21" t="str">
        <x:v>SYN-0621-INV-03</x:v>
      </x:c>
      <x:c r="E2174" s="39" t="n">
        <x:v>46226</x:v>
      </x:c>
      <x:c r="F2174" s="42" t="n">
        <x:v>125277.41</x:v>
      </x:c>
      <x:c r="G2174" s="42" t="n">
        <x:v>6263.87</x:v>
      </x:c>
      <x:c r="H2174" s="42" t="n">
        <x:v>312844.88</x:v>
      </x:c>
      <x:c r="I2174" s="39" t="n">
        <x:v>46044</x:v>
      </x:c>
    </x:row>
    <x:row r="2175">
      <x:c r="A2175" s="21" t="str">
        <x:v>SYN-0622</x:v>
      </x:c>
      <x:c r="B2175" s="21" t="str">
        <x:v>Synthetic Supplier 0622 LLC</x:v>
      </x:c>
      <x:c r="C2175" s="38" t="str">
        <x:f>"900 000 000 000 622"</x:f>
        <x:v>900 000 000 000 622</x:v>
      </x:c>
      <x:c r="D2175" s="21" t="str">
        <x:v>SYN-0622-INV-01</x:v>
      </x:c>
      <x:c r="E2175" s="39" t="n">
        <x:v>46145</x:v>
      </x:c>
      <x:c r="F2175" s="42" t="n">
        <x:v>69649.42</x:v>
      </x:c>
      <x:c r="G2175" s="42" t="n">
        <x:v>3482.47</x:v>
      </x:c>
      <x:c r="H2175" s="42" t="n">
        <x:v>199645.36</x:v>
      </x:c>
      <x:c r="I2175" s="39" t="n">
        <x:v>45711</x:v>
      </x:c>
    </x:row>
    <x:row r="2176">
      <x:c r="A2176" s="21" t="str">
        <x:v>SYN-0622</x:v>
      </x:c>
      <x:c r="B2176" s="21" t="str">
        <x:v>Synthetic Supplier 0622 LLC</x:v>
      </x:c>
      <x:c r="C2176" s="38" t="str">
        <x:f>"900 000 000 000 622"</x:f>
        <x:v>900 000 000 000 622</x:v>
      </x:c>
      <x:c r="D2176" s="21" t="str">
        <x:v>SYN-0622-INV-02</x:v>
      </x:c>
      <x:c r="E2176" s="39" t="n">
        <x:v>46192</x:v>
      </x:c>
      <x:c r="F2176" s="42" t="n">
        <x:v>60810.97</x:v>
      </x:c>
      <x:c r="G2176" s="42" t="n">
        <x:v>3040.55</x:v>
      </x:c>
      <x:c r="H2176" s="42" t="n">
        <x:v>199645.36</x:v>
      </x:c>
      <x:c r="I2176" s="39" t="n">
        <x:v>45711</x:v>
      </x:c>
    </x:row>
    <x:row r="2177">
      <x:c r="A2177" s="21" t="str">
        <x:v>SYN-0622</x:v>
      </x:c>
      <x:c r="B2177" s="21" t="str">
        <x:v>Synthetic Supplier 0622 LLC</x:v>
      </x:c>
      <x:c r="C2177" s="38" t="str">
        <x:f>"900 000 000 000 622"</x:f>
        <x:v>900 000 000 000 622</x:v>
      </x:c>
      <x:c r="D2177" s="21" t="str">
        <x:v>SYN-0622-INV-03</x:v>
      </x:c>
      <x:c r="E2177" s="39" t="n">
        <x:v>46239</x:v>
      </x:c>
      <x:c r="F2177" s="42" t="n">
        <x:v>45990.96</x:v>
      </x:c>
      <x:c r="G2177" s="42" t="n">
        <x:v>2299.55</x:v>
      </x:c>
      <x:c r="H2177" s="42" t="n">
        <x:v>199645.36</x:v>
      </x:c>
      <x:c r="I2177" s="39" t="n">
        <x:v>45711</x:v>
      </x:c>
    </x:row>
    <x:row r="2178">
      <x:c r="A2178" s="21" t="str">
        <x:v>SYN-0622</x:v>
      </x:c>
      <x:c r="B2178" s="21" t="str">
        <x:v>Synthetic Supplier 0622 LLC</x:v>
      </x:c>
      <x:c r="C2178" s="38" t="str">
        <x:f>"900 000 000 000 622"</x:f>
        <x:v>900 000 000 000 622</x:v>
      </x:c>
      <x:c r="D2178" s="21" t="str">
        <x:v>SYN-0622-INV-04</x:v>
      </x:c>
      <x:c r="E2178" s="39" t="n">
        <x:v>46286</x:v>
      </x:c>
      <x:c r="F2178" s="42" t="n">
        <x:v>45376.83</x:v>
      </x:c>
      <x:c r="G2178" s="42" t="n">
        <x:v>2268.84</x:v>
      </x:c>
      <x:c r="H2178" s="42" t="n">
        <x:v>199645.36</x:v>
      </x:c>
      <x:c r="I2178" s="39" t="n">
        <x:v>45711</x:v>
      </x:c>
    </x:row>
    <x:row r="2179">
      <x:c r="A2179" s="21" t="str">
        <x:v>SYN-0623</x:v>
      </x:c>
      <x:c r="B2179" s="21" t="str">
        <x:v>Synthetic Supplier 0623 LLC</x:v>
      </x:c>
      <x:c r="C2179" s="38" t="str">
        <x:f>"900 000 000 000 623"</x:f>
        <x:v>900 000 000 000 623</x:v>
      </x:c>
      <x:c r="D2179" s="21" t="str">
        <x:v>SYN-0623-INV-01</x:v>
      </x:c>
      <x:c r="E2179" s="39" t="n">
        <x:v>46158</x:v>
      </x:c>
      <x:c r="F2179" s="42" t="n">
        <x:v>29785.13</x:v>
      </x:c>
      <x:c r="G2179" s="42" t="n">
        <x:v>1489.26</x:v>
      </x:c>
      <x:c r="H2179" s="42" t="n">
        <x:v>163702.98</x:v>
      </x:c>
      <x:c r="I2179" s="39" t="n">
        <x:v>46105</x:v>
      </x:c>
    </x:row>
    <x:row r="2180">
      <x:c r="A2180" s="21" t="str">
        <x:v>SYN-0623</x:v>
      </x:c>
      <x:c r="B2180" s="21" t="str">
        <x:v>Synthetic Supplier 0623 LLC</x:v>
      </x:c>
      <x:c r="C2180" s="38" t="str">
        <x:f>"900 000 000 000 623"</x:f>
        <x:v>900 000 000 000 623</x:v>
      </x:c>
      <x:c r="D2180" s="21" t="str">
        <x:v>SYN-0623-INV-02</x:v>
      </x:c>
      <x:c r="E2180" s="39" t="n">
        <x:v>46205</x:v>
      </x:c>
      <x:c r="F2180" s="42" t="n">
        <x:v>30799.17</x:v>
      </x:c>
      <x:c r="G2180" s="42" t="n">
        <x:v>1539.96</x:v>
      </x:c>
      <x:c r="H2180" s="42" t="n">
        <x:v>163702.98</x:v>
      </x:c>
      <x:c r="I2180" s="39" t="n">
        <x:v>46105</x:v>
      </x:c>
    </x:row>
    <x:row r="2181">
      <x:c r="A2181" s="21" t="str">
        <x:v>SYN-0623</x:v>
      </x:c>
      <x:c r="B2181" s="21" t="str">
        <x:v>Synthetic Supplier 0623 LLC</x:v>
      </x:c>
      <x:c r="C2181" s="38" t="str">
        <x:f>"900 000 000 000 623"</x:f>
        <x:v>900 000 000 000 623</x:v>
      </x:c>
      <x:c r="D2181" s="21" t="str">
        <x:v>SYN-0623-INV-03</x:v>
      </x:c>
      <x:c r="E2181" s="39" t="n">
        <x:v>46252</x:v>
      </x:c>
      <x:c r="F2181" s="42" t="n">
        <x:v>25417.24</x:v>
      </x:c>
      <x:c r="G2181" s="42" t="n">
        <x:v>1270.86</x:v>
      </x:c>
      <x:c r="H2181" s="42" t="n">
        <x:v>163702.98</x:v>
      </x:c>
      <x:c r="I2181" s="39" t="n">
        <x:v>46105</x:v>
      </x:c>
    </x:row>
    <x:row r="2182">
      <x:c r="A2182" s="21" t="str">
        <x:v>SYN-0623</x:v>
      </x:c>
      <x:c r="B2182" s="21" t="str">
        <x:v>Synthetic Supplier 0623 LLC</x:v>
      </x:c>
      <x:c r="C2182" s="38" t="str">
        <x:f>"900 000 000 000 623"</x:f>
        <x:v>900 000 000 000 623</x:v>
      </x:c>
      <x:c r="D2182" s="21" t="str">
        <x:v>SYN-0623-INV-04</x:v>
      </x:c>
      <x:c r="E2182" s="39" t="n">
        <x:v>45939</x:v>
      </x:c>
      <x:c r="F2182" s="42" t="n">
        <x:v>28534.54</x:v>
      </x:c>
      <x:c r="G2182" s="42" t="n">
        <x:v>1426.73</x:v>
      </x:c>
      <x:c r="H2182" s="42" t="n">
        <x:v>163702.98</x:v>
      </x:c>
      <x:c r="I2182" s="39" t="n">
        <x:v>46105</x:v>
      </x:c>
    </x:row>
    <x:row r="2183">
      <x:c r="A2183" s="21" t="str">
        <x:v>SYN-0623</x:v>
      </x:c>
      <x:c r="B2183" s="21" t="str">
        <x:v>Synthetic Supplier 0623 LLC</x:v>
      </x:c>
      <x:c r="C2183" s="38" t="str">
        <x:f>"900 000 000 000 623"</x:f>
        <x:v>900 000 000 000 623</x:v>
      </x:c>
      <x:c r="D2183" s="21" t="str">
        <x:v>SYN-0623-INV-05</x:v>
      </x:c>
      <x:c r="E2183" s="39" t="n">
        <x:v>45986</x:v>
      </x:c>
      <x:c r="F2183" s="42" t="n">
        <x:v>27814.33</x:v>
      </x:c>
      <x:c r="G2183" s="42" t="n">
        <x:v>1390.72</x:v>
      </x:c>
      <x:c r="H2183" s="42" t="n">
        <x:v>163702.98</x:v>
      </x:c>
      <x:c r="I2183" s="39" t="n">
        <x:v>46105</x:v>
      </x:c>
    </x:row>
    <x:row r="2184">
      <x:c r="A2184" s="21" t="str">
        <x:v>SYN-0624</x:v>
      </x:c>
      <x:c r="B2184" s="21" t="str">
        <x:v>Synthetic Supplier 0624 LLC</x:v>
      </x:c>
      <x:c r="C2184" s="38" t="str">
        <x:f>"900 000 000 000 624"</x:f>
        <x:v>900 000 000 000 624</x:v>
      </x:c>
      <x:c r="D2184" s="21" t="str">
        <x:v>SYN-0624-INV-01</x:v>
      </x:c>
      <x:c r="E2184" s="39" t="n">
        <x:v>46171</x:v>
      </x:c>
      <x:c r="F2184" s="42" t="n">
        <x:v>137391.32</x:v>
      </x:c>
      <x:c r="G2184" s="42" t="n">
        <x:v>6869.57</x:v>
      </x:c>
      <x:c r="H2184" s="42" t="n">
        <x:v>283312.63</x:v>
      </x:c>
      <x:c r="I2184" s="39" t="n">
        <x:v>45772</x:v>
      </x:c>
    </x:row>
    <x:row r="2185">
      <x:c r="A2185" s="21" t="str">
        <x:v>SYN-0624</x:v>
      </x:c>
      <x:c r="B2185" s="21" t="str">
        <x:v>Synthetic Supplier 0624 LLC</x:v>
      </x:c>
      <x:c r="C2185" s="38" t="str">
        <x:f>"900 000 000 000 624"</x:f>
        <x:v>900 000 000 000 624</x:v>
      </x:c>
      <x:c r="D2185" s="21" t="str">
        <x:v>SYN-0624-INV-02</x:v>
      </x:c>
      <x:c r="E2185" s="39" t="n">
        <x:v>46218</x:v>
      </x:c>
      <x:c r="F2185" s="42" t="n">
        <x:v>177400.49</x:v>
      </x:c>
      <x:c r="G2185" s="42" t="n">
        <x:v>8870.02</x:v>
      </x:c>
      <x:c r="H2185" s="42" t="n">
        <x:v>283312.63</x:v>
      </x:c>
      <x:c r="I2185" s="39" t="n">
        <x:v>45772</x:v>
      </x:c>
    </x:row>
    <x:row r="2186">
      <x:c r="A2186" s="21" t="str">
        <x:v>SYN-0625</x:v>
      </x:c>
      <x:c r="B2186" s="21" t="str">
        <x:v>Synthetic Supplier 0625 LLC</x:v>
      </x:c>
      <x:c r="C2186" s="38" t="str">
        <x:f>"900 000 000 000 625"</x:f>
        <x:v>900 000 000 000 625</x:v>
      </x:c>
      <x:c r="D2186" s="21" t="str">
        <x:v>SYN-0625-INV-01</x:v>
      </x:c>
      <x:c r="E2186" s="39" t="n">
        <x:v>46184</x:v>
      </x:c>
      <x:c r="F2186" s="42" t="n">
        <x:v>112120.08</x:v>
      </x:c>
      <x:c r="G2186" s="42" t="n">
        <x:v>5606</x:v>
      </x:c>
      <x:c r="H2186" s="42" t="n">
        <x:v>296424.54</x:v>
      </x:c>
      <x:c r="I2186" s="39"/>
    </x:row>
    <x:row r="2187">
      <x:c r="A2187" s="21" t="str">
        <x:v>SYN-0625</x:v>
      </x:c>
      <x:c r="B2187" s="21" t="str">
        <x:v>Synthetic Supplier 0625 LLC</x:v>
      </x:c>
      <x:c r="C2187" s="38" t="str">
        <x:f>"900 000 000 000 625"</x:f>
        <x:v>900 000 000 000 625</x:v>
      </x:c>
      <x:c r="D2187" s="21" t="str">
        <x:v>SYN-0625-INV-02</x:v>
      </x:c>
      <x:c r="E2187" s="39" t="n">
        <x:v>46231</x:v>
      </x:c>
      <x:c r="F2187" s="42" t="n">
        <x:v>66140.59</x:v>
      </x:c>
      <x:c r="G2187" s="42" t="n">
        <x:v>3307.03</x:v>
      </x:c>
      <x:c r="H2187" s="42" t="n">
        <x:v>296424.54</x:v>
      </x:c>
      <x:c r="I2187" s="39"/>
    </x:row>
    <x:row r="2188">
      <x:c r="A2188" s="21" t="str">
        <x:v>SYN-0625</x:v>
      </x:c>
      <x:c r="B2188" s="21" t="str">
        <x:v>Synthetic Supplier 0625 LLC</x:v>
      </x:c>
      <x:c r="C2188" s="38" t="str">
        <x:f>"900 000 000 000 625"</x:f>
        <x:v>900 000 000 000 625</x:v>
      </x:c>
      <x:c r="D2188" s="21" t="str">
        <x:v>SYN-0625-INV-03</x:v>
      </x:c>
      <x:c r="E2188" s="39" t="n">
        <x:v>46278</x:v>
      </x:c>
      <x:c r="F2188" s="42" t="n">
        <x:v>151099.93</x:v>
      </x:c>
      <x:c r="G2188" s="42" t="n">
        <x:v>7555</x:v>
      </x:c>
      <x:c r="H2188" s="42" t="n">
        <x:v>296424.54</x:v>
      </x:c>
      <x:c r="I2188" s="39"/>
    </x:row>
    <x:row r="2189">
      <x:c r="A2189" s="21" t="str">
        <x:v>SYN-0626</x:v>
      </x:c>
      <x:c r="B2189" s="21" t="str">
        <x:v>Synthetic Supplier 0626 LLC</x:v>
      </x:c>
      <x:c r="C2189" s="38" t="str">
        <x:f>"900 000 000 000 626"</x:f>
        <x:v>900 000 000 000 626</x:v>
      </x:c>
      <x:c r="D2189" s="21" t="str">
        <x:v>SYN-0626-INV-01</x:v>
      </x:c>
      <x:c r="E2189" s="39" t="n">
        <x:v>46197</x:v>
      </x:c>
      <x:c r="F2189" s="42" t="n">
        <x:v>34195.05</x:v>
      </x:c>
      <x:c r="G2189" s="42" t="n">
        <x:v>1709.75</x:v>
      </x:c>
      <x:c r="H2189" s="42" t="n">
        <x:v>97643.85</x:v>
      </x:c>
      <x:c r="I2189" s="39" t="n">
        <x:v>45810</x:v>
      </x:c>
    </x:row>
    <x:row r="2190">
      <x:c r="A2190" s="21" t="str">
        <x:v>SYN-0626</x:v>
      </x:c>
      <x:c r="B2190" s="21" t="str">
        <x:v>Synthetic Supplier 0626 LLC</x:v>
      </x:c>
      <x:c r="C2190" s="38" t="str">
        <x:f>"900 000 000 000 626"</x:f>
        <x:v>900 000 000 000 626</x:v>
      </x:c>
      <x:c r="D2190" s="21" t="str">
        <x:v>SYN-0626-INV-02</x:v>
      </x:c>
      <x:c r="E2190" s="39" t="n">
        <x:v>46244</x:v>
      </x:c>
      <x:c r="F2190" s="42" t="n">
        <x:v>22563.65</x:v>
      </x:c>
      <x:c r="G2190" s="42" t="n">
        <x:v>1128.18</x:v>
      </x:c>
      <x:c r="H2190" s="42" t="n">
        <x:v>97643.85</x:v>
      </x:c>
      <x:c r="I2190" s="39" t="n">
        <x:v>45810</x:v>
      </x:c>
    </x:row>
    <x:row r="2191">
      <x:c r="A2191" s="21" t="str">
        <x:v>SYN-0626</x:v>
      </x:c>
      <x:c r="B2191" s="21" t="str">
        <x:v>Synthetic Supplier 0626 LLC</x:v>
      </x:c>
      <x:c r="C2191" s="38" t="str">
        <x:f>"900 000 000 000 626"</x:f>
        <x:v>900 000 000 000 626</x:v>
      </x:c>
      <x:c r="D2191" s="21" t="str">
        <x:v>SYN-0626-INV-03</x:v>
      </x:c>
      <x:c r="E2191" s="39" t="n">
        <x:v>46291</x:v>
      </x:c>
      <x:c r="F2191" s="42" t="n">
        <x:v>21892.38</x:v>
      </x:c>
      <x:c r="G2191" s="42" t="n">
        <x:v>1094.62</x:v>
      </x:c>
      <x:c r="H2191" s="42" t="n">
        <x:v>97643.85</x:v>
      </x:c>
      <x:c r="I2191" s="39" t="n">
        <x:v>45810</x:v>
      </x:c>
    </x:row>
    <x:row r="2192">
      <x:c r="A2192" s="21" t="str">
        <x:v>SYN-0626</x:v>
      </x:c>
      <x:c r="B2192" s="21" t="str">
        <x:v>Synthetic Supplier 0626 LLC</x:v>
      </x:c>
      <x:c r="C2192" s="38" t="str">
        <x:f>"900 000 000 000 626"</x:f>
        <x:v>900 000 000 000 626</x:v>
      </x:c>
      <x:c r="D2192" s="21" t="str">
        <x:v>SYN-0626-INV-04</x:v>
      </x:c>
      <x:c r="E2192" s="39" t="n">
        <x:v>45978</x:v>
      </x:c>
      <x:c r="F2192" s="42" t="n">
        <x:v>29842.08</x:v>
      </x:c>
      <x:c r="G2192" s="42" t="n">
        <x:v>1492.1</x:v>
      </x:c>
      <x:c r="H2192" s="42" t="n">
        <x:v>97643.85</x:v>
      </x:c>
      <x:c r="I2192" s="39" t="n">
        <x:v>45810</x:v>
      </x:c>
    </x:row>
    <x:row r="2193">
      <x:c r="A2193" s="21" t="str">
        <x:v>SYN-0627</x:v>
      </x:c>
      <x:c r="B2193" s="21" t="str">
        <x:v>Synthetic Supplier 0627 LLC</x:v>
      </x:c>
      <x:c r="C2193" s="38" t="str">
        <x:f>"900 000 000 000 627"</x:f>
        <x:v>900 000 000 000 627</x:v>
      </x:c>
      <x:c r="D2193" s="21" t="str">
        <x:v>SYN-0627-INV-01</x:v>
      </x:c>
      <x:c r="E2193" s="39" t="n">
        <x:v>46210</x:v>
      </x:c>
      <x:c r="F2193" s="42" t="n">
        <x:v>41949.86</x:v>
      </x:c>
      <x:c r="G2193" s="42" t="n">
        <x:v>2097.49</x:v>
      </x:c>
      <x:c r="H2193" s="42" t="n">
        <x:v>236782.28</x:v>
      </x:c>
      <x:c r="I2193" s="39" t="n">
        <x:v>46206</x:v>
      </x:c>
    </x:row>
    <x:row r="2194">
      <x:c r="A2194" s="21" t="str">
        <x:v>SYN-0627</x:v>
      </x:c>
      <x:c r="B2194" s="21" t="str">
        <x:v>Synthetic Supplier 0627 LLC</x:v>
      </x:c>
      <x:c r="C2194" s="38" t="str">
        <x:f>"900 000 000 000 627"</x:f>
        <x:v>900 000 000 000 627</x:v>
      </x:c>
      <x:c r="D2194" s="21" t="str">
        <x:v>SYN-0627-INV-02</x:v>
      </x:c>
      <x:c r="E2194" s="39" t="n">
        <x:v>46257</x:v>
      </x:c>
      <x:c r="F2194" s="42" t="n">
        <x:v>54620.14</x:v>
      </x:c>
      <x:c r="G2194" s="42" t="n">
        <x:v>2731.01</x:v>
      </x:c>
      <x:c r="H2194" s="42" t="n">
        <x:v>236782.28</x:v>
      </x:c>
      <x:c r="I2194" s="39" t="n">
        <x:v>46206</x:v>
      </x:c>
    </x:row>
    <x:row r="2195">
      <x:c r="A2195" s="21" t="str">
        <x:v>SYN-0627</x:v>
      </x:c>
      <x:c r="B2195" s="21" t="str">
        <x:v>Synthetic Supplier 0627 LLC</x:v>
      </x:c>
      <x:c r="C2195" s="38" t="str">
        <x:f>"900 000 000 000 627"</x:f>
        <x:v>900 000 000 000 627</x:v>
      </x:c>
      <x:c r="D2195" s="21" t="str">
        <x:v>SYN-0627-INV-03</x:v>
      </x:c>
      <x:c r="E2195" s="39" t="n">
        <x:v>45944</x:v>
      </x:c>
      <x:c r="F2195" s="42" t="n">
        <x:v>80702.54</x:v>
      </x:c>
      <x:c r="G2195" s="42" t="n">
        <x:v>4035.13</x:v>
      </x:c>
      <x:c r="H2195" s="42" t="n">
        <x:v>236782.28</x:v>
      </x:c>
      <x:c r="I2195" s="39" t="n">
        <x:v>46206</x:v>
      </x:c>
    </x:row>
    <x:row r="2196">
      <x:c r="A2196" s="21" t="str">
        <x:v>SYN-0627</x:v>
      </x:c>
      <x:c r="B2196" s="21" t="str">
        <x:v>Synthetic Supplier 0627 LLC</x:v>
      </x:c>
      <x:c r="C2196" s="38" t="str">
        <x:f>"900 000 000 000 627"</x:f>
        <x:v>900 000 000 000 627</x:v>
      </x:c>
      <x:c r="D2196" s="21" t="str">
        <x:v>SYN-0627-INV-04</x:v>
      </x:c>
      <x:c r="E2196" s="39" t="n">
        <x:v>45991</x:v>
      </x:c>
      <x:c r="F2196" s="42" t="n">
        <x:v>42527.19</x:v>
      </x:c>
      <x:c r="G2196" s="42" t="n">
        <x:v>2126.36</x:v>
      </x:c>
      <x:c r="H2196" s="42" t="n">
        <x:v>236782.28</x:v>
      </x:c>
      <x:c r="I2196" s="39" t="n">
        <x:v>46206</x:v>
      </x:c>
    </x:row>
    <x:row r="2197">
      <x:c r="A2197" s="21" t="str">
        <x:v>SYN-0627</x:v>
      </x:c>
      <x:c r="B2197" s="21" t="str">
        <x:v>Synthetic Supplier 0627 LLC</x:v>
      </x:c>
      <x:c r="C2197" s="38" t="str">
        <x:f>"900 000 000 000 627"</x:f>
        <x:v>900 000 000 000 627</x:v>
      </x:c>
      <x:c r="D2197" s="21" t="str">
        <x:v>SYN-0627-INV-05</x:v>
      </x:c>
      <x:c r="E2197" s="39" t="n">
        <x:v>46038</x:v>
      </x:c>
      <x:c r="F2197" s="42" t="n">
        <x:v>43291.69</x:v>
      </x:c>
      <x:c r="G2197" s="42" t="n">
        <x:v>2164.58</x:v>
      </x:c>
      <x:c r="H2197" s="42" t="n">
        <x:v>236782.28</x:v>
      </x:c>
      <x:c r="I2197" s="39" t="n">
        <x:v>46206</x:v>
      </x:c>
    </x:row>
    <x:row r="2198">
      <x:c r="A2198" s="21" t="str">
        <x:v>SYN-0628</x:v>
      </x:c>
      <x:c r="B2198" s="21" t="str">
        <x:v>Synthetic Supplier 0628 LLC</x:v>
      </x:c>
      <x:c r="C2198" s="38" t="str">
        <x:f>"900 000 000 000 628"</x:f>
        <x:v>900 000 000 000 628</x:v>
      </x:c>
      <x:c r="D2198" s="21" t="str">
        <x:v>SYN-0628-INV-01</x:v>
      </x:c>
      <x:c r="E2198" s="39" t="n">
        <x:v>46223</x:v>
      </x:c>
      <x:c r="F2198" s="42" t="n">
        <x:v>162591.58</x:v>
      </x:c>
      <x:c r="G2198" s="42" t="n">
        <x:v>8129.58</x:v>
      </x:c>
      <x:c r="H2198" s="42" t="n">
        <x:v>257089.75</x:v>
      </x:c>
      <x:c r="I2198" s="39" t="n">
        <x:v>45873</x:v>
      </x:c>
    </x:row>
    <x:row r="2199">
      <x:c r="A2199" s="21" t="str">
        <x:v>SYN-0628</x:v>
      </x:c>
      <x:c r="B2199" s="21" t="str">
        <x:v>Synthetic Supplier 0628 LLC</x:v>
      </x:c>
      <x:c r="C2199" s="38" t="str">
        <x:f>"900 000 000 000 628"</x:f>
        <x:v>900 000 000 000 628</x:v>
      </x:c>
      <x:c r="D2199" s="21" t="str">
        <x:v>SYN-0628-INV-02</x:v>
      </x:c>
      <x:c r="E2199" s="39" t="n">
        <x:v>46270</x:v>
      </x:c>
      <x:c r="F2199" s="42" t="n">
        <x:v>123063.7</x:v>
      </x:c>
      <x:c r="G2199" s="42" t="n">
        <x:v>6153.18</x:v>
      </x:c>
      <x:c r="H2199" s="42" t="n">
        <x:v>257089.75</x:v>
      </x:c>
      <x:c r="I2199" s="39" t="n">
        <x:v>45873</x:v>
      </x:c>
    </x:row>
    <x:row r="2200">
      <x:c r="A2200" s="21" t="str">
        <x:v>SYN-0629</x:v>
      </x:c>
      <x:c r="B2200" s="21" t="str">
        <x:v>Synthetic Supplier 0629 LLC</x:v>
      </x:c>
      <x:c r="C2200" s="38" t="str">
        <x:f>"900 000 000 000 629"</x:f>
        <x:v>900 000 000 000 629</x:v>
      </x:c>
      <x:c r="D2200" s="21" t="str">
        <x:v>SYN-0629-INV-01</x:v>
      </x:c>
      <x:c r="E2200" s="39" t="n">
        <x:v>46236</x:v>
      </x:c>
      <x:c r="F2200" s="42" t="n">
        <x:v>163510.6</x:v>
      </x:c>
      <x:c r="G2200" s="42" t="n">
        <x:v>8175.53</x:v>
      </x:c>
      <x:c r="H2200" s="42" t="n">
        <x:v>288975.64</x:v>
      </x:c>
      <x:c r="I2200" s="39" t="n">
        <x:v>46270</x:v>
      </x:c>
    </x:row>
    <x:row r="2201">
      <x:c r="A2201" s="21" t="str">
        <x:v>SYN-0629</x:v>
      </x:c>
      <x:c r="B2201" s="21" t="str">
        <x:v>Synthetic Supplier 0629 LLC</x:v>
      </x:c>
      <x:c r="C2201" s="38" t="str">
        <x:f>"900 000 000 000 629"</x:f>
        <x:v>900 000 000 000 629</x:v>
      </x:c>
      <x:c r="D2201" s="21" t="str">
        <x:v>SYN-0629-INV-02</x:v>
      </x:c>
      <x:c r="E2201" s="39" t="n">
        <x:v>46283</x:v>
      </x:c>
      <x:c r="F2201" s="42" t="n">
        <x:v>81150.01</x:v>
      </x:c>
      <x:c r="G2201" s="42" t="n">
        <x:v>4057.5</x:v>
      </x:c>
      <x:c r="H2201" s="42" t="n">
        <x:v>288975.64</x:v>
      </x:c>
      <x:c r="I2201" s="39" t="n">
        <x:v>46270</x:v>
      </x:c>
    </x:row>
    <x:row r="2202">
      <x:c r="A2202" s="21" t="str">
        <x:v>SYN-0629</x:v>
      </x:c>
      <x:c r="B2202" s="21" t="str">
        <x:v>Synthetic Supplier 0629 LLC</x:v>
      </x:c>
      <x:c r="C2202" s="38" t="str">
        <x:f>"900 000 000 000 629"</x:f>
        <x:v>900 000 000 000 629</x:v>
      </x:c>
      <x:c r="D2202" s="21" t="str">
        <x:v>SYN-0629-INV-03</x:v>
      </x:c>
      <x:c r="E2202" s="39" t="n">
        <x:v>45970</x:v>
      </x:c>
      <x:c r="F2202" s="42" t="n">
        <x:v>76423.43</x:v>
      </x:c>
      <x:c r="G2202" s="42" t="n">
        <x:v>3821.17</x:v>
      </x:c>
      <x:c r="H2202" s="42" t="n">
        <x:v>288975.64</x:v>
      </x:c>
      <x:c r="I2202" s="39" t="n">
        <x:v>46270</x:v>
      </x:c>
    </x:row>
    <x:row r="2203">
      <x:c r="A2203" s="21" t="str">
        <x:v>SYN-0630</x:v>
      </x:c>
      <x:c r="B2203" s="21" t="str">
        <x:v>Synthetic Supplier 0630 LLC</x:v>
      </x:c>
      <x:c r="C2203" s="38" t="str">
        <x:f>"900 000 000 000 630"</x:f>
        <x:v>900 000 000 000 630</x:v>
      </x:c>
      <x:c r="D2203" s="21" t="str">
        <x:v>SYN-0630-INV-01</x:v>
      </x:c>
      <x:c r="E2203" s="39" t="n">
        <x:v>46249</x:v>
      </x:c>
      <x:c r="F2203" s="42" t="n">
        <x:v>46088.51</x:v>
      </x:c>
      <x:c r="G2203" s="42" t="n">
        <x:v>2304.43</x:v>
      </x:c>
      <x:c r="H2203" s="42" t="n">
        <x:v>174525.53</x:v>
      </x:c>
      <x:c r="I2203" s="39"/>
    </x:row>
    <x:row r="2204">
      <x:c r="A2204" s="21" t="str">
        <x:v>SYN-0630</x:v>
      </x:c>
      <x:c r="B2204" s="21" t="str">
        <x:v>Synthetic Supplier 0630 LLC</x:v>
      </x:c>
      <x:c r="C2204" s="38" t="str">
        <x:f>"900 000 000 000 630"</x:f>
        <x:v>900 000 000 000 630</x:v>
      </x:c>
      <x:c r="D2204" s="21" t="str">
        <x:v>SYN-0630-INV-02</x:v>
      </x:c>
      <x:c r="E2204" s="39" t="n">
        <x:v>45936</x:v>
      </x:c>
      <x:c r="F2204" s="42" t="n">
        <x:v>35845.62</x:v>
      </x:c>
      <x:c r="G2204" s="42" t="n">
        <x:v>1792.28</x:v>
      </x:c>
      <x:c r="H2204" s="42" t="n">
        <x:v>174525.53</x:v>
      </x:c>
      <x:c r="I2204" s="39"/>
    </x:row>
    <x:row r="2205">
      <x:c r="A2205" s="21" t="str">
        <x:v>SYN-0630</x:v>
      </x:c>
      <x:c r="B2205" s="21" t="str">
        <x:v>Synthetic Supplier 0630 LLC</x:v>
      </x:c>
      <x:c r="C2205" s="38" t="str">
        <x:f>"900 000 000 000 630"</x:f>
        <x:v>900 000 000 000 630</x:v>
      </x:c>
      <x:c r="D2205" s="21" t="str">
        <x:v>SYN-0630-INV-03</x:v>
      </x:c>
      <x:c r="E2205" s="39" t="n">
        <x:v>45983</x:v>
      </x:c>
      <x:c r="F2205" s="42" t="n">
        <x:v>22571.91</x:v>
      </x:c>
      <x:c r="G2205" s="42" t="n">
        <x:v>1128.6</x:v>
      </x:c>
      <x:c r="H2205" s="42" t="n">
        <x:v>174525.53</x:v>
      </x:c>
      <x:c r="I2205" s="39"/>
    </x:row>
    <x:row r="2206">
      <x:c r="A2206" s="21" t="str">
        <x:v>SYN-0630</x:v>
      </x:c>
      <x:c r="B2206" s="21" t="str">
        <x:v>Synthetic Supplier 0630 LLC</x:v>
      </x:c>
      <x:c r="C2206" s="38" t="str">
        <x:f>"900 000 000 000 630"</x:f>
        <x:v>900 000 000 000 630</x:v>
      </x:c>
      <x:c r="D2206" s="21" t="str">
        <x:v>SYN-0630-INV-04</x:v>
      </x:c>
      <x:c r="E2206" s="39" t="n">
        <x:v>46030</x:v>
      </x:c>
      <x:c r="F2206" s="42" t="n">
        <x:v>47255.29</x:v>
      </x:c>
      <x:c r="G2206" s="42" t="n">
        <x:v>2362.76</x:v>
      </x:c>
      <x:c r="H2206" s="42" t="n">
        <x:v>174525.53</x:v>
      </x:c>
      <x:c r="I2206" s="39"/>
    </x:row>
    <x:row r="2207">
      <x:c r="A2207" s="21" t="str">
        <x:v>SYN-0631</x:v>
      </x:c>
      <x:c r="B2207" s="21" t="str">
        <x:v>Synthetic Supplier 0631 LLC</x:v>
      </x:c>
      <x:c r="C2207" s="38" t="str">
        <x:f>"900 000 000 000 631"</x:f>
        <x:v>900 000 000 000 631</x:v>
      </x:c>
      <x:c r="D2207" s="21" t="str">
        <x:v>SYN-0631-INV-01</x:v>
      </x:c>
      <x:c r="E2207" s="39" t="n">
        <x:v>46262</x:v>
      </x:c>
      <x:c r="F2207" s="42" t="n">
        <x:v>33808.82</x:v>
      </x:c>
      <x:c r="G2207" s="42" t="n">
        <x:v>1690.44</x:v>
      </x:c>
      <x:c r="H2207" s="42" t="n">
        <x:v>128162.45</x:v>
      </x:c>
      <x:c r="I2207" s="39" t="n">
        <x:v>46060</x:v>
      </x:c>
    </x:row>
    <x:row r="2208">
      <x:c r="A2208" s="21" t="str">
        <x:v>SYN-0631</x:v>
      </x:c>
      <x:c r="B2208" s="21" t="str">
        <x:v>Synthetic Supplier 0631 LLC</x:v>
      </x:c>
      <x:c r="C2208" s="38" t="str">
        <x:f>"900 000 000 000 631"</x:f>
        <x:v>900 000 000 000 631</x:v>
      </x:c>
      <x:c r="D2208" s="21" t="str">
        <x:v>SYN-0631-INV-02</x:v>
      </x:c>
      <x:c r="E2208" s="39" t="n">
        <x:v>45949</x:v>
      </x:c>
      <x:c r="F2208" s="42" t="n">
        <x:v>23900.42</x:v>
      </x:c>
      <x:c r="G2208" s="42" t="n">
        <x:v>1195.02</x:v>
      </x:c>
      <x:c r="H2208" s="42" t="n">
        <x:v>128162.45</x:v>
      </x:c>
      <x:c r="I2208" s="39" t="n">
        <x:v>46060</x:v>
      </x:c>
    </x:row>
    <x:row r="2209">
      <x:c r="A2209" s="21" t="str">
        <x:v>SYN-0631</x:v>
      </x:c>
      <x:c r="B2209" s="21" t="str">
        <x:v>Synthetic Supplier 0631 LLC</x:v>
      </x:c>
      <x:c r="C2209" s="38" t="str">
        <x:f>"900 000 000 000 631"</x:f>
        <x:v>900 000 000 000 631</x:v>
      </x:c>
      <x:c r="D2209" s="21" t="str">
        <x:v>SYN-0631-INV-03</x:v>
      </x:c>
      <x:c r="E2209" s="39" t="n">
        <x:v>45996</x:v>
      </x:c>
      <x:c r="F2209" s="42" t="n">
        <x:v>25320.24</x:v>
      </x:c>
      <x:c r="G2209" s="42" t="n">
        <x:v>1266.01</x:v>
      </x:c>
      <x:c r="H2209" s="42" t="n">
        <x:v>128162.45</x:v>
      </x:c>
      <x:c r="I2209" s="39" t="n">
        <x:v>46060</x:v>
      </x:c>
    </x:row>
    <x:row r="2210">
      <x:c r="A2210" s="21" t="str">
        <x:v>SYN-0631</x:v>
      </x:c>
      <x:c r="B2210" s="21" t="str">
        <x:v>Synthetic Supplier 0631 LLC</x:v>
      </x:c>
      <x:c r="C2210" s="38" t="str">
        <x:f>"900 000 000 000 631"</x:f>
        <x:v>900 000 000 000 631</x:v>
      </x:c>
      <x:c r="D2210" s="21" t="str">
        <x:v>SYN-0631-INV-04</x:v>
      </x:c>
      <x:c r="E2210" s="39" t="n">
        <x:v>46043</x:v>
      </x:c>
      <x:c r="F2210" s="42" t="n">
        <x:v>38167.51</x:v>
      </x:c>
      <x:c r="G2210" s="42" t="n">
        <x:v>1908.38</x:v>
      </x:c>
      <x:c r="H2210" s="42" t="n">
        <x:v>128162.45</x:v>
      </x:c>
      <x:c r="I2210" s="39" t="n">
        <x:v>46060</x:v>
      </x:c>
    </x:row>
    <x:row r="2211">
      <x:c r="A2211" s="21" t="str">
        <x:v>SYN-0631</x:v>
      </x:c>
      <x:c r="B2211" s="21" t="str">
        <x:v>Synthetic Supplier 0631 LLC</x:v>
      </x:c>
      <x:c r="C2211" s="38" t="str">
        <x:f>"900 000 000 000 631"</x:f>
        <x:v>900 000 000 000 631</x:v>
      </x:c>
      <x:c r="D2211" s="21" t="str">
        <x:v>SYN-0631-INV-05</x:v>
      </x:c>
      <x:c r="E2211" s="39" t="n">
        <x:v>46090</x:v>
      </x:c>
      <x:c r="F2211" s="42" t="n">
        <x:v>21205.72</x:v>
      </x:c>
      <x:c r="G2211" s="42" t="n">
        <x:v>1060.29</x:v>
      </x:c>
      <x:c r="H2211" s="42" t="n">
        <x:v>128162.45</x:v>
      </x:c>
      <x:c r="I2211" s="39" t="n">
        <x:v>46060</x:v>
      </x:c>
    </x:row>
    <x:row r="2212">
      <x:c r="A2212" s="21" t="str">
        <x:v>SYN-0632</x:v>
      </x:c>
      <x:c r="B2212" s="21" t="str">
        <x:v>Synthetic Supplier 0632 LLC</x:v>
      </x:c>
      <x:c r="C2212" s="38" t="str">
        <x:f>"900 000 000 000 632"</x:f>
        <x:v>900 000 000 000 632</x:v>
      </x:c>
      <x:c r="D2212" s="21" t="str">
        <x:v>SYN-0632-INV-01</x:v>
      </x:c>
      <x:c r="E2212" s="39" t="n">
        <x:v>46275</x:v>
      </x:c>
      <x:c r="F2212" s="42" t="n">
        <x:v>62910.71</x:v>
      </x:c>
      <x:c r="G2212" s="42" t="n">
        <x:v>3145.54</x:v>
      </x:c>
      <x:c r="H2212" s="42" t="n">
        <x:v>107774.77</x:v>
      </x:c>
      <x:c r="I2212" s="39" t="n">
        <x:v>45724</x:v>
      </x:c>
    </x:row>
    <x:row r="2213">
      <x:c r="A2213" s="21" t="str">
        <x:v>SYN-0632</x:v>
      </x:c>
      <x:c r="B2213" s="21" t="str">
        <x:v>Synthetic Supplier 0632 LLC</x:v>
      </x:c>
      <x:c r="C2213" s="38" t="str">
        <x:f>"900 000 000 000 632"</x:f>
        <x:v>900 000 000 000 632</x:v>
      </x:c>
      <x:c r="D2213" s="21" t="str">
        <x:v>SYN-0632-INV-02</x:v>
      </x:c>
      <x:c r="E2213" s="39" t="n">
        <x:v>45962</x:v>
      </x:c>
      <x:c r="F2213" s="42" t="n">
        <x:v>56839.03</x:v>
      </x:c>
      <x:c r="G2213" s="42" t="n">
        <x:v>2841.95</x:v>
      </x:c>
      <x:c r="H2213" s="42" t="n">
        <x:v>107774.77</x:v>
      </x:c>
      <x:c r="I2213" s="39" t="n">
        <x:v>45724</x:v>
      </x:c>
    </x:row>
    <x:row r="2214">
      <x:c r="A2214" s="21" t="str">
        <x:v>SYN-0633</x:v>
      </x:c>
      <x:c r="B2214" s="21" t="str">
        <x:v>Synthetic Supplier 0633 LLC</x:v>
      </x:c>
      <x:c r="C2214" s="38" t="str">
        <x:f>"900 000 000 000 633"</x:f>
        <x:v>900 000 000 000 633</x:v>
      </x:c>
      <x:c r="D2214" s="21" t="str">
        <x:v>SYN-0633-INV-01</x:v>
      </x:c>
      <x:c r="E2214" s="39" t="n">
        <x:v>46288</x:v>
      </x:c>
      <x:c r="F2214" s="42" t="n">
        <x:v>66537.93</x:v>
      </x:c>
      <x:c r="G2214" s="42" t="n">
        <x:v>3326.9</x:v>
      </x:c>
      <x:c r="H2214" s="42" t="n">
        <x:v>183418.8</x:v>
      </x:c>
      <x:c r="I2214" s="39" t="n">
        <x:v>46121</x:v>
      </x:c>
    </x:row>
    <x:row r="2215">
      <x:c r="A2215" s="21" t="str">
        <x:v>SYN-0633</x:v>
      </x:c>
      <x:c r="B2215" s="21" t="str">
        <x:v>Synthetic Supplier 0633 LLC</x:v>
      </x:c>
      <x:c r="C2215" s="38" t="str">
        <x:f>"900 000 000 000 633"</x:f>
        <x:v>900 000 000 000 633</x:v>
      </x:c>
      <x:c r="D2215" s="21" t="str">
        <x:v>SYN-0633-INV-02</x:v>
      </x:c>
      <x:c r="E2215" s="39" t="n">
        <x:v>45975</x:v>
      </x:c>
      <x:c r="F2215" s="42" t="n">
        <x:v>65583.16</x:v>
      </x:c>
      <x:c r="G2215" s="42" t="n">
        <x:v>3279.16</x:v>
      </x:c>
      <x:c r="H2215" s="42" t="n">
        <x:v>183418.8</x:v>
      </x:c>
      <x:c r="I2215" s="39" t="n">
        <x:v>46121</x:v>
      </x:c>
    </x:row>
    <x:row r="2216">
      <x:c r="A2216" s="21" t="str">
        <x:v>SYN-0633</x:v>
      </x:c>
      <x:c r="B2216" s="21" t="str">
        <x:v>Synthetic Supplier 0633 LLC</x:v>
      </x:c>
      <x:c r="C2216" s="38" t="str">
        <x:f>"900 000 000 000 633"</x:f>
        <x:v>900 000 000 000 633</x:v>
      </x:c>
      <x:c r="D2216" s="21" t="str">
        <x:v>SYN-0633-INV-03</x:v>
      </x:c>
      <x:c r="E2216" s="39" t="n">
        <x:v>46022</x:v>
      </x:c>
      <x:c r="F2216" s="42" t="n">
        <x:v>71677.57</x:v>
      </x:c>
      <x:c r="G2216" s="42" t="n">
        <x:v>3583.88</x:v>
      </x:c>
      <x:c r="H2216" s="42" t="n">
        <x:v>183418.8</x:v>
      </x:c>
      <x:c r="I2216" s="39" t="n">
        <x:v>46121</x:v>
      </x:c>
    </x:row>
    <x:row r="2217">
      <x:c r="A2217" s="21" t="str">
        <x:v>SYN-0634</x:v>
      </x:c>
      <x:c r="B2217" s="21" t="str">
        <x:v>Synthetic Supplier 0634 LLC</x:v>
      </x:c>
      <x:c r="C2217" s="38" t="str">
        <x:f>"900 000 000 000 634"</x:f>
        <x:v>900 000 000 000 634</x:v>
      </x:c>
      <x:c r="D2217" s="21" t="str">
        <x:v>SYN-0634-INV-01</x:v>
      </x:c>
      <x:c r="E2217" s="39" t="n">
        <x:v>45941</x:v>
      </x:c>
      <x:c r="F2217" s="42" t="n">
        <x:v>46998.12</x:v>
      </x:c>
      <x:c r="G2217" s="42" t="n">
        <x:v>2349.91</x:v>
      </x:c>
      <x:c r="H2217" s="42" t="n">
        <x:v>137241.7</x:v>
      </x:c>
      <x:c r="I2217" s="39" t="n">
        <x:v>45787</x:v>
      </x:c>
    </x:row>
    <x:row r="2218">
      <x:c r="A2218" s="21" t="str">
        <x:v>SYN-0634</x:v>
      </x:c>
      <x:c r="B2218" s="21" t="str">
        <x:v>Synthetic Supplier 0634 LLC</x:v>
      </x:c>
      <x:c r="C2218" s="38" t="str">
        <x:f>"900 000 000 000 634"</x:f>
        <x:v>900 000 000 000 634</x:v>
      </x:c>
      <x:c r="D2218" s="21" t="str">
        <x:v>SYN-0634-INV-02</x:v>
      </x:c>
      <x:c r="E2218" s="39" t="n">
        <x:v>45988</x:v>
      </x:c>
      <x:c r="F2218" s="42" t="n">
        <x:v>25433.05</x:v>
      </x:c>
      <x:c r="G2218" s="42" t="n">
        <x:v>1271.65</x:v>
      </x:c>
      <x:c r="H2218" s="42" t="n">
        <x:v>137241.7</x:v>
      </x:c>
      <x:c r="I2218" s="39" t="n">
        <x:v>45787</x:v>
      </x:c>
    </x:row>
    <x:row r="2219">
      <x:c r="A2219" s="21" t="str">
        <x:v>SYN-0634</x:v>
      </x:c>
      <x:c r="B2219" s="21" t="str">
        <x:v>Synthetic Supplier 0634 LLC</x:v>
      </x:c>
      <x:c r="C2219" s="38" t="str">
        <x:f>"900 000 000 000 634"</x:f>
        <x:v>900 000 000 000 634</x:v>
      </x:c>
      <x:c r="D2219" s="21" t="str">
        <x:v>SYN-0634-INV-03</x:v>
      </x:c>
      <x:c r="E2219" s="39" t="n">
        <x:v>46035</x:v>
      </x:c>
      <x:c r="F2219" s="42" t="n">
        <x:v>44753.99</x:v>
      </x:c>
      <x:c r="G2219" s="42" t="n">
        <x:v>2237.7</x:v>
      </x:c>
      <x:c r="H2219" s="42" t="n">
        <x:v>137241.7</x:v>
      </x:c>
      <x:c r="I2219" s="39" t="n">
        <x:v>45787</x:v>
      </x:c>
    </x:row>
    <x:row r="2220">
      <x:c r="A2220" s="21" t="str">
        <x:v>SYN-0634</x:v>
      </x:c>
      <x:c r="B2220" s="21" t="str">
        <x:v>Synthetic Supplier 0634 LLC</x:v>
      </x:c>
      <x:c r="C2220" s="38" t="str">
        <x:f>"900 000 000 000 634"</x:f>
        <x:v>900 000 000 000 634</x:v>
      </x:c>
      <x:c r="D2220" s="21" t="str">
        <x:v>SYN-0634-INV-04</x:v>
      </x:c>
      <x:c r="E2220" s="39" t="n">
        <x:v>46082</x:v>
      </x:c>
      <x:c r="F2220" s="42" t="n">
        <x:v>35305.62</x:v>
      </x:c>
      <x:c r="G2220" s="42" t="n">
        <x:v>1765.28</x:v>
      </x:c>
      <x:c r="H2220" s="42" t="n">
        <x:v>137241.7</x:v>
      </x:c>
      <x:c r="I2220" s="39" t="n">
        <x:v>45787</x:v>
      </x:c>
    </x:row>
    <x:row r="2221">
      <x:c r="A2221" s="21" t="str">
        <x:v>SYN-0635</x:v>
      </x:c>
      <x:c r="B2221" s="21" t="str">
        <x:v>Synthetic Supplier 0635 LLC</x:v>
      </x:c>
      <x:c r="C2221" s="38" t="str">
        <x:f>"900 000 000 000 635"</x:f>
        <x:v>900 000 000 000 635</x:v>
      </x:c>
      <x:c r="D2221" s="21" t="str">
        <x:v>SYN-0635-INV-01</x:v>
      </x:c>
      <x:c r="E2221" s="39" t="n">
        <x:v>45954</x:v>
      </x:c>
      <x:c r="F2221" s="42" t="n">
        <x:v>29162.92</x:v>
      </x:c>
      <x:c r="G2221" s="42" t="n">
        <x:v>1458.15</x:v>
      </x:c>
      <x:c r="H2221" s="42" t="n">
        <x:v>112430.43</x:v>
      </x:c>
      <x:c r="I2221" s="39"/>
    </x:row>
    <x:row r="2222">
      <x:c r="A2222" s="21" t="str">
        <x:v>SYN-0635</x:v>
      </x:c>
      <x:c r="B2222" s="21" t="str">
        <x:v>Synthetic Supplier 0635 LLC</x:v>
      </x:c>
      <x:c r="C2222" s="38" t="str">
        <x:f>"900 000 000 000 635"</x:f>
        <x:v>900 000 000 000 635</x:v>
      </x:c>
      <x:c r="D2222" s="21" t="str">
        <x:v>SYN-0635-INV-02</x:v>
      </x:c>
      <x:c r="E2222" s="39" t="n">
        <x:v>46001</x:v>
      </x:c>
      <x:c r="F2222" s="42" t="n">
        <x:v>16380.04</x:v>
      </x:c>
      <x:c r="G2222" s="42" t="n">
        <x:v>819</x:v>
      </x:c>
      <x:c r="H2222" s="42" t="n">
        <x:v>112430.43</x:v>
      </x:c>
      <x:c r="I2222" s="39"/>
    </x:row>
    <x:row r="2223">
      <x:c r="A2223" s="21" t="str">
        <x:v>SYN-0635</x:v>
      </x:c>
      <x:c r="B2223" s="21" t="str">
        <x:v>Synthetic Supplier 0635 LLC</x:v>
      </x:c>
      <x:c r="C2223" s="38" t="str">
        <x:f>"900 000 000 000 635"</x:f>
        <x:v>900 000 000 000 635</x:v>
      </x:c>
      <x:c r="D2223" s="21" t="str">
        <x:v>SYN-0635-INV-03</x:v>
      </x:c>
      <x:c r="E2223" s="39" t="n">
        <x:v>46048</x:v>
      </x:c>
      <x:c r="F2223" s="42" t="n">
        <x:v>23151.78</x:v>
      </x:c>
      <x:c r="G2223" s="42" t="n">
        <x:v>1157.59</x:v>
      </x:c>
      <x:c r="H2223" s="42" t="n">
        <x:v>112430.43</x:v>
      </x:c>
      <x:c r="I2223" s="39"/>
    </x:row>
    <x:row r="2224">
      <x:c r="A2224" s="21" t="str">
        <x:v>SYN-0635</x:v>
      </x:c>
      <x:c r="B2224" s="21" t="str">
        <x:v>Synthetic Supplier 0635 LLC</x:v>
      </x:c>
      <x:c r="C2224" s="38" t="str">
        <x:f>"900 000 000 000 635"</x:f>
        <x:v>900 000 000 000 635</x:v>
      </x:c>
      <x:c r="D2224" s="21" t="str">
        <x:v>SYN-0635-INV-04</x:v>
      </x:c>
      <x:c r="E2224" s="39" t="n">
        <x:v>46095</x:v>
      </x:c>
      <x:c r="F2224" s="42" t="n">
        <x:v>33949.41</x:v>
      </x:c>
      <x:c r="G2224" s="42" t="n">
        <x:v>1697.47</x:v>
      </x:c>
      <x:c r="H2224" s="42" t="n">
        <x:v>112430.43</x:v>
      </x:c>
      <x:c r="I2224" s="39"/>
    </x:row>
    <x:row r="2225">
      <x:c r="A2225" s="21" t="str">
        <x:v>SYN-0635</x:v>
      </x:c>
      <x:c r="B2225" s="21" t="str">
        <x:v>Synthetic Supplier 0635 LLC</x:v>
      </x:c>
      <x:c r="C2225" s="38" t="str">
        <x:f>"900 000 000 000 635"</x:f>
        <x:v>900 000 000 000 635</x:v>
      </x:c>
      <x:c r="D2225" s="21" t="str">
        <x:v>SYN-0635-INV-05</x:v>
      </x:c>
      <x:c r="E2225" s="39" t="n">
        <x:v>46142</x:v>
      </x:c>
      <x:c r="F2225" s="42" t="n">
        <x:v>22278.54</x:v>
      </x:c>
      <x:c r="G2225" s="42" t="n">
        <x:v>1113.93</x:v>
      </x:c>
      <x:c r="H2225" s="42" t="n">
        <x:v>112430.43</x:v>
      </x:c>
      <x:c r="I2225" s="39"/>
    </x:row>
    <x:row r="2226">
      <x:c r="A2226" s="21" t="str">
        <x:v>SYN-0636</x:v>
      </x:c>
      <x:c r="B2226" s="21" t="str">
        <x:v>Synthetic Supplier 0636 LLC</x:v>
      </x:c>
      <x:c r="C2226" s="38" t="str">
        <x:f>"900 000 000 000 636"</x:f>
        <x:v>900 000 000 000 636</x:v>
      </x:c>
      <x:c r="D2226" s="21" t="str">
        <x:v>SYN-0636-INV-01</x:v>
      </x:c>
      <x:c r="E2226" s="39" t="n">
        <x:v>45967</x:v>
      </x:c>
      <x:c r="F2226" s="42" t="n">
        <x:v>144957.91</x:v>
      </x:c>
      <x:c r="G2226" s="42" t="n">
        <x:v>7247.9</x:v>
      </x:c>
      <x:c r="H2226" s="42" t="n">
        <x:v>239985.9</x:v>
      </x:c>
      <x:c r="I2226" s="39" t="n">
        <x:v>45850</x:v>
      </x:c>
    </x:row>
    <x:row r="2227">
      <x:c r="A2227" s="21" t="str">
        <x:v>SYN-0636</x:v>
      </x:c>
      <x:c r="B2227" s="21" t="str">
        <x:v>Synthetic Supplier 0636 LLC</x:v>
      </x:c>
      <x:c r="C2227" s="38" t="str">
        <x:f>"900 000 000 000 636"</x:f>
        <x:v>900 000 000 000 636</x:v>
      </x:c>
      <x:c r="D2227" s="21" t="str">
        <x:v>SYN-0636-INV-02</x:v>
      </x:c>
      <x:c r="E2227" s="39" t="n">
        <x:v>46014</x:v>
      </x:c>
      <x:c r="F2227" s="42" t="n">
        <x:v>121693.09</x:v>
      </x:c>
      <x:c r="G2227" s="42" t="n">
        <x:v>6084.65</x:v>
      </x:c>
      <x:c r="H2227" s="42" t="n">
        <x:v>239985.9</x:v>
      </x:c>
      <x:c r="I2227" s="39" t="n">
        <x:v>45850</x:v>
      </x:c>
    </x:row>
    <x:row r="2228">
      <x:c r="A2228" s="21" t="str">
        <x:v>SYN-0637</x:v>
      </x:c>
      <x:c r="B2228" s="21" t="str">
        <x:v>Synthetic Supplier 0637 LLC</x:v>
      </x:c>
      <x:c r="C2228" s="38" t="str">
        <x:f>"900 000 000 000 637"</x:f>
        <x:v>900 000 000 000 637</x:v>
      </x:c>
      <x:c r="D2228" s="21" t="str">
        <x:v>SYN-0637-INV-01</x:v>
      </x:c>
      <x:c r="E2228" s="39" t="n">
        <x:v>45980</x:v>
      </x:c>
      <x:c r="F2228" s="42" t="n">
        <x:v>28904</x:v>
      </x:c>
      <x:c r="G2228" s="42" t="n">
        <x:v>1445.2</x:v>
      </x:c>
      <x:c r="H2228" s="42" t="n">
        <x:v>131003.89</x:v>
      </x:c>
      <x:c r="I2228" s="39" t="n">
        <x:v>46247</x:v>
      </x:c>
    </x:row>
    <x:row r="2229">
      <x:c r="A2229" s="21" t="str">
        <x:v>SYN-0637</x:v>
      </x:c>
      <x:c r="B2229" s="21" t="str">
        <x:v>Synthetic Supplier 0637 LLC</x:v>
      </x:c>
      <x:c r="C2229" s="38" t="str">
        <x:f>"900 000 000 000 637"</x:f>
        <x:v>900 000 000 000 637</x:v>
      </x:c>
      <x:c r="D2229" s="21" t="str">
        <x:v>SYN-0637-INV-02</x:v>
      </x:c>
      <x:c r="E2229" s="39" t="n">
        <x:v>46027</x:v>
      </x:c>
      <x:c r="F2229" s="42" t="n">
        <x:v>34714.66</x:v>
      </x:c>
      <x:c r="G2229" s="42" t="n">
        <x:v>1735.73</x:v>
      </x:c>
      <x:c r="H2229" s="42" t="n">
        <x:v>131003.89</x:v>
      </x:c>
      <x:c r="I2229" s="39" t="n">
        <x:v>46247</x:v>
      </x:c>
    </x:row>
    <x:row r="2230">
      <x:c r="A2230" s="21" t="str">
        <x:v>SYN-0637</x:v>
      </x:c>
      <x:c r="B2230" s="21" t="str">
        <x:v>Synthetic Supplier 0637 LLC</x:v>
      </x:c>
      <x:c r="C2230" s="38" t="str">
        <x:f>"900 000 000 000 637"</x:f>
        <x:v>900 000 000 000 637</x:v>
      </x:c>
      <x:c r="D2230" s="21" t="str">
        <x:v>SYN-0637-INV-03</x:v>
      </x:c>
      <x:c r="E2230" s="39" t="n">
        <x:v>46074</x:v>
      </x:c>
      <x:c r="F2230" s="42" t="n">
        <x:v>50297.77</x:v>
      </x:c>
      <x:c r="G2230" s="42" t="n">
        <x:v>2514.89</x:v>
      </x:c>
      <x:c r="H2230" s="42" t="n">
        <x:v>131003.89</x:v>
      </x:c>
      <x:c r="I2230" s="39" t="n">
        <x:v>46247</x:v>
      </x:c>
    </x:row>
    <x:row r="2231">
      <x:c r="A2231" s="21" t="str">
        <x:v>SYN-0638</x:v>
      </x:c>
      <x:c r="B2231" s="21" t="str">
        <x:v>Synthetic Supplier 0638 LLC</x:v>
      </x:c>
      <x:c r="C2231" s="38" t="str">
        <x:f>"900 000 000 000 638"</x:f>
        <x:v>900 000 000 000 638</x:v>
      </x:c>
      <x:c r="D2231" s="21" t="str">
        <x:v>SYN-0638-INV-01</x:v>
      </x:c>
      <x:c r="E2231" s="39" t="n">
        <x:v>45993</x:v>
      </x:c>
      <x:c r="F2231" s="42" t="n">
        <x:v>102359.6</x:v>
      </x:c>
      <x:c r="G2231" s="42" t="n">
        <x:v>5117.98</x:v>
      </x:c>
      <x:c r="H2231" s="42" t="n">
        <x:v>287880.92</x:v>
      </x:c>
      <x:c r="I2231" s="39" t="n">
        <x:v>45914</x:v>
      </x:c>
    </x:row>
    <x:row r="2232">
      <x:c r="A2232" s="21" t="str">
        <x:v>SYN-0638</x:v>
      </x:c>
      <x:c r="B2232" s="21" t="str">
        <x:v>Synthetic Supplier 0638 LLC</x:v>
      </x:c>
      <x:c r="C2232" s="38" t="str">
        <x:f>"900 000 000 000 638"</x:f>
        <x:v>900 000 000 000 638</x:v>
      </x:c>
      <x:c r="D2232" s="21" t="str">
        <x:v>SYN-0638-INV-02</x:v>
      </x:c>
      <x:c r="E2232" s="39" t="n">
        <x:v>46040</x:v>
      </x:c>
      <x:c r="F2232" s="42" t="n">
        <x:v>65060.12</x:v>
      </x:c>
      <x:c r="G2232" s="42" t="n">
        <x:v>3253.01</x:v>
      </x:c>
      <x:c r="H2232" s="42" t="n">
        <x:v>287880.92</x:v>
      </x:c>
      <x:c r="I2232" s="39" t="n">
        <x:v>45914</x:v>
      </x:c>
    </x:row>
    <x:row r="2233">
      <x:c r="A2233" s="21" t="str">
        <x:v>SYN-0638</x:v>
      </x:c>
      <x:c r="B2233" s="21" t="str">
        <x:v>Synthetic Supplier 0638 LLC</x:v>
      </x:c>
      <x:c r="C2233" s="38" t="str">
        <x:f>"900 000 000 000 638"</x:f>
        <x:v>900 000 000 000 638</x:v>
      </x:c>
      <x:c r="D2233" s="21" t="str">
        <x:v>SYN-0638-INV-03</x:v>
      </x:c>
      <x:c r="E2233" s="39" t="n">
        <x:v>46087</x:v>
      </x:c>
      <x:c r="F2233" s="42" t="n">
        <x:v>52280.83</x:v>
      </x:c>
      <x:c r="G2233" s="42" t="n">
        <x:v>2614.04</x:v>
      </x:c>
      <x:c r="H2233" s="42" t="n">
        <x:v>287880.92</x:v>
      </x:c>
      <x:c r="I2233" s="39" t="n">
        <x:v>45914</x:v>
      </x:c>
    </x:row>
    <x:row r="2234">
      <x:c r="A2234" s="21" t="str">
        <x:v>SYN-0638</x:v>
      </x:c>
      <x:c r="B2234" s="21" t="str">
        <x:v>Synthetic Supplier 0638 LLC</x:v>
      </x:c>
      <x:c r="C2234" s="38" t="str">
        <x:f>"900 000 000 000 638"</x:f>
        <x:v>900 000 000 000 638</x:v>
      </x:c>
      <x:c r="D2234" s="21" t="str">
        <x:v>SYN-0638-INV-04</x:v>
      </x:c>
      <x:c r="E2234" s="39" t="n">
        <x:v>46134</x:v>
      </x:c>
      <x:c r="F2234" s="42" t="n">
        <x:v>100167.14</x:v>
      </x:c>
      <x:c r="G2234" s="42" t="n">
        <x:v>5008.36</x:v>
      </x:c>
      <x:c r="H2234" s="42" t="n">
        <x:v>287880.92</x:v>
      </x:c>
      <x:c r="I2234" s="39" t="n">
        <x:v>45914</x:v>
      </x:c>
    </x:row>
    <x:row r="2235">
      <x:c r="A2235" s="21" t="str">
        <x:v>SYN-0639</x:v>
      </x:c>
      <x:c r="B2235" s="21" t="str">
        <x:v>Synthetic Supplier 0639 LLC</x:v>
      </x:c>
      <x:c r="C2235" s="38" t="str">
        <x:f>"900 000 000 000 639"</x:f>
        <x:v>900 000 000 000 639</x:v>
      </x:c>
      <x:c r="D2235" s="21" t="str">
        <x:v>SYN-0639-INV-01</x:v>
      </x:c>
      <x:c r="E2235" s="39" t="n">
        <x:v>46006</x:v>
      </x:c>
      <x:c r="F2235" s="42" t="n">
        <x:v>28786.17</x:v>
      </x:c>
      <x:c r="G2235" s="42" t="n">
        <x:v>1439.31</x:v>
      </x:c>
      <x:c r="H2235" s="42" t="n">
        <x:v>196242.55</x:v>
      </x:c>
      <x:c r="I2235" s="39" t="n">
        <x:v>46037</x:v>
      </x:c>
    </x:row>
    <x:row r="2236">
      <x:c r="A2236" s="21" t="str">
        <x:v>SYN-0639</x:v>
      </x:c>
      <x:c r="B2236" s="21" t="str">
        <x:v>Synthetic Supplier 0639 LLC</x:v>
      </x:c>
      <x:c r="C2236" s="38" t="str">
        <x:f>"900 000 000 000 639"</x:f>
        <x:v>900 000 000 000 639</x:v>
      </x:c>
      <x:c r="D2236" s="21" t="str">
        <x:v>SYN-0639-INV-02</x:v>
      </x:c>
      <x:c r="E2236" s="39" t="n">
        <x:v>46053</x:v>
      </x:c>
      <x:c r="F2236" s="42" t="n">
        <x:v>52737.49</x:v>
      </x:c>
      <x:c r="G2236" s="42" t="n">
        <x:v>2636.87</x:v>
      </x:c>
      <x:c r="H2236" s="42" t="n">
        <x:v>196242.55</x:v>
      </x:c>
      <x:c r="I2236" s="39" t="n">
        <x:v>46037</x:v>
      </x:c>
    </x:row>
    <x:row r="2237">
      <x:c r="A2237" s="21" t="str">
        <x:v>SYN-0639</x:v>
      </x:c>
      <x:c r="B2237" s="21" t="str">
        <x:v>Synthetic Supplier 0639 LLC</x:v>
      </x:c>
      <x:c r="C2237" s="38" t="str">
        <x:f>"900 000 000 000 639"</x:f>
        <x:v>900 000 000 000 639</x:v>
      </x:c>
      <x:c r="D2237" s="21" t="str">
        <x:v>SYN-0639-INV-03</x:v>
      </x:c>
      <x:c r="E2237" s="39" t="n">
        <x:v>46100</x:v>
      </x:c>
      <x:c r="F2237" s="42" t="n">
        <x:v>58038.92</x:v>
      </x:c>
      <x:c r="G2237" s="42" t="n">
        <x:v>2901.95</x:v>
      </x:c>
      <x:c r="H2237" s="42" t="n">
        <x:v>196242.55</x:v>
      </x:c>
      <x:c r="I2237" s="39" t="n">
        <x:v>46037</x:v>
      </x:c>
    </x:row>
    <x:row r="2238">
      <x:c r="A2238" s="21" t="str">
        <x:v>SYN-0639</x:v>
      </x:c>
      <x:c r="B2238" s="21" t="str">
        <x:v>Synthetic Supplier 0639 LLC</x:v>
      </x:c>
      <x:c r="C2238" s="38" t="str">
        <x:f>"900 000 000 000 639"</x:f>
        <x:v>900 000 000 000 639</x:v>
      </x:c>
      <x:c r="D2238" s="21" t="str">
        <x:v>SYN-0639-INV-04</x:v>
      </x:c>
      <x:c r="E2238" s="39" t="n">
        <x:v>46147</x:v>
      </x:c>
      <x:c r="F2238" s="42" t="n">
        <x:v>38394.79</x:v>
      </x:c>
      <x:c r="G2238" s="42" t="n">
        <x:v>1919.74</x:v>
      </x:c>
      <x:c r="H2238" s="42" t="n">
        <x:v>196242.55</x:v>
      </x:c>
      <x:c r="I2238" s="39" t="n">
        <x:v>46037</x:v>
      </x:c>
    </x:row>
    <x:row r="2239">
      <x:c r="A2239" s="21" t="str">
        <x:v>SYN-0639</x:v>
      </x:c>
      <x:c r="B2239" s="21" t="str">
        <x:v>Synthetic Supplier 0639 LLC</x:v>
      </x:c>
      <x:c r="C2239" s="38" t="str">
        <x:f>"900 000 000 000 639"</x:f>
        <x:v>900 000 000 000 639</x:v>
      </x:c>
      <x:c r="D2239" s="21" t="str">
        <x:v>SYN-0639-INV-05</x:v>
      </x:c>
      <x:c r="E2239" s="39" t="n">
        <x:v>46194</x:v>
      </x:c>
      <x:c r="F2239" s="42" t="n">
        <x:v>40089.91</x:v>
      </x:c>
      <x:c r="G2239" s="42" t="n">
        <x:v>2004.5</x:v>
      </x:c>
      <x:c r="H2239" s="42" t="n">
        <x:v>196242.55</x:v>
      </x:c>
      <x:c r="I2239" s="39" t="n">
        <x:v>46037</x:v>
      </x:c>
    </x:row>
    <x:row r="2240">
      <x:c r="A2240" s="21" t="str">
        <x:v>SYN-0640</x:v>
      </x:c>
      <x:c r="B2240" s="21" t="str">
        <x:v>Synthetic Supplier 0640 LLC</x:v>
      </x:c>
      <x:c r="C2240" s="38" t="str">
        <x:f>"900 000 000 000 640"</x:f>
        <x:v>900 000 000 000 640</x:v>
      </x:c>
      <x:c r="D2240" s="21" t="str">
        <x:v>SYN-0640-INV-01</x:v>
      </x:c>
      <x:c r="E2240" s="39" t="n">
        <x:v>46019</x:v>
      </x:c>
      <x:c r="F2240" s="42" t="n">
        <x:v>128914.11</x:v>
      </x:c>
      <x:c r="G2240" s="42" t="n">
        <x:v>6445.71</x:v>
      </x:c>
      <x:c r="H2240" s="42" t="n">
        <x:v>216605.32</x:v>
      </x:c>
      <x:c r="I2240" s="39"/>
    </x:row>
    <x:row r="2241">
      <x:c r="A2241" s="21" t="str">
        <x:v>SYN-0640</x:v>
      </x:c>
      <x:c r="B2241" s="21" t="str">
        <x:v>Synthetic Supplier 0640 LLC</x:v>
      </x:c>
      <x:c r="C2241" s="38" t="str">
        <x:f>"900 000 000 000 640"</x:f>
        <x:v>900 000 000 000 640</x:v>
      </x:c>
      <x:c r="D2241" s="21" t="str">
        <x:v>SYN-0640-INV-02</x:v>
      </x:c>
      <x:c r="E2241" s="39" t="n">
        <x:v>46066</x:v>
      </x:c>
      <x:c r="F2241" s="42" t="n">
        <x:v>111758.47</x:v>
      </x:c>
      <x:c r="G2241" s="42" t="n">
        <x:v>5587.92</x:v>
      </x:c>
      <x:c r="H2241" s="42" t="n">
        <x:v>216605.32</x:v>
      </x:c>
      <x:c r="I2241" s="39"/>
    </x:row>
    <x:row r="2242">
      <x:c r="A2242" s="21" t="str">
        <x:v>SYN-0641</x:v>
      </x:c>
      <x:c r="B2242" s="21" t="str">
        <x:v>Synthetic Supplier 0641 LLC</x:v>
      </x:c>
      <x:c r="C2242" s="38" t="str">
        <x:f>"900 000 000 000 641"</x:f>
        <x:v>900 000 000 000 641</x:v>
      </x:c>
      <x:c r="D2242" s="21" t="str">
        <x:v>SYN-0641-INV-01</x:v>
      </x:c>
      <x:c r="E2242" s="39" t="n">
        <x:v>46032</x:v>
      </x:c>
      <x:c r="F2242" s="42" t="n">
        <x:v>57665</x:v>
      </x:c>
      <x:c r="G2242" s="42" t="n">
        <x:v>2883.25</x:v>
      </x:c>
      <x:c r="H2242" s="42" t="n">
        <x:v>251747.31</x:v>
      </x:c>
      <x:c r="I2242" s="39" t="n">
        <x:v>46098</x:v>
      </x:c>
    </x:row>
    <x:row r="2243">
      <x:c r="A2243" s="21" t="str">
        <x:v>SYN-0641</x:v>
      </x:c>
      <x:c r="B2243" s="21" t="str">
        <x:v>Synthetic Supplier 0641 LLC</x:v>
      </x:c>
      <x:c r="C2243" s="38" t="str">
        <x:f>"900 000 000 000 641"</x:f>
        <x:v>900 000 000 000 641</x:v>
      </x:c>
      <x:c r="D2243" s="21" t="str">
        <x:v>SYN-0641-INV-02</x:v>
      </x:c>
      <x:c r="E2243" s="39" t="n">
        <x:v>46079</x:v>
      </x:c>
      <x:c r="F2243" s="42" t="n">
        <x:v>105353.64</x:v>
      </x:c>
      <x:c r="G2243" s="42" t="n">
        <x:v>5267.68</x:v>
      </x:c>
      <x:c r="H2243" s="42" t="n">
        <x:v>251747.31</x:v>
      </x:c>
      <x:c r="I2243" s="39" t="n">
        <x:v>46098</x:v>
      </x:c>
    </x:row>
    <x:row r="2244">
      <x:c r="A2244" s="21" t="str">
        <x:v>SYN-0641</x:v>
      </x:c>
      <x:c r="B2244" s="21" t="str">
        <x:v>Synthetic Supplier 0641 LLC</x:v>
      </x:c>
      <x:c r="C2244" s="38" t="str">
        <x:f>"900 000 000 000 641"</x:f>
        <x:v>900 000 000 000 641</x:v>
      </x:c>
      <x:c r="D2244" s="21" t="str">
        <x:v>SYN-0641-INV-03</x:v>
      </x:c>
      <x:c r="E2244" s="39" t="n">
        <x:v>46126</x:v>
      </x:c>
      <x:c r="F2244" s="42" t="n">
        <x:v>116700.58</x:v>
      </x:c>
      <x:c r="G2244" s="42" t="n">
        <x:v>5835.03</x:v>
      </x:c>
      <x:c r="H2244" s="42" t="n">
        <x:v>251747.31</x:v>
      </x:c>
      <x:c r="I2244" s="39" t="n">
        <x:v>46098</x:v>
      </x:c>
    </x:row>
    <x:row r="2245">
      <x:c r="A2245" s="21" t="str">
        <x:v>SYN-0642</x:v>
      </x:c>
      <x:c r="B2245" s="21" t="str">
        <x:v>Synthetic Supplier 0642 LLC</x:v>
      </x:c>
      <x:c r="C2245" s="38" t="str">
        <x:f>"900 000 000 000 642"</x:f>
        <x:v>900 000 000 000 642</x:v>
      </x:c>
      <x:c r="D2245" s="21" t="str">
        <x:v>SYN-0642-INV-01</x:v>
      </x:c>
      <x:c r="E2245" s="39" t="n">
        <x:v>46045</x:v>
      </x:c>
      <x:c r="F2245" s="42" t="n">
        <x:v>57157.97</x:v>
      </x:c>
      <x:c r="G2245" s="42" t="n">
        <x:v>2857.9</x:v>
      </x:c>
      <x:c r="H2245" s="42" t="n">
        <x:v>261019.58</x:v>
      </x:c>
      <x:c r="I2245" s="39" t="n">
        <x:v>45765</x:v>
      </x:c>
    </x:row>
    <x:row r="2246">
      <x:c r="A2246" s="21" t="str">
        <x:v>SYN-0642</x:v>
      </x:c>
      <x:c r="B2246" s="21" t="str">
        <x:v>Synthetic Supplier 0642 LLC</x:v>
      </x:c>
      <x:c r="C2246" s="38" t="str">
        <x:f>"900 000 000 000 642"</x:f>
        <x:v>900 000 000 000 642</x:v>
      </x:c>
      <x:c r="D2246" s="21" t="str">
        <x:v>SYN-0642-INV-02</x:v>
      </x:c>
      <x:c r="E2246" s="39" t="n">
        <x:v>46092</x:v>
      </x:c>
      <x:c r="F2246" s="42" t="n">
        <x:v>53499.75</x:v>
      </x:c>
      <x:c r="G2246" s="42" t="n">
        <x:v>2674.99</x:v>
      </x:c>
      <x:c r="H2246" s="42" t="n">
        <x:v>261019.58</x:v>
      </x:c>
      <x:c r="I2246" s="39" t="n">
        <x:v>45765</x:v>
      </x:c>
    </x:row>
    <x:row r="2247">
      <x:c r="A2247" s="21" t="str">
        <x:v>SYN-0642</x:v>
      </x:c>
      <x:c r="B2247" s="21" t="str">
        <x:v>Synthetic Supplier 0642 LLC</x:v>
      </x:c>
      <x:c r="C2247" s="38" t="str">
        <x:f>"900 000 000 000 642"</x:f>
        <x:v>900 000 000 000 642</x:v>
      </x:c>
      <x:c r="D2247" s="21" t="str">
        <x:v>SYN-0642-INV-03</x:v>
      </x:c>
      <x:c r="E2247" s="39" t="n">
        <x:v>46139</x:v>
      </x:c>
      <x:c r="F2247" s="42" t="n">
        <x:v>89894.99</x:v>
      </x:c>
      <x:c r="G2247" s="42" t="n">
        <x:v>4494.75</x:v>
      </x:c>
      <x:c r="H2247" s="42" t="n">
        <x:v>261019.58</x:v>
      </x:c>
      <x:c r="I2247" s="39" t="n">
        <x:v>45765</x:v>
      </x:c>
    </x:row>
    <x:row r="2248">
      <x:c r="A2248" s="21" t="str">
        <x:v>SYN-0642</x:v>
      </x:c>
      <x:c r="B2248" s="21" t="str">
        <x:v>Synthetic Supplier 0642 LLC</x:v>
      </x:c>
      <x:c r="C2248" s="38" t="str">
        <x:f>"900 000 000 000 642"</x:f>
        <x:v>900 000 000 000 642</x:v>
      </x:c>
      <x:c r="D2248" s="21" t="str">
        <x:v>SYN-0642-INV-04</x:v>
      </x:c>
      <x:c r="E2248" s="39" t="n">
        <x:v>46186</x:v>
      </x:c>
      <x:c r="F2248" s="42" t="n">
        <x:v>89469.05</x:v>
      </x:c>
      <x:c r="G2248" s="42" t="n">
        <x:v>4473.45</x:v>
      </x:c>
      <x:c r="H2248" s="42" t="n">
        <x:v>261019.58</x:v>
      </x:c>
      <x:c r="I2248" s="39" t="n">
        <x:v>45765</x:v>
      </x:c>
    </x:row>
    <x:row r="2249">
      <x:c r="A2249" s="21" t="str">
        <x:v>SYN-0643</x:v>
      </x:c>
      <x:c r="B2249" s="21" t="str">
        <x:v>Synthetic Supplier 0643 LLC</x:v>
      </x:c>
      <x:c r="C2249" s="38" t="str">
        <x:f>"900 000 000 000 643"</x:f>
        <x:v>900 000 000 000 643</x:v>
      </x:c>
      <x:c r="D2249" s="21" t="str">
        <x:v>SYN-0643-INV-01</x:v>
      </x:c>
      <x:c r="E2249" s="39" t="n">
        <x:v>46058</x:v>
      </x:c>
      <x:c r="F2249" s="42" t="n">
        <x:v>37971.26</x:v>
      </x:c>
      <x:c r="G2249" s="42" t="n">
        <x:v>1898.56</x:v>
      </x:c>
      <x:c r="H2249" s="42" t="n">
        <x:v>267448.46</x:v>
      </x:c>
      <x:c r="I2249" s="39" t="n">
        <x:v>46161</x:v>
      </x:c>
    </x:row>
    <x:row r="2250">
      <x:c r="A2250" s="21" t="str">
        <x:v>SYN-0643</x:v>
      </x:c>
      <x:c r="B2250" s="21" t="str">
        <x:v>Synthetic Supplier 0643 LLC</x:v>
      </x:c>
      <x:c r="C2250" s="38" t="str">
        <x:f>"900 000 000 000 643"</x:f>
        <x:v>900 000 000 000 643</x:v>
      </x:c>
      <x:c r="D2250" s="21" t="str">
        <x:v>SYN-0643-INV-02</x:v>
      </x:c>
      <x:c r="E2250" s="39" t="n">
        <x:v>46105</x:v>
      </x:c>
      <x:c r="F2250" s="42" t="n">
        <x:v>68271.52</x:v>
      </x:c>
      <x:c r="G2250" s="42" t="n">
        <x:v>3413.58</x:v>
      </x:c>
      <x:c r="H2250" s="42" t="n">
        <x:v>267448.46</x:v>
      </x:c>
      <x:c r="I2250" s="39" t="n">
        <x:v>46161</x:v>
      </x:c>
    </x:row>
    <x:row r="2251">
      <x:c r="A2251" s="21" t="str">
        <x:v>SYN-0643</x:v>
      </x:c>
      <x:c r="B2251" s="21" t="str">
        <x:v>Synthetic Supplier 0643 LLC</x:v>
      </x:c>
      <x:c r="C2251" s="38" t="str">
        <x:f>"900 000 000 000 643"</x:f>
        <x:v>900 000 000 000 643</x:v>
      </x:c>
      <x:c r="D2251" s="21" t="str">
        <x:v>SYN-0643-INV-03</x:v>
      </x:c>
      <x:c r="E2251" s="39" t="n">
        <x:v>46152</x:v>
      </x:c>
      <x:c r="F2251" s="42" t="n">
        <x:v>61744.88</x:v>
      </x:c>
      <x:c r="G2251" s="42" t="n">
        <x:v>3087.24</x:v>
      </x:c>
      <x:c r="H2251" s="42" t="n">
        <x:v>267448.46</x:v>
      </x:c>
      <x:c r="I2251" s="39" t="n">
        <x:v>46161</x:v>
      </x:c>
    </x:row>
    <x:row r="2252">
      <x:c r="A2252" s="21" t="str">
        <x:v>SYN-0643</x:v>
      </x:c>
      <x:c r="B2252" s="21" t="str">
        <x:v>Synthetic Supplier 0643 LLC</x:v>
      </x:c>
      <x:c r="C2252" s="38" t="str">
        <x:f>"900 000 000 000 643"</x:f>
        <x:v>900 000 000 000 643</x:v>
      </x:c>
      <x:c r="D2252" s="21" t="str">
        <x:v>SYN-0643-INV-04</x:v>
      </x:c>
      <x:c r="E2252" s="39" t="n">
        <x:v>46199</x:v>
      </x:c>
      <x:c r="F2252" s="42" t="n">
        <x:v>51344.07</x:v>
      </x:c>
      <x:c r="G2252" s="42" t="n">
        <x:v>2567.2</x:v>
      </x:c>
      <x:c r="H2252" s="42" t="n">
        <x:v>267448.46</x:v>
      </x:c>
      <x:c r="I2252" s="39" t="n">
        <x:v>46161</x:v>
      </x:c>
    </x:row>
    <x:row r="2253">
      <x:c r="A2253" s="21" t="str">
        <x:v>SYN-0643</x:v>
      </x:c>
      <x:c r="B2253" s="21" t="str">
        <x:v>Synthetic Supplier 0643 LLC</x:v>
      </x:c>
      <x:c r="C2253" s="38" t="str">
        <x:f>"900 000 000 000 643"</x:f>
        <x:v>900 000 000 000 643</x:v>
      </x:c>
      <x:c r="D2253" s="21" t="str">
        <x:v>SYN-0643-INV-05</x:v>
      </x:c>
      <x:c r="E2253" s="39" t="n">
        <x:v>46246</x:v>
      </x:c>
      <x:c r="F2253" s="42" t="n">
        <x:v>77833.22</x:v>
      </x:c>
      <x:c r="G2253" s="42" t="n">
        <x:v>3891.66</x:v>
      </x:c>
      <x:c r="H2253" s="42" t="n">
        <x:v>267448.46</x:v>
      </x:c>
      <x:c r="I2253" s="39" t="n">
        <x:v>46161</x:v>
      </x:c>
    </x:row>
    <x:row r="2254">
      <x:c r="A2254" s="21" t="str">
        <x:v>SYN-0644</x:v>
      </x:c>
      <x:c r="B2254" s="21" t="str">
        <x:v>Synthetic Supplier 0644 LLC</x:v>
      </x:c>
      <x:c r="C2254" s="38" t="str">
        <x:f>"900 000 000 000 644"</x:f>
        <x:v>900 000 000 000 644</x:v>
      </x:c>
      <x:c r="D2254" s="21" t="str">
        <x:v>SYN-0644-INV-01</x:v>
      </x:c>
      <x:c r="E2254" s="39" t="n">
        <x:v>46071</x:v>
      </x:c>
      <x:c r="F2254" s="42" t="n">
        <x:v>102303.02</x:v>
      </x:c>
      <x:c r="G2254" s="42" t="n">
        <x:v>5115.15</x:v>
      </x:c>
      <x:c r="H2254" s="42" t="n">
        <x:v>252464.81</x:v>
      </x:c>
      <x:c r="I2254" s="39" t="n">
        <x:v>45828</x:v>
      </x:c>
    </x:row>
    <x:row r="2255">
      <x:c r="A2255" s="21" t="str">
        <x:v>SYN-0644</x:v>
      </x:c>
      <x:c r="B2255" s="21" t="str">
        <x:v>Synthetic Supplier 0644 LLC</x:v>
      </x:c>
      <x:c r="C2255" s="38" t="str">
        <x:f>"900 000 000 000 644"</x:f>
        <x:v>900 000 000 000 644</x:v>
      </x:c>
      <x:c r="D2255" s="21" t="str">
        <x:v>SYN-0644-INV-02</x:v>
      </x:c>
      <x:c r="E2255" s="39" t="n">
        <x:v>46118</x:v>
      </x:c>
      <x:c r="F2255" s="42" t="n">
        <x:v>117231.6</x:v>
      </x:c>
      <x:c r="G2255" s="42" t="n">
        <x:v>5861.58</x:v>
      </x:c>
      <x:c r="H2255" s="42" t="n">
        <x:v>252464.81</x:v>
      </x:c>
      <x:c r="I2255" s="39" t="n">
        <x:v>45828</x:v>
      </x:c>
    </x:row>
    <x:row r="2256">
      <x:c r="A2256" s="21" t="str">
        <x:v>SYN-0645</x:v>
      </x:c>
      <x:c r="B2256" s="21" t="str">
        <x:v>Synthetic Supplier 0645 LLC</x:v>
      </x:c>
      <x:c r="C2256" s="38" t="str">
        <x:f>"900 000 000 000 645"</x:f>
        <x:v>900 000 000 000 645</x:v>
      </x:c>
      <x:c r="D2256" s="21" t="str">
        <x:v>SYN-0645-INV-01</x:v>
      </x:c>
      <x:c r="E2256" s="39" t="n">
        <x:v>46084</x:v>
      </x:c>
      <x:c r="F2256" s="42" t="n">
        <x:v>65663.9</x:v>
      </x:c>
      <x:c r="G2256" s="42" t="n">
        <x:v>3283.19</x:v>
      </x:c>
      <x:c r="H2256" s="42" t="n">
        <x:v>221266.71</x:v>
      </x:c>
      <x:c r="I2256" s="39"/>
    </x:row>
    <x:row r="2257">
      <x:c r="A2257" s="21" t="str">
        <x:v>SYN-0645</x:v>
      </x:c>
      <x:c r="B2257" s="21" t="str">
        <x:v>Synthetic Supplier 0645 LLC</x:v>
      </x:c>
      <x:c r="C2257" s="38" t="str">
        <x:f>"900 000 000 000 645"</x:f>
        <x:v>900 000 000 000 645</x:v>
      </x:c>
      <x:c r="D2257" s="21" t="str">
        <x:v>SYN-0645-INV-02</x:v>
      </x:c>
      <x:c r="E2257" s="39" t="n">
        <x:v>46131</x:v>
      </x:c>
      <x:c r="F2257" s="42" t="n">
        <x:v>110085.24</x:v>
      </x:c>
      <x:c r="G2257" s="42" t="n">
        <x:v>5504.26</x:v>
      </x:c>
      <x:c r="H2257" s="42" t="n">
        <x:v>221266.71</x:v>
      </x:c>
      <x:c r="I2257" s="39"/>
    </x:row>
    <x:row r="2258">
      <x:c r="A2258" s="21" t="str">
        <x:v>SYN-0645</x:v>
      </x:c>
      <x:c r="B2258" s="21" t="str">
        <x:v>Synthetic Supplier 0645 LLC</x:v>
      </x:c>
      <x:c r="C2258" s="38" t="str">
        <x:f>"900 000 000 000 645"</x:f>
        <x:v>900 000 000 000 645</x:v>
      </x:c>
      <x:c r="D2258" s="21" t="str">
        <x:v>SYN-0645-INV-03</x:v>
      </x:c>
      <x:c r="E2258" s="39" t="n">
        <x:v>46178</x:v>
      </x:c>
      <x:c r="F2258" s="42" t="n">
        <x:v>70102.76</x:v>
      </x:c>
      <x:c r="G2258" s="42" t="n">
        <x:v>3505.14</x:v>
      </x:c>
      <x:c r="H2258" s="42" t="n">
        <x:v>221266.71</x:v>
      </x:c>
      <x:c r="I2258" s="39"/>
    </x:row>
    <x:row r="2259">
      <x:c r="A2259" s="21" t="str">
        <x:v>SYN-0646</x:v>
      </x:c>
      <x:c r="B2259" s="21" t="str">
        <x:v>Synthetic Supplier 0646 LLC</x:v>
      </x:c>
      <x:c r="C2259" s="38" t="str">
        <x:f>"900 000 000 000 646"</x:f>
        <x:v>900 000 000 000 646</x:v>
      </x:c>
      <x:c r="D2259" s="21" t="str">
        <x:v>SYN-0646-INV-01</x:v>
      </x:c>
      <x:c r="E2259" s="39" t="n">
        <x:v>46097</x:v>
      </x:c>
      <x:c r="F2259" s="42" t="n">
        <x:v>42024.49</x:v>
      </x:c>
      <x:c r="G2259" s="42" t="n">
        <x:v>2101.22</x:v>
      </x:c>
      <x:c r="H2259" s="42" t="n">
        <x:v>187715.58</x:v>
      </x:c>
      <x:c r="I2259" s="39" t="n">
        <x:v>45891</x:v>
      </x:c>
    </x:row>
    <x:row r="2260">
      <x:c r="A2260" s="21" t="str">
        <x:v>SYN-0646</x:v>
      </x:c>
      <x:c r="B2260" s="21" t="str">
        <x:v>Synthetic Supplier 0646 LLC</x:v>
      </x:c>
      <x:c r="C2260" s="38" t="str">
        <x:f>"900 000 000 000 646"</x:f>
        <x:v>900 000 000 000 646</x:v>
      </x:c>
      <x:c r="D2260" s="21" t="str">
        <x:v>SYN-0646-INV-02</x:v>
      </x:c>
      <x:c r="E2260" s="39" t="n">
        <x:v>46144</x:v>
      </x:c>
      <x:c r="F2260" s="42" t="n">
        <x:v>44692.36</x:v>
      </x:c>
      <x:c r="G2260" s="42" t="n">
        <x:v>2234.62</x:v>
      </x:c>
      <x:c r="H2260" s="42" t="n">
        <x:v>187715.58</x:v>
      </x:c>
      <x:c r="I2260" s="39" t="n">
        <x:v>45891</x:v>
      </x:c>
    </x:row>
    <x:row r="2261">
      <x:c r="A2261" s="21" t="str">
        <x:v>SYN-0646</x:v>
      </x:c>
      <x:c r="B2261" s="21" t="str">
        <x:v>Synthetic Supplier 0646 LLC</x:v>
      </x:c>
      <x:c r="C2261" s="38" t="str">
        <x:f>"900 000 000 000 646"</x:f>
        <x:v>900 000 000 000 646</x:v>
      </x:c>
      <x:c r="D2261" s="21" t="str">
        <x:v>SYN-0646-INV-03</x:v>
      </x:c>
      <x:c r="E2261" s="39" t="n">
        <x:v>46191</x:v>
      </x:c>
      <x:c r="F2261" s="42" t="n">
        <x:v>70064.2</x:v>
      </x:c>
      <x:c r="G2261" s="42" t="n">
        <x:v>3503.21</x:v>
      </x:c>
      <x:c r="H2261" s="42" t="n">
        <x:v>187715.58</x:v>
      </x:c>
      <x:c r="I2261" s="39" t="n">
        <x:v>45891</x:v>
      </x:c>
    </x:row>
    <x:row r="2262">
      <x:c r="A2262" s="21" t="str">
        <x:v>SYN-0646</x:v>
      </x:c>
      <x:c r="B2262" s="21" t="str">
        <x:v>Synthetic Supplier 0646 LLC</x:v>
      </x:c>
      <x:c r="C2262" s="38" t="str">
        <x:f>"900 000 000 000 646"</x:f>
        <x:v>900 000 000 000 646</x:v>
      </x:c>
      <x:c r="D2262" s="21" t="str">
        <x:v>SYN-0646-INV-04</x:v>
      </x:c>
      <x:c r="E2262" s="39" t="n">
        <x:v>46238</x:v>
      </x:c>
      <x:c r="F2262" s="42" t="n">
        <x:v>51791.81</x:v>
      </x:c>
      <x:c r="G2262" s="42" t="n">
        <x:v>2589.59</x:v>
      </x:c>
      <x:c r="H2262" s="42" t="n">
        <x:v>187715.58</x:v>
      </x:c>
      <x:c r="I2262" s="39" t="n">
        <x:v>45891</x:v>
      </x:c>
    </x:row>
    <x:row r="2263">
      <x:c r="A2263" s="21" t="str">
        <x:v>SYN-0647</x:v>
      </x:c>
      <x:c r="B2263" s="21" t="str">
        <x:v>Synthetic Supplier 0647 LLC</x:v>
      </x:c>
      <x:c r="C2263" s="38" t="str">
        <x:f>"900 000 000 000 647"</x:f>
        <x:v>900 000 000 000 647</x:v>
      </x:c>
      <x:c r="D2263" s="21" t="str">
        <x:v>SYN-0647-INV-01</x:v>
      </x:c>
      <x:c r="E2263" s="39" t="n">
        <x:v>46110</x:v>
      </x:c>
      <x:c r="F2263" s="42" t="n">
        <x:v>56092.69</x:v>
      </x:c>
      <x:c r="G2263" s="42" t="n">
        <x:v>2804.63</x:v>
      </x:c>
      <x:c r="H2263" s="42" t="n">
        <x:v>220872.41</x:v>
      </x:c>
      <x:c r="I2263" s="39" t="n">
        <x:v>46288</x:v>
      </x:c>
    </x:row>
    <x:row r="2264">
      <x:c r="A2264" s="21" t="str">
        <x:v>SYN-0647</x:v>
      </x:c>
      <x:c r="B2264" s="21" t="str">
        <x:v>Synthetic Supplier 0647 LLC</x:v>
      </x:c>
      <x:c r="C2264" s="38" t="str">
        <x:f>"900 000 000 000 647"</x:f>
        <x:v>900 000 000 000 647</x:v>
      </x:c>
      <x:c r="D2264" s="21" t="str">
        <x:v>SYN-0647-INV-02</x:v>
      </x:c>
      <x:c r="E2264" s="39" t="n">
        <x:v>46157</x:v>
      </x:c>
      <x:c r="F2264" s="42" t="n">
        <x:v>44075.07</x:v>
      </x:c>
      <x:c r="G2264" s="42" t="n">
        <x:v>2203.75</x:v>
      </x:c>
      <x:c r="H2264" s="42" t="n">
        <x:v>220872.41</x:v>
      </x:c>
      <x:c r="I2264" s="39" t="n">
        <x:v>46288</x:v>
      </x:c>
    </x:row>
    <x:row r="2265">
      <x:c r="A2265" s="21" t="str">
        <x:v>SYN-0647</x:v>
      </x:c>
      <x:c r="B2265" s="21" t="str">
        <x:v>Synthetic Supplier 0647 LLC</x:v>
      </x:c>
      <x:c r="C2265" s="38" t="str">
        <x:f>"900 000 000 000 647"</x:f>
        <x:v>900 000 000 000 647</x:v>
      </x:c>
      <x:c r="D2265" s="21" t="str">
        <x:v>SYN-0647-INV-03</x:v>
      </x:c>
      <x:c r="E2265" s="39" t="n">
        <x:v>46204</x:v>
      </x:c>
      <x:c r="F2265" s="42" t="n">
        <x:v>58792.33</x:v>
      </x:c>
      <x:c r="G2265" s="42" t="n">
        <x:v>2939.62</x:v>
      </x:c>
      <x:c r="H2265" s="42" t="n">
        <x:v>220872.41</x:v>
      </x:c>
      <x:c r="I2265" s="39" t="n">
        <x:v>46288</x:v>
      </x:c>
    </x:row>
    <x:row r="2266">
      <x:c r="A2266" s="21" t="str">
        <x:v>SYN-0647</x:v>
      </x:c>
      <x:c r="B2266" s="21" t="str">
        <x:v>Synthetic Supplier 0647 LLC</x:v>
      </x:c>
      <x:c r="C2266" s="38" t="str">
        <x:f>"900 000 000 000 647"</x:f>
        <x:v>900 000 000 000 647</x:v>
      </x:c>
      <x:c r="D2266" s="21" t="str">
        <x:v>SYN-0647-INV-04</x:v>
      </x:c>
      <x:c r="E2266" s="39" t="n">
        <x:v>46251</x:v>
      </x:c>
      <x:c r="F2266" s="42" t="n">
        <x:v>30059.41</x:v>
      </x:c>
      <x:c r="G2266" s="42" t="n">
        <x:v>1502.97</x:v>
      </x:c>
      <x:c r="H2266" s="42" t="n">
        <x:v>220872.41</x:v>
      </x:c>
      <x:c r="I2266" s="39" t="n">
        <x:v>46288</x:v>
      </x:c>
    </x:row>
    <x:row r="2267">
      <x:c r="A2267" s="21" t="str">
        <x:v>SYN-0647</x:v>
      </x:c>
      <x:c r="B2267" s="21" t="str">
        <x:v>Synthetic Supplier 0647 LLC</x:v>
      </x:c>
      <x:c r="C2267" s="38" t="str">
        <x:f>"900 000 000 000 647"</x:f>
        <x:v>900 000 000 000 647</x:v>
      </x:c>
      <x:c r="D2267" s="21" t="str">
        <x:v>SYN-0647-INV-05</x:v>
      </x:c>
      <x:c r="E2267" s="39" t="n">
        <x:v>45938</x:v>
      </x:c>
      <x:c r="F2267" s="42" t="n">
        <x:v>56394.29</x:v>
      </x:c>
      <x:c r="G2267" s="42" t="n">
        <x:v>2819.71</x:v>
      </x:c>
      <x:c r="H2267" s="42" t="n">
        <x:v>220872.41</x:v>
      </x:c>
      <x:c r="I2267" s="39" t="n">
        <x:v>46288</x:v>
      </x:c>
    </x:row>
    <x:row r="2268">
      <x:c r="A2268" s="21" t="str">
        <x:v>SYN-0648</x:v>
      </x:c>
      <x:c r="B2268" s="21" t="str">
        <x:v>Synthetic Supplier 0648 LLC</x:v>
      </x:c>
      <x:c r="C2268" s="38" t="str">
        <x:f>"900 000 000 000 648"</x:f>
        <x:v>900 000 000 000 648</x:v>
      </x:c>
      <x:c r="D2268" s="21" t="str">
        <x:v>SYN-0648-INV-01</x:v>
      </x:c>
      <x:c r="E2268" s="39" t="n">
        <x:v>46123</x:v>
      </x:c>
      <x:c r="F2268" s="42" t="n">
        <x:v>84538.96</x:v>
      </x:c>
      <x:c r="G2268" s="42" t="n">
        <x:v>4226.95</x:v>
      </x:c>
      <x:c r="H2268" s="42" t="n">
        <x:v>188092.74</x:v>
      </x:c>
      <x:c r="I2268" s="39" t="n">
        <x:v>45681</x:v>
      </x:c>
    </x:row>
    <x:row r="2269">
      <x:c r="A2269" s="21" t="str">
        <x:v>SYN-0648</x:v>
      </x:c>
      <x:c r="B2269" s="21" t="str">
        <x:v>Synthetic Supplier 0648 LLC</x:v>
      </x:c>
      <x:c r="C2269" s="38" t="str">
        <x:f>"900 000 000 000 648"</x:f>
        <x:v>900 000 000 000 648</x:v>
      </x:c>
      <x:c r="D2269" s="21" t="str">
        <x:v>SYN-0648-INV-02</x:v>
      </x:c>
      <x:c r="E2269" s="39" t="n">
        <x:v>46170</x:v>
      </x:c>
      <x:c r="F2269" s="42" t="n">
        <x:v>124452.98</x:v>
      </x:c>
      <x:c r="G2269" s="42" t="n">
        <x:v>6222.65</x:v>
      </x:c>
      <x:c r="H2269" s="42" t="n">
        <x:v>188092.74</x:v>
      </x:c>
      <x:c r="I2269" s="39" t="n">
        <x:v>45681</x:v>
      </x:c>
    </x:row>
    <x:row r="2270">
      <x:c r="A2270" s="21" t="str">
        <x:v>SYN-0649</x:v>
      </x:c>
      <x:c r="B2270" s="21" t="str">
        <x:v>Synthetic Supplier 0649 LLC</x:v>
      </x:c>
      <x:c r="C2270" s="38" t="str">
        <x:f>"900 000 000 000 649"</x:f>
        <x:v>900 000 000 000 649</x:v>
      </x:c>
      <x:c r="D2270" s="21" t="str">
        <x:v>SYN-0649-INV-01</x:v>
      </x:c>
      <x:c r="E2270" s="39" t="n">
        <x:v>46136</x:v>
      </x:c>
      <x:c r="F2270" s="42" t="n">
        <x:v>74762.74</x:v>
      </x:c>
      <x:c r="G2270" s="42" t="n">
        <x:v>3738.14</x:v>
      </x:c>
      <x:c r="H2270" s="42" t="n">
        <x:v>154265.88</x:v>
      </x:c>
      <x:c r="I2270" s="39" t="n">
        <x:v>46078</x:v>
      </x:c>
    </x:row>
    <x:row r="2271">
      <x:c r="A2271" s="21" t="str">
        <x:v>SYN-0649</x:v>
      </x:c>
      <x:c r="B2271" s="21" t="str">
        <x:v>Synthetic Supplier 0649 LLC</x:v>
      </x:c>
      <x:c r="C2271" s="38" t="str">
        <x:f>"900 000 000 000 649"</x:f>
        <x:v>900 000 000 000 649</x:v>
      </x:c>
      <x:c r="D2271" s="21" t="str">
        <x:v>SYN-0649-INV-02</x:v>
      </x:c>
      <x:c r="E2271" s="39" t="n">
        <x:v>46183</x:v>
      </x:c>
      <x:c r="F2271" s="42" t="n">
        <x:v>47165.33</x:v>
      </x:c>
      <x:c r="G2271" s="42" t="n">
        <x:v>2358.27</x:v>
      </x:c>
      <x:c r="H2271" s="42" t="n">
        <x:v>154265.88</x:v>
      </x:c>
      <x:c r="I2271" s="39" t="n">
        <x:v>46078</x:v>
      </x:c>
    </x:row>
    <x:row r="2272">
      <x:c r="A2272" s="21" t="str">
        <x:v>SYN-0649</x:v>
      </x:c>
      <x:c r="B2272" s="21" t="str">
        <x:v>Synthetic Supplier 0649 LLC</x:v>
      </x:c>
      <x:c r="C2272" s="38" t="str">
        <x:f>"900 000 000 000 649"</x:f>
        <x:v>900 000 000 000 649</x:v>
      </x:c>
      <x:c r="D2272" s="21" t="str">
        <x:v>SYN-0649-INV-03</x:v>
      </x:c>
      <x:c r="E2272" s="39" t="n">
        <x:v>46230</x:v>
      </x:c>
      <x:c r="F2272" s="42" t="n">
        <x:v>49478.46</x:v>
      </x:c>
      <x:c r="G2272" s="42" t="n">
        <x:v>2473.92</x:v>
      </x:c>
      <x:c r="H2272" s="42" t="n">
        <x:v>154265.88</x:v>
      </x:c>
      <x:c r="I2272" s="39" t="n">
        <x:v>46078</x:v>
      </x:c>
    </x:row>
    <x:row r="2273">
      <x:c r="A2273" s="21" t="str">
        <x:v>SYN-0650</x:v>
      </x:c>
      <x:c r="B2273" s="21" t="str">
        <x:v>Synthetic Supplier 0650 LLC</x:v>
      </x:c>
      <x:c r="C2273" s="38" t="str">
        <x:f>"900 000 000 000 650"</x:f>
        <x:v>900 000 000 000 650</x:v>
      </x:c>
      <x:c r="D2273" s="21" t="str">
        <x:v>SYN-0650-INV-01</x:v>
      </x:c>
      <x:c r="E2273" s="39" t="n">
        <x:v>46149</x:v>
      </x:c>
      <x:c r="F2273" s="42" t="n">
        <x:v>56268.12</x:v>
      </x:c>
      <x:c r="G2273" s="42" t="n">
        <x:v>2813.41</x:v>
      </x:c>
      <x:c r="H2273" s="42" t="n">
        <x:v>296158.87</x:v>
      </x:c>
      <x:c r="I2273" s="39"/>
    </x:row>
    <x:row r="2274">
      <x:c r="A2274" s="21" t="str">
        <x:v>SYN-0650</x:v>
      </x:c>
      <x:c r="B2274" s="21" t="str">
        <x:v>Synthetic Supplier 0650 LLC</x:v>
      </x:c>
      <x:c r="C2274" s="38" t="str">
        <x:f>"900 000 000 000 650"</x:f>
        <x:v>900 000 000 000 650</x:v>
      </x:c>
      <x:c r="D2274" s="21" t="str">
        <x:v>SYN-0650-INV-02</x:v>
      </x:c>
      <x:c r="E2274" s="39" t="n">
        <x:v>46196</x:v>
      </x:c>
      <x:c r="F2274" s="42" t="n">
        <x:v>67146.32</x:v>
      </x:c>
      <x:c r="G2274" s="42" t="n">
        <x:v>3357.32</x:v>
      </x:c>
      <x:c r="H2274" s="42" t="n">
        <x:v>296158.87</x:v>
      </x:c>
      <x:c r="I2274" s="39"/>
    </x:row>
    <x:row r="2275">
      <x:c r="A2275" s="21" t="str">
        <x:v>SYN-0650</x:v>
      </x:c>
      <x:c r="B2275" s="21" t="str">
        <x:v>Synthetic Supplier 0650 LLC</x:v>
      </x:c>
      <x:c r="C2275" s="38" t="str">
        <x:f>"900 000 000 000 650"</x:f>
        <x:v>900 000 000 000 650</x:v>
      </x:c>
      <x:c r="D2275" s="21" t="str">
        <x:v>SYN-0650-INV-03</x:v>
      </x:c>
      <x:c r="E2275" s="39" t="n">
        <x:v>46243</x:v>
      </x:c>
      <x:c r="F2275" s="42" t="n">
        <x:v>99323.21</x:v>
      </x:c>
      <x:c r="G2275" s="42" t="n">
        <x:v>4966.16</x:v>
      </x:c>
      <x:c r="H2275" s="42" t="n">
        <x:v>296158.87</x:v>
      </x:c>
      <x:c r="I2275" s="39"/>
    </x:row>
    <x:row r="2276">
      <x:c r="A2276" s="21" t="str">
        <x:v>SYN-0650</x:v>
      </x:c>
      <x:c r="B2276" s="21" t="str">
        <x:v>Synthetic Supplier 0650 LLC</x:v>
      </x:c>
      <x:c r="C2276" s="38" t="str">
        <x:f>"900 000 000 000 650"</x:f>
        <x:v>900 000 000 000 650</x:v>
      </x:c>
      <x:c r="D2276" s="21" t="str">
        <x:v>SYN-0650-INV-04</x:v>
      </x:c>
      <x:c r="E2276" s="39" t="n">
        <x:v>46290</x:v>
      </x:c>
      <x:c r="F2276" s="42" t="n">
        <x:v>106327.76</x:v>
      </x:c>
      <x:c r="G2276" s="42" t="n">
        <x:v>5316.39</x:v>
      </x:c>
      <x:c r="H2276" s="42" t="n">
        <x:v>296158.87</x:v>
      </x:c>
      <x:c r="I2276" s="39"/>
    </x:row>
    <x:row r="2277">
      <x:c r="A2277" s="21" t="str">
        <x:v>SYN-0651</x:v>
      </x:c>
      <x:c r="B2277" s="21" t="str">
        <x:v>Synthetic Supplier 0651 LLC</x:v>
      </x:c>
      <x:c r="C2277" s="38" t="str">
        <x:f>"900 000 000 000 651"</x:f>
        <x:v>900 000 000 000 651</x:v>
      </x:c>
      <x:c r="D2277" s="21" t="str">
        <x:v>SYN-0651-INV-01</x:v>
      </x:c>
      <x:c r="E2277" s="39" t="n">
        <x:v>46162</x:v>
      </x:c>
      <x:c r="F2277" s="42" t="n">
        <x:v>55873.9</x:v>
      </x:c>
      <x:c r="G2277" s="42" t="n">
        <x:v>2793.7</x:v>
      </x:c>
      <x:c r="H2277" s="42" t="n">
        <x:v>498379.63</x:v>
      </x:c>
      <x:c r="I2277" s="39" t="n">
        <x:v>46114</x:v>
      </x:c>
    </x:row>
    <x:row r="2278">
      <x:c r="A2278" s="21" t="str">
        <x:v>SYN-0651</x:v>
      </x:c>
      <x:c r="B2278" s="21" t="str">
        <x:v>Synthetic Supplier 0651 LLC</x:v>
      </x:c>
      <x:c r="C2278" s="38" t="str">
        <x:f>"900 000 000 000 651"</x:f>
        <x:v>900 000 000 000 651</x:v>
      </x:c>
      <x:c r="D2278" s="21" t="str">
        <x:v>SYN-0651-INV-02</x:v>
      </x:c>
      <x:c r="E2278" s="39" t="n">
        <x:v>46209</x:v>
      </x:c>
      <x:c r="F2278" s="42" t="n">
        <x:v>111144.99</x:v>
      </x:c>
      <x:c r="G2278" s="42" t="n">
        <x:v>5557.25</x:v>
      </x:c>
      <x:c r="H2278" s="42" t="n">
        <x:v>498379.63</x:v>
      </x:c>
      <x:c r="I2278" s="39" t="n">
        <x:v>46114</x:v>
      </x:c>
    </x:row>
    <x:row r="2279">
      <x:c r="A2279" s="21" t="str">
        <x:v>SYN-0651</x:v>
      </x:c>
      <x:c r="B2279" s="21" t="str">
        <x:v>Synthetic Supplier 0651 LLC</x:v>
      </x:c>
      <x:c r="C2279" s="38" t="str">
        <x:f>"900 000 000 000 651"</x:f>
        <x:v>900 000 000 000 651</x:v>
      </x:c>
      <x:c r="D2279" s="21" t="str">
        <x:v>SYN-0651-INV-03</x:v>
      </x:c>
      <x:c r="E2279" s="39" t="n">
        <x:v>46256</x:v>
      </x:c>
      <x:c r="F2279" s="42" t="n">
        <x:v>67201.35</x:v>
      </x:c>
      <x:c r="G2279" s="42" t="n">
        <x:v>3360.07</x:v>
      </x:c>
      <x:c r="H2279" s="42" t="n">
        <x:v>498379.63</x:v>
      </x:c>
      <x:c r="I2279" s="39" t="n">
        <x:v>46114</x:v>
      </x:c>
    </x:row>
    <x:row r="2280">
      <x:c r="A2280" s="21" t="str">
        <x:v>SYN-0651</x:v>
      </x:c>
      <x:c r="B2280" s="21" t="str">
        <x:v>Synthetic Supplier 0651 LLC</x:v>
      </x:c>
      <x:c r="C2280" s="38" t="str">
        <x:f>"900 000 000 000 651"</x:f>
        <x:v>900 000 000 000 651</x:v>
      </x:c>
      <x:c r="D2280" s="21" t="str">
        <x:v>SYN-0651-INV-04</x:v>
      </x:c>
      <x:c r="E2280" s="39" t="n">
        <x:v>45943</x:v>
      </x:c>
      <x:c r="F2280" s="42" t="n">
        <x:v>96040.7</x:v>
      </x:c>
      <x:c r="G2280" s="42" t="n">
        <x:v>4802.04</x:v>
      </x:c>
      <x:c r="H2280" s="42" t="n">
        <x:v>498379.63</x:v>
      </x:c>
      <x:c r="I2280" s="39" t="n">
        <x:v>46114</x:v>
      </x:c>
    </x:row>
    <x:row r="2281">
      <x:c r="A2281" s="21" t="str">
        <x:v>SYN-0651</x:v>
      </x:c>
      <x:c r="B2281" s="21" t="str">
        <x:v>Synthetic Supplier 0651 LLC</x:v>
      </x:c>
      <x:c r="C2281" s="38" t="str">
        <x:f>"900 000 000 000 651"</x:f>
        <x:v>900 000 000 000 651</x:v>
      </x:c>
      <x:c r="D2281" s="21" t="str">
        <x:v>SYN-0651-INV-05</x:v>
      </x:c>
      <x:c r="E2281" s="39" t="n">
        <x:v>45990</x:v>
      </x:c>
      <x:c r="F2281" s="42" t="n">
        <x:v>103112.65</x:v>
      </x:c>
      <x:c r="G2281" s="42" t="n">
        <x:v>5155.63</x:v>
      </x:c>
      <x:c r="H2281" s="42" t="n">
        <x:v>498379.63</x:v>
      </x:c>
      <x:c r="I2281" s="39" t="n">
        <x:v>46114</x:v>
      </x:c>
    </x:row>
    <x:row r="2282">
      <x:c r="A2282" s="21" t="str">
        <x:v>SYN-0652</x:v>
      </x:c>
      <x:c r="B2282" s="21" t="str">
        <x:v>Synthetic Supplier 0652 LLC</x:v>
      </x:c>
      <x:c r="C2282" s="38" t="str">
        <x:f>"900 000 000 000 652"</x:f>
        <x:v>900 000 000 000 652</x:v>
      </x:c>
      <x:c r="D2282" s="21" t="str">
        <x:v>SYN-0652-INV-01</x:v>
      </x:c>
      <x:c r="E2282" s="39" t="n">
        <x:v>46175</x:v>
      </x:c>
      <x:c r="F2282" s="42" t="n">
        <x:v>414141.52</x:v>
      </x:c>
      <x:c r="G2282" s="42" t="n">
        <x:v>20707.08</x:v>
      </x:c>
      <x:c r="H2282" s="42" t="n">
        <x:v>681050.49</x:v>
      </x:c>
      <x:c r="I2282" s="39" t="n">
        <x:v>45780</x:v>
      </x:c>
    </x:row>
    <x:row r="2283">
      <x:c r="A2283" s="21" t="str">
        <x:v>SYN-0652</x:v>
      </x:c>
      <x:c r="B2283" s="21" t="str">
        <x:v>Synthetic Supplier 0652 LLC</x:v>
      </x:c>
      <x:c r="C2283" s="38" t="str">
        <x:f>"900 000 000 000 652"</x:f>
        <x:v>900 000 000 000 652</x:v>
      </x:c>
      <x:c r="D2283" s="21" t="str">
        <x:v>SYN-0652-INV-02</x:v>
      </x:c>
      <x:c r="E2283" s="39" t="n">
        <x:v>46222</x:v>
      </x:c>
      <x:c r="F2283" s="42" t="n">
        <x:v>342581.25</x:v>
      </x:c>
      <x:c r="G2283" s="42" t="n">
        <x:v>17129.06</x:v>
      </x:c>
      <x:c r="H2283" s="42" t="n">
        <x:v>681050.49</x:v>
      </x:c>
      <x:c r="I2283" s="39" t="n">
        <x:v>45780</x:v>
      </x:c>
    </x:row>
    <x:row r="2284">
      <x:c r="A2284" s="21" t="str">
        <x:v>SYN-0653</x:v>
      </x:c>
      <x:c r="B2284" s="21" t="str">
        <x:v>Synthetic Supplier 0653 LLC</x:v>
      </x:c>
      <x:c r="C2284" s="38" t="str">
        <x:f>"900 000 000 000 653"</x:f>
        <x:v>900 000 000 000 653</x:v>
      </x:c>
      <x:c r="D2284" s="21" t="str">
        <x:v>SYN-0653-INV-01</x:v>
      </x:c>
      <x:c r="E2284" s="39" t="n">
        <x:v>46188</x:v>
      </x:c>
      <x:c r="F2284" s="42" t="n">
        <x:v>171830.02</x:v>
      </x:c>
      <x:c r="G2284" s="42" t="n">
        <x:v>8591.5</x:v>
      </x:c>
      <x:c r="H2284" s="42" t="n">
        <x:v>464456.44</x:v>
      </x:c>
      <x:c r="I2284" s="39" t="n">
        <x:v>46177</x:v>
      </x:c>
    </x:row>
    <x:row r="2285">
      <x:c r="A2285" s="21" t="str">
        <x:v>SYN-0653</x:v>
      </x:c>
      <x:c r="B2285" s="21" t="str">
        <x:v>Synthetic Supplier 0653 LLC</x:v>
      </x:c>
      <x:c r="C2285" s="38" t="str">
        <x:f>"900 000 000 000 653"</x:f>
        <x:v>900 000 000 000 653</x:v>
      </x:c>
      <x:c r="D2285" s="21" t="str">
        <x:v>SYN-0653-INV-02</x:v>
      </x:c>
      <x:c r="E2285" s="39" t="n">
        <x:v>46235</x:v>
      </x:c>
      <x:c r="F2285" s="42" t="n">
        <x:v>179756.64</x:v>
      </x:c>
      <x:c r="G2285" s="42" t="n">
        <x:v>8987.83</x:v>
      </x:c>
      <x:c r="H2285" s="42" t="n">
        <x:v>464456.44</x:v>
      </x:c>
      <x:c r="I2285" s="39" t="n">
        <x:v>46177</x:v>
      </x:c>
    </x:row>
    <x:row r="2286">
      <x:c r="A2286" s="21" t="str">
        <x:v>SYN-0653</x:v>
      </x:c>
      <x:c r="B2286" s="21" t="str">
        <x:v>Synthetic Supplier 0653 LLC</x:v>
      </x:c>
      <x:c r="C2286" s="38" t="str">
        <x:f>"900 000 000 000 653"</x:f>
        <x:v>900 000 000 000 653</x:v>
      </x:c>
      <x:c r="D2286" s="21" t="str">
        <x:v>SYN-0653-INV-03</x:v>
      </x:c>
      <x:c r="E2286" s="39" t="n">
        <x:v>46282</x:v>
      </x:c>
      <x:c r="F2286" s="42" t="n">
        <x:v>164476.06</x:v>
      </x:c>
      <x:c r="G2286" s="42" t="n">
        <x:v>8223.8</x:v>
      </x:c>
      <x:c r="H2286" s="42" t="n">
        <x:v>464456.44</x:v>
      </x:c>
      <x:c r="I2286" s="39" t="n">
        <x:v>46177</x:v>
      </x:c>
    </x:row>
    <x:row r="2287">
      <x:c r="A2287" s="21" t="str">
        <x:v>SYN-0654</x:v>
      </x:c>
      <x:c r="B2287" s="21" t="str">
        <x:v>Synthetic Supplier 0654 LLC</x:v>
      </x:c>
      <x:c r="C2287" s="38" t="str">
        <x:f>"900 000 000 000 654"</x:f>
        <x:v>900 000 000 000 654</x:v>
      </x:c>
      <x:c r="D2287" s="21" t="str">
        <x:v>SYN-0654-INV-01</x:v>
      </x:c>
      <x:c r="E2287" s="39" t="n">
        <x:v>46201</x:v>
      </x:c>
      <x:c r="F2287" s="42" t="n">
        <x:v>126856.24</x:v>
      </x:c>
      <x:c r="G2287" s="42" t="n">
        <x:v>6342.81</x:v>
      </x:c>
      <x:c r="H2287" s="42" t="n">
        <x:v>459090.13</x:v>
      </x:c>
      <x:c r="I2287" s="39" t="n">
        <x:v>45843</x:v>
      </x:c>
    </x:row>
    <x:row r="2288">
      <x:c r="A2288" s="21" t="str">
        <x:v>SYN-0654</x:v>
      </x:c>
      <x:c r="B2288" s="21" t="str">
        <x:v>Synthetic Supplier 0654 LLC</x:v>
      </x:c>
      <x:c r="C2288" s="38" t="str">
        <x:f>"900 000 000 000 654"</x:f>
        <x:v>900 000 000 000 654</x:v>
      </x:c>
      <x:c r="D2288" s="21" t="str">
        <x:v>SYN-0654-INV-02</x:v>
      </x:c>
      <x:c r="E2288" s="39" t="n">
        <x:v>46248</x:v>
      </x:c>
      <x:c r="F2288" s="42" t="n">
        <x:v>113745.32</x:v>
      </x:c>
      <x:c r="G2288" s="42" t="n">
        <x:v>5687.27</x:v>
      </x:c>
      <x:c r="H2288" s="42" t="n">
        <x:v>459090.13</x:v>
      </x:c>
      <x:c r="I2288" s="39" t="n">
        <x:v>45843</x:v>
      </x:c>
    </x:row>
    <x:row r="2289">
      <x:c r="A2289" s="21" t="str">
        <x:v>SYN-0654</x:v>
      </x:c>
      <x:c r="B2289" s="21" t="str">
        <x:v>Synthetic Supplier 0654 LLC</x:v>
      </x:c>
      <x:c r="C2289" s="38" t="str">
        <x:f>"900 000 000 000 654"</x:f>
        <x:v>900 000 000 000 654</x:v>
      </x:c>
      <x:c r="D2289" s="21" t="str">
        <x:v>SYN-0654-INV-03</x:v>
      </x:c>
      <x:c r="E2289" s="39" t="n">
        <x:v>45935</x:v>
      </x:c>
      <x:c r="F2289" s="42" t="n">
        <x:v>105597.59</x:v>
      </x:c>
      <x:c r="G2289" s="42" t="n">
        <x:v>5279.88</x:v>
      </x:c>
      <x:c r="H2289" s="42" t="n">
        <x:v>459090.13</x:v>
      </x:c>
      <x:c r="I2289" s="39" t="n">
        <x:v>45843</x:v>
      </x:c>
    </x:row>
    <x:row r="2290">
      <x:c r="A2290" s="21" t="str">
        <x:v>SYN-0654</x:v>
      </x:c>
      <x:c r="B2290" s="21" t="str">
        <x:v>Synthetic Supplier 0654 LLC</x:v>
      </x:c>
      <x:c r="C2290" s="38" t="str">
        <x:f>"900 000 000 000 654"</x:f>
        <x:v>900 000 000 000 654</x:v>
      </x:c>
      <x:c r="D2290" s="21" t="str">
        <x:v>SYN-0654-INV-04</x:v>
      </x:c>
      <x:c r="E2290" s="39" t="n">
        <x:v>45982</x:v>
      </x:c>
      <x:c r="F2290" s="42" t="n">
        <x:v>163900.99</x:v>
      </x:c>
      <x:c r="G2290" s="42" t="n">
        <x:v>8195.05</x:v>
      </x:c>
      <x:c r="H2290" s="42" t="n">
        <x:v>459090.13</x:v>
      </x:c>
      <x:c r="I2290" s="39" t="n">
        <x:v>45843</x:v>
      </x:c>
    </x:row>
    <x:row r="2291">
      <x:c r="A2291" s="21" t="str">
        <x:v>SYN-0655</x:v>
      </x:c>
      <x:c r="B2291" s="21" t="str">
        <x:v>Synthetic Supplier 0655 LLC</x:v>
      </x:c>
      <x:c r="C2291" s="38" t="str">
        <x:f>"900 000 000 000 655"</x:f>
        <x:v>900 000 000 000 655</x:v>
      </x:c>
      <x:c r="D2291" s="21" t="str">
        <x:v>SYN-0655-INV-01</x:v>
      </x:c>
      <x:c r="E2291" s="39" t="n">
        <x:v>46214</x:v>
      </x:c>
      <x:c r="F2291" s="42" t="n">
        <x:v>117006.39</x:v>
      </x:c>
      <x:c r="G2291" s="42" t="n">
        <x:v>5850.32</x:v>
      </x:c>
      <x:c r="H2291" s="42" t="n">
        <x:v>579950.51</x:v>
      </x:c>
      <x:c r="I2291" s="39"/>
    </x:row>
    <x:row r="2292">
      <x:c r="A2292" s="21" t="str">
        <x:v>SYN-0655</x:v>
      </x:c>
      <x:c r="B2292" s="21" t="str">
        <x:v>Synthetic Supplier 0655 LLC</x:v>
      </x:c>
      <x:c r="C2292" s="38" t="str">
        <x:f>"900 000 000 000 655"</x:f>
        <x:v>900 000 000 000 655</x:v>
      </x:c>
      <x:c r="D2292" s="21" t="str">
        <x:v>SYN-0655-INV-02</x:v>
      </x:c>
      <x:c r="E2292" s="39" t="n">
        <x:v>46261</x:v>
      </x:c>
      <x:c r="F2292" s="42" t="n">
        <x:v>92821.28</x:v>
      </x:c>
      <x:c r="G2292" s="42" t="n">
        <x:v>4641.06</x:v>
      </x:c>
      <x:c r="H2292" s="42" t="n">
        <x:v>579950.51</x:v>
      </x:c>
      <x:c r="I2292" s="39"/>
    </x:row>
    <x:row r="2293">
      <x:c r="A2293" s="21" t="str">
        <x:v>SYN-0655</x:v>
      </x:c>
      <x:c r="B2293" s="21" t="str">
        <x:v>Synthetic Supplier 0655 LLC</x:v>
      </x:c>
      <x:c r="C2293" s="38" t="str">
        <x:f>"900 000 000 000 655"</x:f>
        <x:v>900 000 000 000 655</x:v>
      </x:c>
      <x:c r="D2293" s="21" t="str">
        <x:v>SYN-0655-INV-03</x:v>
      </x:c>
      <x:c r="E2293" s="39" t="n">
        <x:v>45948</x:v>
      </x:c>
      <x:c r="F2293" s="42" t="n">
        <x:v>139665.23</x:v>
      </x:c>
      <x:c r="G2293" s="42" t="n">
        <x:v>6983.26</x:v>
      </x:c>
      <x:c r="H2293" s="42" t="n">
        <x:v>579950.51</x:v>
      </x:c>
      <x:c r="I2293" s="39"/>
    </x:row>
    <x:row r="2294">
      <x:c r="A2294" s="21" t="str">
        <x:v>SYN-0655</x:v>
      </x:c>
      <x:c r="B2294" s="21" t="str">
        <x:v>Synthetic Supplier 0655 LLC</x:v>
      </x:c>
      <x:c r="C2294" s="38" t="str">
        <x:f>"900 000 000 000 655"</x:f>
        <x:v>900 000 000 000 655</x:v>
      </x:c>
      <x:c r="D2294" s="21" t="str">
        <x:v>SYN-0655-INV-04</x:v>
      </x:c>
      <x:c r="E2294" s="39" t="n">
        <x:v>45995</x:v>
      </x:c>
      <x:c r="F2294" s="42" t="n">
        <x:v>142251.55</x:v>
      </x:c>
      <x:c r="G2294" s="42" t="n">
        <x:v>7112.58</x:v>
      </x:c>
      <x:c r="H2294" s="42" t="n">
        <x:v>579950.51</x:v>
      </x:c>
      <x:c r="I2294" s="39"/>
    </x:row>
    <x:row r="2295">
      <x:c r="A2295" s="21" t="str">
        <x:v>SYN-0655</x:v>
      </x:c>
      <x:c r="B2295" s="21" t="str">
        <x:v>Synthetic Supplier 0655 LLC</x:v>
      </x:c>
      <x:c r="C2295" s="38" t="str">
        <x:f>"900 000 000 000 655"</x:f>
        <x:v>900 000 000 000 655</x:v>
      </x:c>
      <x:c r="D2295" s="21" t="str">
        <x:v>SYN-0655-INV-05</x:v>
      </x:c>
      <x:c r="E2295" s="39" t="n">
        <x:v>46042</x:v>
      </x:c>
      <x:c r="F2295" s="42" t="n">
        <x:v>152645</x:v>
      </x:c>
      <x:c r="G2295" s="42" t="n">
        <x:v>7632.25</x:v>
      </x:c>
      <x:c r="H2295" s="42" t="n">
        <x:v>579950.51</x:v>
      </x:c>
      <x:c r="I2295" s="39"/>
    </x:row>
    <x:row r="2296">
      <x:c r="A2296" s="21" t="str">
        <x:v>SYN-0656</x:v>
      </x:c>
      <x:c r="B2296" s="21" t="str">
        <x:v>Synthetic Supplier 0656 LLC</x:v>
      </x:c>
      <x:c r="C2296" s="38" t="str">
        <x:f>"900 000 000 000 656"</x:f>
        <x:v>900 000 000 000 656</x:v>
      </x:c>
      <x:c r="D2296" s="21" t="str">
        <x:v>SYN-0656-INV-01</x:v>
      </x:c>
      <x:c r="E2296" s="39" t="n">
        <x:v>46227</x:v>
      </x:c>
      <x:c r="F2296" s="42" t="n">
        <x:v>236565.97</x:v>
      </x:c>
      <x:c r="G2296" s="42" t="n">
        <x:v>11828.3</x:v>
      </x:c>
      <x:c r="H2296" s="42" t="n">
        <x:v>614312.8</x:v>
      </x:c>
      <x:c r="I2296" s="39" t="n">
        <x:v>45907</x:v>
      </x:c>
    </x:row>
    <x:row r="2297">
      <x:c r="A2297" s="21" t="str">
        <x:v>SYN-0656</x:v>
      </x:c>
      <x:c r="B2297" s="21" t="str">
        <x:v>Synthetic Supplier 0656 LLC</x:v>
      </x:c>
      <x:c r="C2297" s="38" t="str">
        <x:f>"900 000 000 000 656"</x:f>
        <x:v>900 000 000 000 656</x:v>
      </x:c>
      <x:c r="D2297" s="21" t="str">
        <x:v>SYN-0656-INV-02</x:v>
      </x:c>
      <x:c r="E2297" s="39" t="n">
        <x:v>46274</x:v>
      </x:c>
      <x:c r="F2297" s="42" t="n">
        <x:v>446003.81</x:v>
      </x:c>
      <x:c r="G2297" s="42" t="n">
        <x:v>22300.19</x:v>
      </x:c>
      <x:c r="H2297" s="42" t="n">
        <x:v>614312.8</x:v>
      </x:c>
      <x:c r="I2297" s="39" t="n">
        <x:v>45907</x:v>
      </x:c>
    </x:row>
    <x:row r="2298">
      <x:c r="A2298" s="21" t="str">
        <x:v>SYN-0657</x:v>
      </x:c>
      <x:c r="B2298" s="21" t="str">
        <x:v>Synthetic Supplier 0657 LLC</x:v>
      </x:c>
      <x:c r="C2298" s="38" t="str">
        <x:f>"900 000 000 000 657"</x:f>
        <x:v>900 000 000 000 657</x:v>
      </x:c>
      <x:c r="D2298" s="21" t="str">
        <x:v>SYN-0657-INV-01</x:v>
      </x:c>
      <x:c r="E2298" s="39" t="n">
        <x:v>46240</x:v>
      </x:c>
      <x:c r="F2298" s="42" t="n">
        <x:v>195651.95</x:v>
      </x:c>
      <x:c r="G2298" s="42" t="n">
        <x:v>9782.6</x:v>
      </x:c>
      <x:c r="H2298" s="42" t="n">
        <x:v>401447.35</x:v>
      </x:c>
      <x:c r="I2298" s="39" t="n">
        <x:v>46030</x:v>
      </x:c>
    </x:row>
    <x:row r="2299">
      <x:c r="A2299" s="21" t="str">
        <x:v>SYN-0657</x:v>
      </x:c>
      <x:c r="B2299" s="21" t="str">
        <x:v>Synthetic Supplier 0657 LLC</x:v>
      </x:c>
      <x:c r="C2299" s="38" t="str">
        <x:f>"900 000 000 000 657"</x:f>
        <x:v>900 000 000 000 657</x:v>
      </x:c>
      <x:c r="D2299" s="21" t="str">
        <x:v>SYN-0657-INV-02</x:v>
      </x:c>
      <x:c r="E2299" s="39" t="n">
        <x:v>46287</x:v>
      </x:c>
      <x:c r="F2299" s="42" t="n">
        <x:v>85845.4</x:v>
      </x:c>
      <x:c r="G2299" s="42" t="n">
        <x:v>4292.27</x:v>
      </x:c>
      <x:c r="H2299" s="42" t="n">
        <x:v>401447.35</x:v>
      </x:c>
      <x:c r="I2299" s="39" t="n">
        <x:v>46030</x:v>
      </x:c>
    </x:row>
    <x:row r="2300">
      <x:c r="A2300" s="21" t="str">
        <x:v>SYN-0657</x:v>
      </x:c>
      <x:c r="B2300" s="21" t="str">
        <x:v>Synthetic Supplier 0657 LLC</x:v>
      </x:c>
      <x:c r="C2300" s="38" t="str">
        <x:f>"900 000 000 000 657"</x:f>
        <x:v>900 000 000 000 657</x:v>
      </x:c>
      <x:c r="D2300" s="21" t="str">
        <x:v>SYN-0657-INV-03</x:v>
      </x:c>
      <x:c r="E2300" s="39" t="n">
        <x:v>45974</x:v>
      </x:c>
      <x:c r="F2300" s="42" t="n">
        <x:v>164555.26</x:v>
      </x:c>
      <x:c r="G2300" s="42" t="n">
        <x:v>8227.76</x:v>
      </x:c>
      <x:c r="H2300" s="42" t="n">
        <x:v>401447.35</x:v>
      </x:c>
      <x:c r="I2300" s="39" t="n">
        <x:v>46030</x:v>
      </x:c>
    </x:row>
    <x:row r="2301">
      <x:c r="A2301" s="21" t="str">
        <x:v>SYN-0658</x:v>
      </x:c>
      <x:c r="B2301" s="21" t="str">
        <x:v>Synthetic Supplier 0658 LLC</x:v>
      </x:c>
      <x:c r="C2301" s="38" t="str">
        <x:f>"900 000 000 000 658"</x:f>
        <x:v>900 000 000 000 658</x:v>
      </x:c>
      <x:c r="D2301" s="21" t="str">
        <x:v>SYN-0658-INV-01</x:v>
      </x:c>
      <x:c r="E2301" s="39" t="n">
        <x:v>46253</x:v>
      </x:c>
      <x:c r="F2301" s="42" t="n">
        <x:v>126908.73</x:v>
      </x:c>
      <x:c r="G2301" s="42" t="n">
        <x:v>6345.44</x:v>
      </x:c>
      <x:c r="H2301" s="42" t="n">
        <x:v>744956.7</x:v>
      </x:c>
      <x:c r="I2301" s="39" t="n">
        <x:v>45697</x:v>
      </x:c>
    </x:row>
    <x:row r="2302">
      <x:c r="A2302" s="21" t="str">
        <x:v>SYN-0658</x:v>
      </x:c>
      <x:c r="B2302" s="21" t="str">
        <x:v>Synthetic Supplier 0658 LLC</x:v>
      </x:c>
      <x:c r="C2302" s="38" t="str">
        <x:f>"900 000 000 000 658"</x:f>
        <x:v>900 000 000 000 658</x:v>
      </x:c>
      <x:c r="D2302" s="21" t="str">
        <x:v>SYN-0658-INV-02</x:v>
      </x:c>
      <x:c r="E2302" s="39" t="n">
        <x:v>45940</x:v>
      </x:c>
      <x:c r="F2302" s="42" t="n">
        <x:v>150129.58</x:v>
      </x:c>
      <x:c r="G2302" s="42" t="n">
        <x:v>7506.48</x:v>
      </x:c>
      <x:c r="H2302" s="42" t="n">
        <x:v>744956.7</x:v>
      </x:c>
      <x:c r="I2302" s="39" t="n">
        <x:v>45697</x:v>
      </x:c>
    </x:row>
    <x:row r="2303">
      <x:c r="A2303" s="21" t="str">
        <x:v>SYN-0658</x:v>
      </x:c>
      <x:c r="B2303" s="21" t="str">
        <x:v>Synthetic Supplier 0658 LLC</x:v>
      </x:c>
      <x:c r="C2303" s="38" t="str">
        <x:f>"900 000 000 000 658"</x:f>
        <x:v>900 000 000 000 658</x:v>
      </x:c>
      <x:c r="D2303" s="21" t="str">
        <x:v>SYN-0658-INV-03</x:v>
      </x:c>
      <x:c r="E2303" s="39" t="n">
        <x:v>45987</x:v>
      </x:c>
      <x:c r="F2303" s="42" t="n">
        <x:v>222546.31</x:v>
      </x:c>
      <x:c r="G2303" s="42" t="n">
        <x:v>11127.32</x:v>
      </x:c>
      <x:c r="H2303" s="42" t="n">
        <x:v>744956.7</x:v>
      </x:c>
      <x:c r="I2303" s="39" t="n">
        <x:v>45697</x:v>
      </x:c>
    </x:row>
    <x:row r="2304">
      <x:c r="A2304" s="21" t="str">
        <x:v>SYN-0658</x:v>
      </x:c>
      <x:c r="B2304" s="21" t="str">
        <x:v>Synthetic Supplier 0658 LLC</x:v>
      </x:c>
      <x:c r="C2304" s="38" t="str">
        <x:f>"900 000 000 000 658"</x:f>
        <x:v>900 000 000 000 658</x:v>
      </x:c>
      <x:c r="D2304" s="21" t="str">
        <x:v>SYN-0658-INV-04</x:v>
      </x:c>
      <x:c r="E2304" s="39" t="n">
        <x:v>46034</x:v>
      </x:c>
      <x:c r="F2304" s="42" t="n">
        <x:v>148203.81</x:v>
      </x:c>
      <x:c r="G2304" s="42" t="n">
        <x:v>7410.19</x:v>
      </x:c>
      <x:c r="H2304" s="42" t="n">
        <x:v>744956.7</x:v>
      </x:c>
      <x:c r="I2304" s="39" t="n">
        <x:v>45697</x:v>
      </x:c>
    </x:row>
    <x:row r="2305">
      <x:c r="A2305" s="21" t="str">
        <x:v>SYN-0659</x:v>
      </x:c>
      <x:c r="B2305" s="21" t="str">
        <x:v>Synthetic Supplier 0659 LLC</x:v>
      </x:c>
      <x:c r="C2305" s="38" t="str">
        <x:f>"900 000 000 000 659"</x:f>
        <x:v>900 000 000 000 659</x:v>
      </x:c>
      <x:c r="D2305" s="21" t="str">
        <x:v>SYN-0659-INV-01</x:v>
      </x:c>
      <x:c r="E2305" s="39" t="n">
        <x:v>46266</x:v>
      </x:c>
      <x:c r="F2305" s="42" t="n">
        <x:v>103827.52</x:v>
      </x:c>
      <x:c r="G2305" s="42" t="n">
        <x:v>5191.38</x:v>
      </x:c>
      <x:c r="H2305" s="42" t="n">
        <x:v>483364.25</x:v>
      </x:c>
      <x:c r="I2305" s="39" t="n">
        <x:v>46091</x:v>
      </x:c>
    </x:row>
    <x:row r="2306">
      <x:c r="A2306" s="21" t="str">
        <x:v>SYN-0659</x:v>
      </x:c>
      <x:c r="B2306" s="21" t="str">
        <x:v>Synthetic Supplier 0659 LLC</x:v>
      </x:c>
      <x:c r="C2306" s="38" t="str">
        <x:f>"900 000 000 000 659"</x:f>
        <x:v>900 000 000 000 659</x:v>
      </x:c>
      <x:c r="D2306" s="21" t="str">
        <x:v>SYN-0659-INV-02</x:v>
      </x:c>
      <x:c r="E2306" s="39" t="n">
        <x:v>45953</x:v>
      </x:c>
      <x:c r="F2306" s="42" t="n">
        <x:v>78132.73</x:v>
      </x:c>
      <x:c r="G2306" s="42" t="n">
        <x:v>3906.64</x:v>
      </x:c>
      <x:c r="H2306" s="42" t="n">
        <x:v>483364.25</x:v>
      </x:c>
      <x:c r="I2306" s="39" t="n">
        <x:v>46091</x:v>
      </x:c>
    </x:row>
    <x:row r="2307">
      <x:c r="A2307" s="21" t="str">
        <x:v>SYN-0659</x:v>
      </x:c>
      <x:c r="B2307" s="21" t="str">
        <x:v>Synthetic Supplier 0659 LLC</x:v>
      </x:c>
      <x:c r="C2307" s="38" t="str">
        <x:f>"900 000 000 000 659"</x:f>
        <x:v>900 000 000 000 659</x:v>
      </x:c>
      <x:c r="D2307" s="21" t="str">
        <x:v>SYN-0659-INV-03</x:v>
      </x:c>
      <x:c r="E2307" s="39" t="n">
        <x:v>46000</x:v>
      </x:c>
      <x:c r="F2307" s="42" t="n">
        <x:v>91043.15</x:v>
      </x:c>
      <x:c r="G2307" s="42" t="n">
        <x:v>4552.16</x:v>
      </x:c>
      <x:c r="H2307" s="42" t="n">
        <x:v>483364.25</x:v>
      </x:c>
      <x:c r="I2307" s="39" t="n">
        <x:v>46091</x:v>
      </x:c>
    </x:row>
    <x:row r="2308">
      <x:c r="A2308" s="21" t="str">
        <x:v>SYN-0659</x:v>
      </x:c>
      <x:c r="B2308" s="21" t="str">
        <x:v>Synthetic Supplier 0659 LLC</x:v>
      </x:c>
      <x:c r="C2308" s="38" t="str">
        <x:f>"900 000 000 000 659"</x:f>
        <x:v>900 000 000 000 659</x:v>
      </x:c>
      <x:c r="D2308" s="21" t="str">
        <x:v>SYN-0659-INV-04</x:v>
      </x:c>
      <x:c r="E2308" s="39" t="n">
        <x:v>46047</x:v>
      </x:c>
      <x:c r="F2308" s="42" t="n">
        <x:v>109159.93</x:v>
      </x:c>
      <x:c r="G2308" s="42" t="n">
        <x:v>5458</x:v>
      </x:c>
      <x:c r="H2308" s="42" t="n">
        <x:v>483364.25</x:v>
      </x:c>
      <x:c r="I2308" s="39" t="n">
        <x:v>46091</x:v>
      </x:c>
    </x:row>
    <x:row r="2309">
      <x:c r="A2309" s="21" t="str">
        <x:v>SYN-0659</x:v>
      </x:c>
      <x:c r="B2309" s="21" t="str">
        <x:v>Synthetic Supplier 0659 LLC</x:v>
      </x:c>
      <x:c r="C2309" s="38" t="str">
        <x:f>"900 000 000 000 659"</x:f>
        <x:v>900 000 000 000 659</x:v>
      </x:c>
      <x:c r="D2309" s="21" t="str">
        <x:v>SYN-0659-INV-05</x:v>
      </x:c>
      <x:c r="E2309" s="39" t="n">
        <x:v>46094</x:v>
      </x:c>
      <x:c r="F2309" s="42" t="n">
        <x:v>154908.06</x:v>
      </x:c>
      <x:c r="G2309" s="42" t="n">
        <x:v>7745.4</x:v>
      </x:c>
      <x:c r="H2309" s="42" t="n">
        <x:v>483364.25</x:v>
      </x:c>
      <x:c r="I2309" s="39" t="n">
        <x:v>46091</x:v>
      </x:c>
    </x:row>
    <x:row r="2310">
      <x:c r="A2310" s="21" t="str">
        <x:v>SYN-0660</x:v>
      </x:c>
      <x:c r="B2310" s="21" t="str">
        <x:v>Synthetic Supplier 0660 LLC</x:v>
      </x:c>
      <x:c r="C2310" s="38" t="str">
        <x:f>"900 000 000 000 660"</x:f>
        <x:v>900 000 000 000 660</x:v>
      </x:c>
      <x:c r="D2310" s="21" t="str">
        <x:v>SYN-0660-INV-01</x:v>
      </x:c>
      <x:c r="E2310" s="39" t="n">
        <x:v>46279</x:v>
      </x:c>
      <x:c r="F2310" s="42" t="n">
        <x:v>191245.65</x:v>
      </x:c>
      <x:c r="G2310" s="42" t="n">
        <x:v>9562.28</x:v>
      </x:c>
      <x:c r="H2310" s="42" t="n">
        <x:v>508449.2</x:v>
      </x:c>
      <x:c r="I2310" s="39"/>
    </x:row>
    <x:row r="2311">
      <x:c r="A2311" s="21" t="str">
        <x:v>SYN-0660</x:v>
      </x:c>
      <x:c r="B2311" s="21" t="str">
        <x:v>Synthetic Supplier 0660 LLC</x:v>
      </x:c>
      <x:c r="C2311" s="38" t="str">
        <x:f>"900 000 000 000 660"</x:f>
        <x:v>900 000 000 000 660</x:v>
      </x:c>
      <x:c r="D2311" s="21" t="str">
        <x:v>SYN-0660-INV-02</x:v>
      </x:c>
      <x:c r="E2311" s="39" t="n">
        <x:v>45966</x:v>
      </x:c>
      <x:c r="F2311" s="42" t="n">
        <x:v>373697.9</x:v>
      </x:c>
      <x:c r="G2311" s="42" t="n">
        <x:v>18684.89</x:v>
      </x:c>
      <x:c r="H2311" s="42" t="n">
        <x:v>508449.2</x:v>
      </x:c>
      <x:c r="I2311" s="39"/>
    </x:row>
    <x:row r="2312">
      <x:c r="A2312" s="21" t="str">
        <x:v>SYN-0661</x:v>
      </x:c>
      <x:c r="B2312" s="21" t="str">
        <x:v>Synthetic Supplier 0661 LLC</x:v>
      </x:c>
      <x:c r="C2312" s="38" t="str">
        <x:f>"900 000 000 000 661"</x:f>
        <x:v>900 000 000 000 661</x:v>
      </x:c>
      <x:c r="D2312" s="21" t="str">
        <x:v>SYN-0661-INV-01</x:v>
      </x:c>
      <x:c r="E2312" s="39" t="n">
        <x:v>45932</x:v>
      </x:c>
      <x:c r="F2312" s="42" t="n">
        <x:v>196580.48</x:v>
      </x:c>
      <x:c r="G2312" s="42" t="n">
        <x:v>9829.02</x:v>
      </x:c>
      <x:c r="H2312" s="42" t="n">
        <x:v>451872.38</x:v>
      </x:c>
      <x:c r="I2312" s="39" t="n">
        <x:v>46154</x:v>
      </x:c>
    </x:row>
    <x:row r="2313">
      <x:c r="A2313" s="21" t="str">
        <x:v>SYN-0661</x:v>
      </x:c>
      <x:c r="B2313" s="21" t="str">
        <x:v>Synthetic Supplier 0661 LLC</x:v>
      </x:c>
      <x:c r="C2313" s="38" t="str">
        <x:f>"900 000 000 000 661"</x:f>
        <x:v>900 000 000 000 661</x:v>
      </x:c>
      <x:c r="D2313" s="21" t="str">
        <x:v>SYN-0661-INV-02</x:v>
      </x:c>
      <x:c r="E2313" s="39" t="n">
        <x:v>45979</x:v>
      </x:c>
      <x:c r="F2313" s="42" t="n">
        <x:v>174724.49</x:v>
      </x:c>
      <x:c r="G2313" s="42" t="n">
        <x:v>8736.22</x:v>
      </x:c>
      <x:c r="H2313" s="42" t="n">
        <x:v>451872.38</x:v>
      </x:c>
      <x:c r="I2313" s="39" t="n">
        <x:v>46154</x:v>
      </x:c>
    </x:row>
    <x:row r="2314">
      <x:c r="A2314" s="21" t="str">
        <x:v>SYN-0661</x:v>
      </x:c>
      <x:c r="B2314" s="21" t="str">
        <x:v>Synthetic Supplier 0661 LLC</x:v>
      </x:c>
      <x:c r="C2314" s="38" t="str">
        <x:f>"900 000 000 000 661"</x:f>
        <x:v>900 000 000 000 661</x:v>
      </x:c>
      <x:c r="D2314" s="21" t="str">
        <x:v>SYN-0661-INV-03</x:v>
      </x:c>
      <x:c r="E2314" s="39" t="n">
        <x:v>46026</x:v>
      </x:c>
      <x:c r="F2314" s="42" t="n">
        <x:v>130775.45</x:v>
      </x:c>
      <x:c r="G2314" s="42" t="n">
        <x:v>6538.77</x:v>
      </x:c>
      <x:c r="H2314" s="42" t="n">
        <x:v>451872.38</x:v>
      </x:c>
      <x:c r="I2314" s="39" t="n">
        <x:v>46154</x:v>
      </x:c>
    </x:row>
    <x:row r="2315">
      <x:c r="A2315" s="21" t="str">
        <x:v>SYN-0662</x:v>
      </x:c>
      <x:c r="B2315" s="21" t="str">
        <x:v>Synthetic Supplier 0662 LLC</x:v>
      </x:c>
      <x:c r="C2315" s="38" t="str">
        <x:f>"900 000 000 000 662"</x:f>
        <x:v>900 000 000 000 662</x:v>
      </x:c>
      <x:c r="D2315" s="21" t="str">
        <x:v>SYN-0662-INV-01</x:v>
      </x:c>
      <x:c r="E2315" s="39" t="n">
        <x:v>45945</x:v>
      </x:c>
      <x:c r="F2315" s="42" t="n">
        <x:v>142287.84</x:v>
      </x:c>
      <x:c r="G2315" s="42" t="n">
        <x:v>7114.39</x:v>
      </x:c>
      <x:c r="H2315" s="42" t="n">
        <x:v>509144.13</x:v>
      </x:c>
      <x:c r="I2315" s="39" t="n">
        <x:v>45821</x:v>
      </x:c>
    </x:row>
    <x:row r="2316">
      <x:c r="A2316" s="21" t="str">
        <x:v>SYN-0662</x:v>
      </x:c>
      <x:c r="B2316" s="21" t="str">
        <x:v>Synthetic Supplier 0662 LLC</x:v>
      </x:c>
      <x:c r="C2316" s="38" t="str">
        <x:f>"900 000 000 000 662"</x:f>
        <x:v>900 000 000 000 662</x:v>
      </x:c>
      <x:c r="D2316" s="21" t="str">
        <x:v>SYN-0662-INV-02</x:v>
      </x:c>
      <x:c r="E2316" s="39" t="n">
        <x:v>45992</x:v>
      </x:c>
      <x:c r="F2316" s="42" t="n">
        <x:v>201842.85</x:v>
      </x:c>
      <x:c r="G2316" s="42" t="n">
        <x:v>10092.14</x:v>
      </x:c>
      <x:c r="H2316" s="42" t="n">
        <x:v>509144.13</x:v>
      </x:c>
      <x:c r="I2316" s="39" t="n">
        <x:v>45821</x:v>
      </x:c>
    </x:row>
    <x:row r="2317">
      <x:c r="A2317" s="21" t="str">
        <x:v>SYN-0662</x:v>
      </x:c>
      <x:c r="B2317" s="21" t="str">
        <x:v>Synthetic Supplier 0662 LLC</x:v>
      </x:c>
      <x:c r="C2317" s="38" t="str">
        <x:f>"900 000 000 000 662"</x:f>
        <x:v>900 000 000 000 662</x:v>
      </x:c>
      <x:c r="D2317" s="21" t="str">
        <x:v>SYN-0662-INV-03</x:v>
      </x:c>
      <x:c r="E2317" s="39" t="n">
        <x:v>46039</x:v>
      </x:c>
      <x:c r="F2317" s="42" t="n">
        <x:v>115721.04</x:v>
      </x:c>
      <x:c r="G2317" s="42" t="n">
        <x:v>5786.05</x:v>
      </x:c>
      <x:c r="H2317" s="42" t="n">
        <x:v>509144.13</x:v>
      </x:c>
      <x:c r="I2317" s="39" t="n">
        <x:v>45821</x:v>
      </x:c>
    </x:row>
    <x:row r="2318">
      <x:c r="A2318" s="21" t="str">
        <x:v>SYN-0662</x:v>
      </x:c>
      <x:c r="B2318" s="21" t="str">
        <x:v>Synthetic Supplier 0662 LLC</x:v>
      </x:c>
      <x:c r="C2318" s="38" t="str">
        <x:f>"900 000 000 000 662"</x:f>
        <x:v>900 000 000 000 662</x:v>
      </x:c>
      <x:c r="D2318" s="21" t="str">
        <x:v>SYN-0662-INV-04</x:v>
      </x:c>
      <x:c r="E2318" s="39" t="n">
        <x:v>46086</x:v>
      </x:c>
      <x:c r="F2318" s="42" t="n">
        <x:v>105863.97</x:v>
      </x:c>
      <x:c r="G2318" s="42" t="n">
        <x:v>5293.2</x:v>
      </x:c>
      <x:c r="H2318" s="42" t="n">
        <x:v>509144.13</x:v>
      </x:c>
      <x:c r="I2318" s="39" t="n">
        <x:v>45821</x:v>
      </x:c>
    </x:row>
    <x:row r="2319">
      <x:c r="A2319" s="21" t="str">
        <x:v>SYN-0663</x:v>
      </x:c>
      <x:c r="B2319" s="21" t="str">
        <x:v>Synthetic Supplier 0663 LLC</x:v>
      </x:c>
      <x:c r="C2319" s="38" t="str">
        <x:f>"900 000 000 000 663"</x:f>
        <x:v>900 000 000 000 663</x:v>
      </x:c>
      <x:c r="D2319" s="21" t="str">
        <x:v>SYN-0663-INV-01</x:v>
      </x:c>
      <x:c r="E2319" s="39" t="n">
        <x:v>45958</x:v>
      </x:c>
      <x:c r="F2319" s="42" t="n">
        <x:v>156087.8</x:v>
      </x:c>
      <x:c r="G2319" s="42" t="n">
        <x:v>7804.39</x:v>
      </x:c>
      <x:c r="H2319" s="42" t="n">
        <x:v>555919.29</x:v>
      </x:c>
      <x:c r="I2319" s="39" t="n">
        <x:v>46217</x:v>
      </x:c>
    </x:row>
    <x:row r="2320">
      <x:c r="A2320" s="21" t="str">
        <x:v>SYN-0663</x:v>
      </x:c>
      <x:c r="B2320" s="21" t="str">
        <x:v>Synthetic Supplier 0663 LLC</x:v>
      </x:c>
      <x:c r="C2320" s="38" t="str">
        <x:f>"900 000 000 000 663"</x:f>
        <x:v>900 000 000 000 663</x:v>
      </x:c>
      <x:c r="D2320" s="21" t="str">
        <x:v>SYN-0663-INV-02</x:v>
      </x:c>
      <x:c r="E2320" s="39" t="n">
        <x:v>46005</x:v>
      </x:c>
      <x:c r="F2320" s="42" t="n">
        <x:v>130919.89</x:v>
      </x:c>
      <x:c r="G2320" s="42" t="n">
        <x:v>6545.99</x:v>
      </x:c>
      <x:c r="H2320" s="42" t="n">
        <x:v>555919.29</x:v>
      </x:c>
      <x:c r="I2320" s="39" t="n">
        <x:v>46217</x:v>
      </x:c>
    </x:row>
    <x:row r="2321">
      <x:c r="A2321" s="21" t="str">
        <x:v>SYN-0663</x:v>
      </x:c>
      <x:c r="B2321" s="21" t="str">
        <x:v>Synthetic Supplier 0663 LLC</x:v>
      </x:c>
      <x:c r="C2321" s="38" t="str">
        <x:f>"900 000 000 000 663"</x:f>
        <x:v>900 000 000 000 663</x:v>
      </x:c>
      <x:c r="D2321" s="21" t="str">
        <x:v>SYN-0663-INV-03</x:v>
      </x:c>
      <x:c r="E2321" s="39" t="n">
        <x:v>46052</x:v>
      </x:c>
      <x:c r="F2321" s="42" t="n">
        <x:v>124373</x:v>
      </x:c>
      <x:c r="G2321" s="42" t="n">
        <x:v>6218.65</x:v>
      </x:c>
      <x:c r="H2321" s="42" t="n">
        <x:v>555919.29</x:v>
      </x:c>
      <x:c r="I2321" s="39" t="n">
        <x:v>46217</x:v>
      </x:c>
    </x:row>
    <x:row r="2322">
      <x:c r="A2322" s="21" t="str">
        <x:v>SYN-0663</x:v>
      </x:c>
      <x:c r="B2322" s="21" t="str">
        <x:v>Synthetic Supplier 0663 LLC</x:v>
      </x:c>
      <x:c r="C2322" s="38" t="str">
        <x:f>"900 000 000 000 663"</x:f>
        <x:v>900 000 000 000 663</x:v>
      </x:c>
      <x:c r="D2322" s="21" t="str">
        <x:v>SYN-0663-INV-04</x:v>
      </x:c>
      <x:c r="E2322" s="39" t="n">
        <x:v>46099</x:v>
      </x:c>
      <x:c r="F2322" s="42" t="n">
        <x:v>98450.75</x:v>
      </x:c>
      <x:c r="G2322" s="42" t="n">
        <x:v>4922.54</x:v>
      </x:c>
      <x:c r="H2322" s="42" t="n">
        <x:v>555919.29</x:v>
      </x:c>
      <x:c r="I2322" s="39" t="n">
        <x:v>46217</x:v>
      </x:c>
    </x:row>
    <x:row r="2323">
      <x:c r="A2323" s="21" t="str">
        <x:v>SYN-0663</x:v>
      </x:c>
      <x:c r="B2323" s="21" t="str">
        <x:v>Synthetic Supplier 0663 LLC</x:v>
      </x:c>
      <x:c r="C2323" s="38" t="str">
        <x:f>"900 000 000 000 663"</x:f>
        <x:v>900 000 000 000 663</x:v>
      </x:c>
      <x:c r="D2323" s="21" t="str">
        <x:v>SYN-0663-INV-05</x:v>
      </x:c>
      <x:c r="E2323" s="39" t="n">
        <x:v>46146</x:v>
      </x:c>
      <x:c r="F2323" s="42" t="n">
        <x:v>107856.66</x:v>
      </x:c>
      <x:c r="G2323" s="42" t="n">
        <x:v>5392.83</x:v>
      </x:c>
      <x:c r="H2323" s="42" t="n">
        <x:v>555919.29</x:v>
      </x:c>
      <x:c r="I2323" s="39" t="n">
        <x:v>46217</x:v>
      </x:c>
    </x:row>
    <x:row r="2324">
      <x:c r="A2324" s="21" t="str">
        <x:v>SYN-0664</x:v>
      </x:c>
      <x:c r="B2324" s="21" t="str">
        <x:v>Synthetic Supplier 0664 LLC</x:v>
      </x:c>
      <x:c r="C2324" s="38" t="str">
        <x:f>"900 000 000 000 664"</x:f>
        <x:v>900 000 000 000 664</x:v>
      </x:c>
      <x:c r="D2324" s="21" t="str">
        <x:v>SYN-0664-INV-01</x:v>
      </x:c>
      <x:c r="E2324" s="39" t="n">
        <x:v>45971</x:v>
      </x:c>
      <x:c r="F2324" s="42" t="n">
        <x:v>467487.01</x:v>
      </x:c>
      <x:c r="G2324" s="42" t="n">
        <x:v>23374.35</x:v>
      </x:c>
      <x:c r="H2324" s="42" t="n">
        <x:v>643406.36</x:v>
      </x:c>
      <x:c r="I2324" s="39" t="n">
        <x:v>45884</x:v>
      </x:c>
    </x:row>
    <x:row r="2325">
      <x:c r="A2325" s="21" t="str">
        <x:v>SYN-0664</x:v>
      </x:c>
      <x:c r="B2325" s="21" t="str">
        <x:v>Synthetic Supplier 0664 LLC</x:v>
      </x:c>
      <x:c r="C2325" s="38" t="str">
        <x:f>"900 000 000 000 664"</x:f>
        <x:v>900 000 000 000 664</x:v>
      </x:c>
      <x:c r="D2325" s="21" t="str">
        <x:v>SYN-0664-INV-02</x:v>
      </x:c>
      <x:c r="E2325" s="39" t="n">
        <x:v>46018</x:v>
      </x:c>
      <x:c r="F2325" s="42" t="n">
        <x:v>247408.95</x:v>
      </x:c>
      <x:c r="G2325" s="42" t="n">
        <x:v>12370.45</x:v>
      </x:c>
      <x:c r="H2325" s="42" t="n">
        <x:v>643406.36</x:v>
      </x:c>
      <x:c r="I2325" s="39" t="n">
        <x:v>45884</x:v>
      </x:c>
    </x:row>
    <x:row r="2326">
      <x:c r="A2326" s="21" t="str">
        <x:v>SYN-0665</x:v>
      </x:c>
      <x:c r="B2326" s="21" t="str">
        <x:v>Synthetic Supplier 0665 LLC</x:v>
      </x:c>
      <x:c r="C2326" s="38" t="str">
        <x:f>"900 000 000 000 665"</x:f>
        <x:v>900 000 000 000 665</x:v>
      </x:c>
      <x:c r="D2326" s="21" t="str">
        <x:v>SYN-0665-INV-01</x:v>
      </x:c>
      <x:c r="E2326" s="39" t="n">
        <x:v>45984</x:v>
      </x:c>
      <x:c r="F2326" s="42" t="n">
        <x:v>107080.99</x:v>
      </x:c>
      <x:c r="G2326" s="42" t="n">
        <x:v>5354.05</x:v>
      </x:c>
      <x:c r="H2326" s="42" t="n">
        <x:v>479851.84</x:v>
      </x:c>
      <x:c r="I2326" s="39"/>
    </x:row>
    <x:row r="2327">
      <x:c r="A2327" s="21" t="str">
        <x:v>SYN-0665</x:v>
      </x:c>
      <x:c r="B2327" s="21" t="str">
        <x:v>Synthetic Supplier 0665 LLC</x:v>
      </x:c>
      <x:c r="C2327" s="38" t="str">
        <x:f>"900 000 000 000 665"</x:f>
        <x:v>900 000 000 000 665</x:v>
      </x:c>
      <x:c r="D2327" s="21" t="str">
        <x:v>SYN-0665-INV-02</x:v>
      </x:c>
      <x:c r="E2327" s="39" t="n">
        <x:v>46031</x:v>
      </x:c>
      <x:c r="F2327" s="42" t="n">
        <x:v>198350.57</x:v>
      </x:c>
      <x:c r="G2327" s="42" t="n">
        <x:v>9917.53</x:v>
      </x:c>
      <x:c r="H2327" s="42" t="n">
        <x:v>479851.84</x:v>
      </x:c>
      <x:c r="I2327" s="39"/>
    </x:row>
    <x:row r="2328">
      <x:c r="A2328" s="21" t="str">
        <x:v>SYN-0665</x:v>
      </x:c>
      <x:c r="B2328" s="21" t="str">
        <x:v>Synthetic Supplier 0665 LLC</x:v>
      </x:c>
      <x:c r="C2328" s="38" t="str">
        <x:f>"900 000 000 000 665"</x:f>
        <x:v>900 000 000 000 665</x:v>
      </x:c>
      <x:c r="D2328" s="21" t="str">
        <x:v>SYN-0665-INV-03</x:v>
      </x:c>
      <x:c r="E2328" s="39" t="n">
        <x:v>46078</x:v>
      </x:c>
      <x:c r="F2328" s="42" t="n">
        <x:v>111830.91</x:v>
      </x:c>
      <x:c r="G2328" s="42" t="n">
        <x:v>5591.55</x:v>
      </x:c>
      <x:c r="H2328" s="42" t="n">
        <x:v>479851.84</x:v>
      </x:c>
      <x:c r="I2328" s="39"/>
    </x:row>
    <x:row r="2329">
      <x:c r="A2329" s="21" t="str">
        <x:v>SYN-0666</x:v>
      </x:c>
      <x:c r="B2329" s="21" t="str">
        <x:v>Synthetic Supplier 0666 LLC</x:v>
      </x:c>
      <x:c r="C2329" s="38" t="str">
        <x:f>"900 000 000 000 666"</x:f>
        <x:v>900 000 000 000 666</x:v>
      </x:c>
      <x:c r="D2329" s="21" t="str">
        <x:v>SYN-0666-INV-01</x:v>
      </x:c>
      <x:c r="E2329" s="39" t="n">
        <x:v>45997</x:v>
      </x:c>
      <x:c r="F2329" s="42" t="n">
        <x:v>118045.91</x:v>
      </x:c>
      <x:c r="G2329" s="42" t="n">
        <x:v>5902.3</x:v>
      </x:c>
      <x:c r="H2329" s="42" t="n">
        <x:v>441411.55</x:v>
      </x:c>
      <x:c r="I2329" s="39" t="n">
        <x:v>45674</x:v>
      </x:c>
    </x:row>
    <x:row r="2330">
      <x:c r="A2330" s="21" t="str">
        <x:v>SYN-0666</x:v>
      </x:c>
      <x:c r="B2330" s="21" t="str">
        <x:v>Synthetic Supplier 0666 LLC</x:v>
      </x:c>
      <x:c r="C2330" s="38" t="str">
        <x:f>"900 000 000 000 666"</x:f>
        <x:v>900 000 000 000 666</x:v>
      </x:c>
      <x:c r="D2330" s="21" t="str">
        <x:v>SYN-0666-INV-02</x:v>
      </x:c>
      <x:c r="E2330" s="39" t="n">
        <x:v>46044</x:v>
      </x:c>
      <x:c r="F2330" s="42" t="n">
        <x:v>134799.75</x:v>
      </x:c>
      <x:c r="G2330" s="42" t="n">
        <x:v>6739.99</x:v>
      </x:c>
      <x:c r="H2330" s="42" t="n">
        <x:v>441411.55</x:v>
      </x:c>
      <x:c r="I2330" s="39" t="n">
        <x:v>45674</x:v>
      </x:c>
    </x:row>
    <x:row r="2331">
      <x:c r="A2331" s="21" t="str">
        <x:v>SYN-0666</x:v>
      </x:c>
      <x:c r="B2331" s="21" t="str">
        <x:v>Synthetic Supplier 0666 LLC</x:v>
      </x:c>
      <x:c r="C2331" s="38" t="str">
        <x:f>"900 000 000 000 666"</x:f>
        <x:v>900 000 000 000 666</x:v>
      </x:c>
      <x:c r="D2331" s="21" t="str">
        <x:v>SYN-0666-INV-03</x:v>
      </x:c>
      <x:c r="E2331" s="39" t="n">
        <x:v>46091</x:v>
      </x:c>
      <x:c r="F2331" s="42" t="n">
        <x:v>120294.12</x:v>
      </x:c>
      <x:c r="G2331" s="42" t="n">
        <x:v>6014.71</x:v>
      </x:c>
      <x:c r="H2331" s="42" t="n">
        <x:v>441411.55</x:v>
      </x:c>
      <x:c r="I2331" s="39" t="n">
        <x:v>45674</x:v>
      </x:c>
    </x:row>
    <x:row r="2332">
      <x:c r="A2332" s="21" t="str">
        <x:v>SYN-0666</x:v>
      </x:c>
      <x:c r="B2332" s="21" t="str">
        <x:v>Synthetic Supplier 0666 LLC</x:v>
      </x:c>
      <x:c r="C2332" s="38" t="str">
        <x:f>"900 000 000 000 666"</x:f>
        <x:v>900 000 000 000 666</x:v>
      </x:c>
      <x:c r="D2332" s="21" t="str">
        <x:v>SYN-0666-INV-04</x:v>
      </x:c>
      <x:c r="E2332" s="39" t="n">
        <x:v>46138</x:v>
      </x:c>
      <x:c r="F2332" s="42" t="n">
        <x:v>117317.5</x:v>
      </x:c>
      <x:c r="G2332" s="42" t="n">
        <x:v>5865.87</x:v>
      </x:c>
      <x:c r="H2332" s="42" t="n">
        <x:v>441411.55</x:v>
      </x:c>
      <x:c r="I2332" s="39" t="n">
        <x:v>45674</x:v>
      </x:c>
    </x:row>
    <x:row r="2333">
      <x:c r="A2333" s="21" t="str">
        <x:v>SYN-0667</x:v>
      </x:c>
      <x:c r="B2333" s="21" t="str">
        <x:v>Synthetic Supplier 0667 LLC</x:v>
      </x:c>
      <x:c r="C2333" s="38" t="str">
        <x:f>"900 000 000 000 667"</x:f>
        <x:v>900 000 000 000 667</x:v>
      </x:c>
      <x:c r="D2333" s="21" t="str">
        <x:v>SYN-0667-INV-01</x:v>
      </x:c>
      <x:c r="E2333" s="39" t="n">
        <x:v>46010</x:v>
      </x:c>
      <x:c r="F2333" s="42" t="n">
        <x:v>142003.75</x:v>
      </x:c>
      <x:c r="G2333" s="42" t="n">
        <x:v>7100.19</x:v>
      </x:c>
      <x:c r="H2333" s="42" t="n">
        <x:v>644663.28</x:v>
      </x:c>
      <x:c r="I2333" s="39" t="n">
        <x:v>46071</x:v>
      </x:c>
    </x:row>
    <x:row r="2334">
      <x:c r="A2334" s="21" t="str">
        <x:v>SYN-0667</x:v>
      </x:c>
      <x:c r="B2334" s="21" t="str">
        <x:v>Synthetic Supplier 0667 LLC</x:v>
      </x:c>
      <x:c r="C2334" s="38" t="str">
        <x:f>"900 000 000 000 667"</x:f>
        <x:v>900 000 000 000 667</x:v>
      </x:c>
      <x:c r="D2334" s="21" t="str">
        <x:v>SYN-0667-INV-02</x:v>
      </x:c>
      <x:c r="E2334" s="39" t="n">
        <x:v>46057</x:v>
      </x:c>
      <x:c r="F2334" s="42" t="n">
        <x:v>176084.15</x:v>
      </x:c>
      <x:c r="G2334" s="42" t="n">
        <x:v>8804.21</x:v>
      </x:c>
      <x:c r="H2334" s="42" t="n">
        <x:v>644663.28</x:v>
      </x:c>
      <x:c r="I2334" s="39" t="n">
        <x:v>46071</x:v>
      </x:c>
    </x:row>
    <x:row r="2335">
      <x:c r="A2335" s="21" t="str">
        <x:v>SYN-0667</x:v>
      </x:c>
      <x:c r="B2335" s="21" t="str">
        <x:v>Synthetic Supplier 0667 LLC</x:v>
      </x:c>
      <x:c r="C2335" s="38" t="str">
        <x:f>"900 000 000 000 667"</x:f>
        <x:v>900 000 000 000 667</x:v>
      </x:c>
      <x:c r="D2335" s="21" t="str">
        <x:v>SYN-0667-INV-03</x:v>
      </x:c>
      <x:c r="E2335" s="39" t="n">
        <x:v>46104</x:v>
      </x:c>
      <x:c r="F2335" s="42" t="n">
        <x:v>108454.1</x:v>
      </x:c>
      <x:c r="G2335" s="42" t="n">
        <x:v>5422.7</x:v>
      </x:c>
      <x:c r="H2335" s="42" t="n">
        <x:v>644663.28</x:v>
      </x:c>
      <x:c r="I2335" s="39" t="n">
        <x:v>46071</x:v>
      </x:c>
    </x:row>
    <x:row r="2336">
      <x:c r="A2336" s="21" t="str">
        <x:v>SYN-0667</x:v>
      </x:c>
      <x:c r="B2336" s="21" t="str">
        <x:v>Synthetic Supplier 0667 LLC</x:v>
      </x:c>
      <x:c r="C2336" s="38" t="str">
        <x:f>"900 000 000 000 667"</x:f>
        <x:v>900 000 000 000 667</x:v>
      </x:c>
      <x:c r="D2336" s="21" t="str">
        <x:v>SYN-0667-INV-04</x:v>
      </x:c>
      <x:c r="E2336" s="39" t="n">
        <x:v>46151</x:v>
      </x:c>
      <x:c r="F2336" s="42" t="n">
        <x:v>123511.35</x:v>
      </x:c>
      <x:c r="G2336" s="42" t="n">
        <x:v>6175.57</x:v>
      </x:c>
      <x:c r="H2336" s="42" t="n">
        <x:v>644663.28</x:v>
      </x:c>
      <x:c r="I2336" s="39" t="n">
        <x:v>46071</x:v>
      </x:c>
    </x:row>
    <x:row r="2337">
      <x:c r="A2337" s="21" t="str">
        <x:v>SYN-0667</x:v>
      </x:c>
      <x:c r="B2337" s="21" t="str">
        <x:v>Synthetic Supplier 0667 LLC</x:v>
      </x:c>
      <x:c r="C2337" s="38" t="str">
        <x:f>"900 000 000 000 667"</x:f>
        <x:v>900 000 000 000 667</x:v>
      </x:c>
      <x:c r="D2337" s="21" t="str">
        <x:v>SYN-0667-INV-05</x:v>
      </x:c>
      <x:c r="E2337" s="39" t="n">
        <x:v>46198</x:v>
      </x:c>
      <x:c r="F2337" s="42" t="n">
        <x:v>166239.18</x:v>
      </x:c>
      <x:c r="G2337" s="42" t="n">
        <x:v>8311.96</x:v>
      </x:c>
      <x:c r="H2337" s="42" t="n">
        <x:v>644663.28</x:v>
      </x:c>
      <x:c r="I2337" s="39" t="n">
        <x:v>46071</x:v>
      </x:c>
    </x:row>
    <x:row r="2338">
      <x:c r="A2338" s="21" t="str">
        <x:v>SYN-0668</x:v>
      </x:c>
      <x:c r="B2338" s="21" t="str">
        <x:v>Synthetic Supplier 0668 LLC</x:v>
      </x:c>
      <x:c r="C2338" s="38" t="str">
        <x:f>"900 000 000 000 668"</x:f>
        <x:v>900 000 000 000 668</x:v>
      </x:c>
      <x:c r="D2338" s="21" t="str">
        <x:v>SYN-0668-INV-01</x:v>
      </x:c>
      <x:c r="E2338" s="39" t="n">
        <x:v>46023</x:v>
      </x:c>
      <x:c r="F2338" s="42" t="n">
        <x:v>506799.18</x:v>
      </x:c>
      <x:c r="G2338" s="42" t="n">
        <x:v>25339.96</x:v>
      </x:c>
      <x:c r="H2338" s="42" t="n">
        <x:v>710207.21</x:v>
      </x:c>
      <x:c r="I2338" s="39" t="n">
        <x:v>45735</x:v>
      </x:c>
    </x:row>
    <x:row r="2339">
      <x:c r="A2339" s="21" t="str">
        <x:v>SYN-0668</x:v>
      </x:c>
      <x:c r="B2339" s="21" t="str">
        <x:v>Synthetic Supplier 0668 LLC</x:v>
      </x:c>
      <x:c r="C2339" s="38" t="str">
        <x:f>"900 000 000 000 668"</x:f>
        <x:v>900 000 000 000 668</x:v>
      </x:c>
      <x:c r="D2339" s="21" t="str">
        <x:v>SYN-0668-INV-02</x:v>
      </x:c>
      <x:c r="E2339" s="39" t="n">
        <x:v>46070</x:v>
      </x:c>
      <x:c r="F2339" s="42" t="n">
        <x:v>282319.95</x:v>
      </x:c>
      <x:c r="G2339" s="42" t="n">
        <x:v>14116</x:v>
      </x:c>
      <x:c r="H2339" s="42" t="n">
        <x:v>710207.21</x:v>
      </x:c>
      <x:c r="I2339" s="39" t="n">
        <x:v>45735</x:v>
      </x:c>
    </x:row>
    <x:row r="2340">
      <x:c r="A2340" s="21" t="str">
        <x:v>SYN-0669</x:v>
      </x:c>
      <x:c r="B2340" s="21" t="str">
        <x:v>Synthetic Supplier 0669 LLC</x:v>
      </x:c>
      <x:c r="C2340" s="38" t="str">
        <x:f>"900 000 000 000 669"</x:f>
        <x:v>900 000 000 000 669</x:v>
      </x:c>
      <x:c r="D2340" s="21" t="str">
        <x:v>SYN-0669-INV-01</x:v>
      </x:c>
      <x:c r="E2340" s="39" t="n">
        <x:v>46036</x:v>
      </x:c>
      <x:c r="F2340" s="42" t="n">
        <x:v>195049.84</x:v>
      </x:c>
      <x:c r="G2340" s="42" t="n">
        <x:v>9752.49</x:v>
      </x:c>
      <x:c r="H2340" s="42" t="n">
        <x:v>672301.4</x:v>
      </x:c>
      <x:c r="I2340" s="39" t="n">
        <x:v>46132</x:v>
      </x:c>
    </x:row>
    <x:row r="2341">
      <x:c r="A2341" s="21" t="str">
        <x:v>SYN-0669</x:v>
      </x:c>
      <x:c r="B2341" s="21" t="str">
        <x:v>Synthetic Supplier 0669 LLC</x:v>
      </x:c>
      <x:c r="C2341" s="38" t="str">
        <x:f>"900 000 000 000 669"</x:f>
        <x:v>900 000 000 000 669</x:v>
      </x:c>
      <x:c r="D2341" s="21" t="str">
        <x:v>SYN-0669-INV-02</x:v>
      </x:c>
      <x:c r="E2341" s="39" t="n">
        <x:v>46083</x:v>
      </x:c>
      <x:c r="F2341" s="42" t="n">
        <x:v>228490.62</x:v>
      </x:c>
      <x:c r="G2341" s="42" t="n">
        <x:v>11424.53</x:v>
      </x:c>
      <x:c r="H2341" s="42" t="n">
        <x:v>672301.4</x:v>
      </x:c>
      <x:c r="I2341" s="39" t="n">
        <x:v>46132</x:v>
      </x:c>
    </x:row>
    <x:row r="2342">
      <x:c r="A2342" s="21" t="str">
        <x:v>SYN-0669</x:v>
      </x:c>
      <x:c r="B2342" s="21" t="str">
        <x:v>Synthetic Supplier 0669 LLC</x:v>
      </x:c>
      <x:c r="C2342" s="38" t="str">
        <x:f>"900 000 000 000 669"</x:f>
        <x:v>900 000 000 000 669</x:v>
      </x:c>
      <x:c r="D2342" s="21" t="str">
        <x:v>SYN-0669-INV-03</x:v>
      </x:c>
      <x:c r="E2342" s="39" t="n">
        <x:v>46130</x:v>
      </x:c>
      <x:c r="F2342" s="42" t="n">
        <x:v>323461.1</x:v>
      </x:c>
      <x:c r="G2342" s="42" t="n">
        <x:v>16173.05</x:v>
      </x:c>
      <x:c r="H2342" s="42" t="n">
        <x:v>672301.4</x:v>
      </x:c>
      <x:c r="I2342" s="39" t="n">
        <x:v>46132</x:v>
      </x:c>
    </x:row>
    <x:row r="2343">
      <x:c r="A2343" s="21" t="str">
        <x:v>SYN-0670</x:v>
      </x:c>
      <x:c r="B2343" s="21" t="str">
        <x:v>Synthetic Supplier 0670 LLC</x:v>
      </x:c>
      <x:c r="C2343" s="38" t="str">
        <x:f>"900 000 000 000 670"</x:f>
        <x:v>900 000 000 000 670</x:v>
      </x:c>
      <x:c r="D2343" s="21" t="str">
        <x:v>SYN-0670-INV-01</x:v>
      </x:c>
      <x:c r="E2343" s="39" t="n">
        <x:v>46049</x:v>
      </x:c>
      <x:c r="F2343" s="42" t="n">
        <x:v>104967.54</x:v>
      </x:c>
      <x:c r="G2343" s="42" t="n">
        <x:v>5248.38</x:v>
      </x:c>
      <x:c r="H2343" s="42" t="n">
        <x:v>474569.4</x:v>
      </x:c>
      <x:c r="I2343" s="39"/>
    </x:row>
    <x:row r="2344">
      <x:c r="A2344" s="21" t="str">
        <x:v>SYN-0670</x:v>
      </x:c>
      <x:c r="B2344" s="21" t="str">
        <x:v>Synthetic Supplier 0670 LLC</x:v>
      </x:c>
      <x:c r="C2344" s="38" t="str">
        <x:f>"900 000 000 000 670"</x:f>
        <x:v>900 000 000 000 670</x:v>
      </x:c>
      <x:c r="D2344" s="21" t="str">
        <x:v>SYN-0670-INV-02</x:v>
      </x:c>
      <x:c r="E2344" s="39" t="n">
        <x:v>46096</x:v>
      </x:c>
      <x:c r="F2344" s="42" t="n">
        <x:v>157335.87</x:v>
      </x:c>
      <x:c r="G2344" s="42" t="n">
        <x:v>7866.79</x:v>
      </x:c>
      <x:c r="H2344" s="42" t="n">
        <x:v>474569.4</x:v>
      </x:c>
      <x:c r="I2344" s="39"/>
    </x:row>
    <x:row r="2345">
      <x:c r="A2345" s="21" t="str">
        <x:v>SYN-0670</x:v>
      </x:c>
      <x:c r="B2345" s="21" t="str">
        <x:v>Synthetic Supplier 0670 LLC</x:v>
      </x:c>
      <x:c r="C2345" s="38" t="str">
        <x:f>"900 000 000 000 670"</x:f>
        <x:v>900 000 000 000 670</x:v>
      </x:c>
      <x:c r="D2345" s="21" t="str">
        <x:v>SYN-0670-INV-03</x:v>
      </x:c>
      <x:c r="E2345" s="39" t="n">
        <x:v>46143</x:v>
      </x:c>
      <x:c r="F2345" s="42" t="n">
        <x:v>114969.27</x:v>
      </x:c>
      <x:c r="G2345" s="42" t="n">
        <x:v>5748.46</x:v>
      </x:c>
      <x:c r="H2345" s="42" t="n">
        <x:v>474569.4</x:v>
      </x:c>
      <x:c r="I2345" s="39"/>
    </x:row>
    <x:row r="2346">
      <x:c r="A2346" s="21" t="str">
        <x:v>SYN-0670</x:v>
      </x:c>
      <x:c r="B2346" s="21" t="str">
        <x:v>Synthetic Supplier 0670 LLC</x:v>
      </x:c>
      <x:c r="C2346" s="38" t="str">
        <x:f>"900 000 000 000 670"</x:f>
        <x:v>900 000 000 000 670</x:v>
      </x:c>
      <x:c r="D2346" s="21" t="str">
        <x:v>SYN-0670-INV-04</x:v>
      </x:c>
      <x:c r="E2346" s="39" t="n">
        <x:v>46190</x:v>
      </x:c>
      <x:c r="F2346" s="42" t="n">
        <x:v>150026.66</x:v>
      </x:c>
      <x:c r="G2346" s="42" t="n">
        <x:v>7501.33</x:v>
      </x:c>
      <x:c r="H2346" s="42" t="n">
        <x:v>474569.4</x:v>
      </x:c>
      <x:c r="I2346" s="39"/>
    </x:row>
    <x:row r="2347">
      <x:c r="A2347" s="21" t="str">
        <x:v>SYN-0671</x:v>
      </x:c>
      <x:c r="B2347" s="21" t="str">
        <x:v>Synthetic Supplier 0671 LLC</x:v>
      </x:c>
      <x:c r="C2347" s="38" t="str">
        <x:f>"900 000 000 000 671"</x:f>
        <x:v>900 000 000 000 671</x:v>
      </x:c>
      <x:c r="D2347" s="21" t="str">
        <x:v>SYN-0671-INV-01</x:v>
      </x:c>
      <x:c r="E2347" s="39" t="n">
        <x:v>46062</x:v>
      </x:c>
      <x:c r="F2347" s="42" t="n">
        <x:v>73003.64</x:v>
      </x:c>
      <x:c r="G2347" s="42" t="n">
        <x:v>3650.18</x:v>
      </x:c>
      <x:c r="H2347" s="42" t="n">
        <x:v>426485.61</x:v>
      </x:c>
      <x:c r="I2347" s="39" t="n">
        <x:v>46195</x:v>
      </x:c>
    </x:row>
    <x:row r="2348">
      <x:c r="A2348" s="21" t="str">
        <x:v>SYN-0671</x:v>
      </x:c>
      <x:c r="B2348" s="21" t="str">
        <x:v>Synthetic Supplier 0671 LLC</x:v>
      </x:c>
      <x:c r="C2348" s="38" t="str">
        <x:f>"900 000 000 000 671"</x:f>
        <x:v>900 000 000 000 671</x:v>
      </x:c>
      <x:c r="D2348" s="21" t="str">
        <x:v>SYN-0671-INV-02</x:v>
      </x:c>
      <x:c r="E2348" s="39" t="n">
        <x:v>46109</x:v>
      </x:c>
      <x:c r="F2348" s="42" t="n">
        <x:v>67080.97</x:v>
      </x:c>
      <x:c r="G2348" s="42" t="n">
        <x:v>3354.05</x:v>
      </x:c>
      <x:c r="H2348" s="42" t="n">
        <x:v>426485.61</x:v>
      </x:c>
      <x:c r="I2348" s="39" t="n">
        <x:v>46195</x:v>
      </x:c>
    </x:row>
    <x:row r="2349">
      <x:c r="A2349" s="21" t="str">
        <x:v>SYN-0671</x:v>
      </x:c>
      <x:c r="B2349" s="21" t="str">
        <x:v>Synthetic Supplier 0671 LLC</x:v>
      </x:c>
      <x:c r="C2349" s="38" t="str">
        <x:f>"900 000 000 000 671"</x:f>
        <x:v>900 000 000 000 671</x:v>
      </x:c>
      <x:c r="D2349" s="21" t="str">
        <x:v>SYN-0671-INV-03</x:v>
      </x:c>
      <x:c r="E2349" s="39" t="n">
        <x:v>46156</x:v>
      </x:c>
      <x:c r="F2349" s="42" t="n">
        <x:v>126577.47</x:v>
      </x:c>
      <x:c r="G2349" s="42" t="n">
        <x:v>6328.87</x:v>
      </x:c>
      <x:c r="H2349" s="42" t="n">
        <x:v>426485.61</x:v>
      </x:c>
      <x:c r="I2349" s="39" t="n">
        <x:v>46195</x:v>
      </x:c>
    </x:row>
    <x:row r="2350">
      <x:c r="A2350" s="21" t="str">
        <x:v>SYN-0671</x:v>
      </x:c>
      <x:c r="B2350" s="21" t="str">
        <x:v>Synthetic Supplier 0671 LLC</x:v>
      </x:c>
      <x:c r="C2350" s="38" t="str">
        <x:f>"900 000 000 000 671"</x:f>
        <x:v>900 000 000 000 671</x:v>
      </x:c>
      <x:c r="D2350" s="21" t="str">
        <x:v>SYN-0671-INV-04</x:v>
      </x:c>
      <x:c r="E2350" s="39" t="n">
        <x:v>46203</x:v>
      </x:c>
      <x:c r="F2350" s="42" t="n">
        <x:v>89072.84</x:v>
      </x:c>
      <x:c r="G2350" s="42" t="n">
        <x:v>4453.64</x:v>
      </x:c>
      <x:c r="H2350" s="42" t="n">
        <x:v>426485.61</x:v>
      </x:c>
      <x:c r="I2350" s="39" t="n">
        <x:v>46195</x:v>
      </x:c>
    </x:row>
    <x:row r="2351">
      <x:c r="A2351" s="21" t="str">
        <x:v>SYN-0671</x:v>
      </x:c>
      <x:c r="B2351" s="21" t="str">
        <x:v>Synthetic Supplier 0671 LLC</x:v>
      </x:c>
      <x:c r="C2351" s="38" t="str">
        <x:f>"900 000 000 000 671"</x:f>
        <x:v>900 000 000 000 671</x:v>
      </x:c>
      <x:c r="D2351" s="21" t="str">
        <x:v>SYN-0671-INV-05</x:v>
      </x:c>
      <x:c r="E2351" s="39" t="n">
        <x:v>46250</x:v>
      </x:c>
      <x:c r="F2351" s="42" t="n">
        <x:v>118137.99</x:v>
      </x:c>
      <x:c r="G2351" s="42" t="n">
        <x:v>5906.9</x:v>
      </x:c>
      <x:c r="H2351" s="42" t="n">
        <x:v>426485.61</x:v>
      </x:c>
      <x:c r="I2351" s="39" t="n">
        <x:v>46195</x:v>
      </x:c>
    </x:row>
    <x:row r="2352">
      <x:c r="A2352" s="21" t="str">
        <x:v>SYN-0672</x:v>
      </x:c>
      <x:c r="B2352" s="21" t="str">
        <x:v>Synthetic Supplier 0672 LLC</x:v>
      </x:c>
      <x:c r="C2352" s="38" t="str">
        <x:f>"900 000 000 000 672"</x:f>
        <x:v>900 000 000 000 672</x:v>
      </x:c>
      <x:c r="D2352" s="21" t="str">
        <x:v>SYN-0672-INV-01</x:v>
      </x:c>
      <x:c r="E2352" s="39" t="n">
        <x:v>46075</x:v>
      </x:c>
      <x:c r="F2352" s="42" t="n">
        <x:v>451178.92</x:v>
      </x:c>
      <x:c r="G2352" s="42" t="n">
        <x:v>22558.95</x:v>
      </x:c>
      <x:c r="H2352" s="42" t="n">
        <x:v>843927.89</x:v>
      </x:c>
      <x:c r="I2352" s="39" t="n">
        <x:v>45861</x:v>
      </x:c>
    </x:row>
    <x:row r="2353">
      <x:c r="A2353" s="21" t="str">
        <x:v>SYN-0672</x:v>
      </x:c>
      <x:c r="B2353" s="21" t="str">
        <x:v>Synthetic Supplier 0672 LLC</x:v>
      </x:c>
      <x:c r="C2353" s="38" t="str">
        <x:f>"900 000 000 000 672"</x:f>
        <x:v>900 000 000 000 672</x:v>
      </x:c>
      <x:c r="D2353" s="21" t="str">
        <x:v>SYN-0672-INV-02</x:v>
      </x:c>
      <x:c r="E2353" s="39" t="n">
        <x:v>46122</x:v>
      </x:c>
      <x:c r="F2353" s="42" t="n">
        <x:v>282671.42</x:v>
      </x:c>
      <x:c r="G2353" s="42" t="n">
        <x:v>14133.57</x:v>
      </x:c>
      <x:c r="H2353" s="42" t="n">
        <x:v>843927.89</x:v>
      </x:c>
      <x:c r="I2353" s="39" t="n">
        <x:v>45861</x:v>
      </x:c>
    </x:row>
    <x:row r="2354">
      <x:c r="A2354" s="21" t="str">
        <x:v>SYN-0673</x:v>
      </x:c>
      <x:c r="B2354" s="21" t="str">
        <x:v>Synthetic Supplier 0673 LLC</x:v>
      </x:c>
      <x:c r="C2354" s="38" t="str">
        <x:f>"900 000 000 000 673"</x:f>
        <x:v>900 000 000 000 673</x:v>
      </x:c>
      <x:c r="D2354" s="21" t="str">
        <x:v>SYN-0673-INV-01</x:v>
      </x:c>
      <x:c r="E2354" s="39" t="n">
        <x:v>46088</x:v>
      </x:c>
      <x:c r="F2354" s="42" t="n">
        <x:v>154576.84</x:v>
      </x:c>
      <x:c r="G2354" s="42" t="n">
        <x:v>7728.84</x:v>
      </x:c>
      <x:c r="H2354" s="42" t="n">
        <x:v>431911.16</x:v>
      </x:c>
      <x:c r="I2354" s="39" t="n">
        <x:v>46258</x:v>
      </x:c>
    </x:row>
    <x:row r="2355">
      <x:c r="A2355" s="21" t="str">
        <x:v>SYN-0673</x:v>
      </x:c>
      <x:c r="B2355" s="21" t="str">
        <x:v>Synthetic Supplier 0673 LLC</x:v>
      </x:c>
      <x:c r="C2355" s="38" t="str">
        <x:f>"900 000 000 000 673"</x:f>
        <x:v>900 000 000 000 673</x:v>
      </x:c>
      <x:c r="D2355" s="21" t="str">
        <x:v>SYN-0673-INV-02</x:v>
      </x:c>
      <x:c r="E2355" s="39" t="n">
        <x:v>46135</x:v>
      </x:c>
      <x:c r="F2355" s="42" t="n">
        <x:v>186002.9</x:v>
      </x:c>
      <x:c r="G2355" s="42" t="n">
        <x:v>9300.15</x:v>
      </x:c>
      <x:c r="H2355" s="42" t="n">
        <x:v>431911.16</x:v>
      </x:c>
      <x:c r="I2355" s="39" t="n">
        <x:v>46258</x:v>
      </x:c>
    </x:row>
    <x:row r="2356">
      <x:c r="A2356" s="21" t="str">
        <x:v>SYN-0673</x:v>
      </x:c>
      <x:c r="B2356" s="21" t="str">
        <x:v>Synthetic Supplier 0673 LLC</x:v>
      </x:c>
      <x:c r="C2356" s="38" t="str">
        <x:f>"900 000 000 000 673"</x:f>
        <x:v>900 000 000 000 673</x:v>
      </x:c>
      <x:c r="D2356" s="21" t="str">
        <x:v>SYN-0673-INV-03</x:v>
      </x:c>
      <x:c r="E2356" s="39" t="n">
        <x:v>46182</x:v>
      </x:c>
      <x:c r="F2356" s="42" t="n">
        <x:v>139321.55</x:v>
      </x:c>
      <x:c r="G2356" s="42" t="n">
        <x:v>6966.08</x:v>
      </x:c>
      <x:c r="H2356" s="42" t="n">
        <x:v>431911.16</x:v>
      </x:c>
      <x:c r="I2356" s="39" t="n">
        <x:v>46258</x:v>
      </x:c>
    </x:row>
    <x:row r="2357">
      <x:c r="A2357" s="21" t="str">
        <x:v>SYN-0674</x:v>
      </x:c>
      <x:c r="B2357" s="21" t="str">
        <x:v>Synthetic Supplier 0674 LLC</x:v>
      </x:c>
      <x:c r="C2357" s="38" t="str">
        <x:f>"900 000 000 000 674"</x:f>
        <x:v>900 000 000 000 674</x:v>
      </x:c>
      <x:c r="D2357" s="21" t="str">
        <x:v>SYN-0674-INV-01</x:v>
      </x:c>
      <x:c r="E2357" s="39" t="n">
        <x:v>46101</x:v>
      </x:c>
      <x:c r="F2357" s="42" t="n">
        <x:v>112796.84</x:v>
      </x:c>
      <x:c r="G2357" s="42" t="n">
        <x:v>5639.84</x:v>
      </x:c>
      <x:c r="H2357" s="42" t="n">
        <x:v>428410.94</x:v>
      </x:c>
      <x:c r="I2357" s="39" t="n">
        <x:v>45925</x:v>
      </x:c>
    </x:row>
    <x:row r="2358">
      <x:c r="A2358" s="21" t="str">
        <x:v>SYN-0674</x:v>
      </x:c>
      <x:c r="B2358" s="21" t="str">
        <x:v>Synthetic Supplier 0674 LLC</x:v>
      </x:c>
      <x:c r="C2358" s="38" t="str">
        <x:f>"900 000 000 000 674"</x:f>
        <x:v>900 000 000 000 674</x:v>
      </x:c>
      <x:c r="D2358" s="21" t="str">
        <x:v>SYN-0674-INV-02</x:v>
      </x:c>
      <x:c r="E2358" s="39" t="n">
        <x:v>46148</x:v>
      </x:c>
      <x:c r="F2358" s="42" t="n">
        <x:v>191779.58</x:v>
      </x:c>
      <x:c r="G2358" s="42" t="n">
        <x:v>9588.98</x:v>
      </x:c>
      <x:c r="H2358" s="42" t="n">
        <x:v>428410.94</x:v>
      </x:c>
      <x:c r="I2358" s="39" t="n">
        <x:v>45925</x:v>
      </x:c>
    </x:row>
    <x:row r="2359">
      <x:c r="A2359" s="21" t="str">
        <x:v>SYN-0674</x:v>
      </x:c>
      <x:c r="B2359" s="21" t="str">
        <x:v>Synthetic Supplier 0674 LLC</x:v>
      </x:c>
      <x:c r="C2359" s="38" t="str">
        <x:f>"900 000 000 000 674"</x:f>
        <x:v>900 000 000 000 674</x:v>
      </x:c>
      <x:c r="D2359" s="21" t="str">
        <x:v>SYN-0674-INV-03</x:v>
      </x:c>
      <x:c r="E2359" s="39" t="n">
        <x:v>46195</x:v>
      </x:c>
      <x:c r="F2359" s="42" t="n">
        <x:v>86932.96</x:v>
      </x:c>
      <x:c r="G2359" s="42" t="n">
        <x:v>4346.65</x:v>
      </x:c>
      <x:c r="H2359" s="42" t="n">
        <x:v>428410.94</x:v>
      </x:c>
      <x:c r="I2359" s="39" t="n">
        <x:v>45925</x:v>
      </x:c>
    </x:row>
    <x:row r="2360">
      <x:c r="A2360" s="21" t="str">
        <x:v>SYN-0674</x:v>
      </x:c>
      <x:c r="B2360" s="21" t="str">
        <x:v>Synthetic Supplier 0674 LLC</x:v>
      </x:c>
      <x:c r="C2360" s="38" t="str">
        <x:f>"900 000 000 000 674"</x:f>
        <x:v>900 000 000 000 674</x:v>
      </x:c>
      <x:c r="D2360" s="21" t="str">
        <x:v>SYN-0674-INV-04</x:v>
      </x:c>
      <x:c r="E2360" s="39" t="n">
        <x:v>46242</x:v>
      </x:c>
      <x:c r="F2360" s="42" t="n">
        <x:v>84502.78</x:v>
      </x:c>
      <x:c r="G2360" s="42" t="n">
        <x:v>4225.14</x:v>
      </x:c>
      <x:c r="H2360" s="42" t="n">
        <x:v>428410.94</x:v>
      </x:c>
      <x:c r="I2360" s="39" t="n">
        <x:v>45925</x:v>
      </x:c>
    </x:row>
    <x:row r="2361">
      <x:c r="A2361" s="21" t="str">
        <x:v>SYN-0675</x:v>
      </x:c>
      <x:c r="B2361" s="21" t="str">
        <x:v>Synthetic Supplier 0675 LLC</x:v>
      </x:c>
      <x:c r="C2361" s="38" t="str">
        <x:f>"900 000 000 000 675"</x:f>
        <x:v>900 000 000 000 675</x:v>
      </x:c>
      <x:c r="D2361" s="21" t="str">
        <x:v>SYN-0675-INV-01</x:v>
      </x:c>
      <x:c r="E2361" s="39" t="n">
        <x:v>46114</x:v>
      </x:c>
      <x:c r="F2361" s="42" t="n">
        <x:v>102668.94</x:v>
      </x:c>
      <x:c r="G2361" s="42" t="n">
        <x:v>5133.45</x:v>
      </x:c>
      <x:c r="H2361" s="42" t="n">
        <x:v>474167.46</x:v>
      </x:c>
      <x:c r="I2361" s="39"/>
    </x:row>
    <x:row r="2362">
      <x:c r="A2362" s="21" t="str">
        <x:v>SYN-0675</x:v>
      </x:c>
      <x:c r="B2362" s="21" t="str">
        <x:v>Synthetic Supplier 0675 LLC</x:v>
      </x:c>
      <x:c r="C2362" s="38" t="str">
        <x:f>"900 000 000 000 675"</x:f>
        <x:v>900 000 000 000 675</x:v>
      </x:c>
      <x:c r="D2362" s="21" t="str">
        <x:v>SYN-0675-INV-02</x:v>
      </x:c>
      <x:c r="E2362" s="39" t="n">
        <x:v>46161</x:v>
      </x:c>
      <x:c r="F2362" s="42" t="n">
        <x:v>112459.9</x:v>
      </x:c>
      <x:c r="G2362" s="42" t="n">
        <x:v>5623</x:v>
      </x:c>
      <x:c r="H2362" s="42" t="n">
        <x:v>474167.46</x:v>
      </x:c>
      <x:c r="I2362" s="39"/>
    </x:row>
    <x:row r="2363">
      <x:c r="A2363" s="21" t="str">
        <x:v>SYN-0675</x:v>
      </x:c>
      <x:c r="B2363" s="21" t="str">
        <x:v>Synthetic Supplier 0675 LLC</x:v>
      </x:c>
      <x:c r="C2363" s="38" t="str">
        <x:f>"900 000 000 000 675"</x:f>
        <x:v>900 000 000 000 675</x:v>
      </x:c>
      <x:c r="D2363" s="21" t="str">
        <x:v>SYN-0675-INV-03</x:v>
      </x:c>
      <x:c r="E2363" s="39" t="n">
        <x:v>46208</x:v>
      </x:c>
      <x:c r="F2363" s="42" t="n">
        <x:v>77711.68</x:v>
      </x:c>
      <x:c r="G2363" s="42" t="n">
        <x:v>3885.58</x:v>
      </x:c>
      <x:c r="H2363" s="42" t="n">
        <x:v>474167.46</x:v>
      </x:c>
      <x:c r="I2363" s="39"/>
    </x:row>
    <x:row r="2364">
      <x:c r="A2364" s="21" t="str">
        <x:v>SYN-0675</x:v>
      </x:c>
      <x:c r="B2364" s="21" t="str">
        <x:v>Synthetic Supplier 0675 LLC</x:v>
      </x:c>
      <x:c r="C2364" s="38" t="str">
        <x:f>"900 000 000 000 675"</x:f>
        <x:v>900 000 000 000 675</x:v>
      </x:c>
      <x:c r="D2364" s="21" t="str">
        <x:v>SYN-0675-INV-04</x:v>
      </x:c>
      <x:c r="E2364" s="39" t="n">
        <x:v>46255</x:v>
      </x:c>
      <x:c r="F2364" s="42" t="n">
        <x:v>119977.59</x:v>
      </x:c>
      <x:c r="G2364" s="42" t="n">
        <x:v>5998.88</x:v>
      </x:c>
      <x:c r="H2364" s="42" t="n">
        <x:v>474167.46</x:v>
      </x:c>
      <x:c r="I2364" s="39"/>
    </x:row>
    <x:row r="2365">
      <x:c r="A2365" s="21" t="str">
        <x:v>SYN-0675</x:v>
      </x:c>
      <x:c r="B2365" s="21" t="str">
        <x:v>Synthetic Supplier 0675 LLC</x:v>
      </x:c>
      <x:c r="C2365" s="38" t="str">
        <x:f>"900 000 000 000 675"</x:f>
        <x:v>900 000 000 000 675</x:v>
      </x:c>
      <x:c r="D2365" s="21" t="str">
        <x:v>SYN-0675-INV-05</x:v>
      </x:c>
      <x:c r="E2365" s="39" t="n">
        <x:v>45942</x:v>
      </x:c>
      <x:c r="F2365" s="42" t="n">
        <x:v>114034.63</x:v>
      </x:c>
      <x:c r="G2365" s="42" t="n">
        <x:v>5701.73</x:v>
      </x:c>
      <x:c r="H2365" s="42" t="n">
        <x:v>474167.46</x:v>
      </x:c>
      <x:c r="I2365" s="39"/>
    </x:row>
    <x:row r="2366">
      <x:c r="A2366" s="21" t="str">
        <x:v>SYN-0676</x:v>
      </x:c>
      <x:c r="B2366" s="21" t="str">
        <x:v>Synthetic Supplier 0676 LLC</x:v>
      </x:c>
      <x:c r="C2366" s="38" t="str">
        <x:f>"900 000 000 000 676"</x:f>
        <x:v>900 000 000 000 676</x:v>
      </x:c>
      <x:c r="D2366" s="21" t="str">
        <x:v>SYN-0676-INV-01</x:v>
      </x:c>
      <x:c r="E2366" s="39" t="n">
        <x:v>46127</x:v>
      </x:c>
      <x:c r="F2366" s="42" t="n">
        <x:v>189108.21</x:v>
      </x:c>
      <x:c r="G2366" s="42" t="n">
        <x:v>9455.41</x:v>
      </x:c>
      <x:c r="H2366" s="42" t="n">
        <x:v>369325.61</x:v>
      </x:c>
      <x:c r="I2366" s="39" t="n">
        <x:v>45690</x:v>
      </x:c>
    </x:row>
    <x:row r="2367">
      <x:c r="A2367" s="21" t="str">
        <x:v>SYN-0676</x:v>
      </x:c>
      <x:c r="B2367" s="21" t="str">
        <x:v>Synthetic Supplier 0676 LLC</x:v>
      </x:c>
      <x:c r="C2367" s="38" t="str">
        <x:f>"900 000 000 000 676"</x:f>
        <x:v>900 000 000 000 676</x:v>
      </x:c>
      <x:c r="D2367" s="21" t="str">
        <x:v>SYN-0676-INV-02</x:v>
      </x:c>
      <x:c r="E2367" s="39" t="n">
        <x:v>46174</x:v>
      </x:c>
      <x:c r="F2367" s="42" t="n">
        <x:v>221253.58</x:v>
      </x:c>
      <x:c r="G2367" s="42" t="n">
        <x:v>11062.68</x:v>
      </x:c>
      <x:c r="H2367" s="42" t="n">
        <x:v>369325.61</x:v>
      </x:c>
      <x:c r="I2367" s="39" t="n">
        <x:v>45690</x:v>
      </x:c>
    </x:row>
    <x:row r="2368">
      <x:c r="A2368" s="21" t="str">
        <x:v>SYN-0677</x:v>
      </x:c>
      <x:c r="B2368" s="21" t="str">
        <x:v>Synthetic Supplier 0677 LLC</x:v>
      </x:c>
      <x:c r="C2368" s="38" t="str">
        <x:f>"900 000 000 000 677"</x:f>
        <x:v>900 000 000 000 677</x:v>
      </x:c>
      <x:c r="D2368" s="21" t="str">
        <x:v>SYN-0677-INV-01</x:v>
      </x:c>
      <x:c r="E2368" s="39" t="n">
        <x:v>46140</x:v>
      </x:c>
      <x:c r="F2368" s="42" t="n">
        <x:v>246356.41</x:v>
      </x:c>
      <x:c r="G2368" s="42" t="n">
        <x:v>12317.82</x:v>
      </x:c>
      <x:c r="H2368" s="42" t="n">
        <x:v>559659.24</x:v>
      </x:c>
      <x:c r="I2368" s="39" t="n">
        <x:v>46084</x:v>
      </x:c>
    </x:row>
    <x:row r="2369">
      <x:c r="A2369" s="21" t="str">
        <x:v>SYN-0677</x:v>
      </x:c>
      <x:c r="B2369" s="21" t="str">
        <x:v>Synthetic Supplier 0677 LLC</x:v>
      </x:c>
      <x:c r="C2369" s="38" t="str">
        <x:f>"900 000 000 000 677"</x:f>
        <x:v>900 000 000 000 677</x:v>
      </x:c>
      <x:c r="D2369" s="21" t="str">
        <x:v>SYN-0677-INV-02</x:v>
      </x:c>
      <x:c r="E2369" s="39" t="n">
        <x:v>46187</x:v>
      </x:c>
      <x:c r="F2369" s="42" t="n">
        <x:v>240400.04</x:v>
      </x:c>
      <x:c r="G2369" s="42" t="n">
        <x:v>12020</x:v>
      </x:c>
      <x:c r="H2369" s="42" t="n">
        <x:v>559659.24</x:v>
      </x:c>
      <x:c r="I2369" s="39" t="n">
        <x:v>46084</x:v>
      </x:c>
    </x:row>
    <x:row r="2370">
      <x:c r="A2370" s="21" t="str">
        <x:v>SYN-0677</x:v>
      </x:c>
      <x:c r="B2370" s="21" t="str">
        <x:v>Synthetic Supplier 0677 LLC</x:v>
      </x:c>
      <x:c r="C2370" s="38" t="str">
        <x:f>"900 000 000 000 677"</x:f>
        <x:v>900 000 000 000 677</x:v>
      </x:c>
      <x:c r="D2370" s="21" t="str">
        <x:v>SYN-0677-INV-03</x:v>
      </x:c>
      <x:c r="E2370" s="39" t="n">
        <x:v>46234</x:v>
      </x:c>
      <x:c r="F2370" s="42" t="n">
        <x:v>135087.15</x:v>
      </x:c>
      <x:c r="G2370" s="42" t="n">
        <x:v>6754.36</x:v>
      </x:c>
      <x:c r="H2370" s="42" t="n">
        <x:v>559659.24</x:v>
      </x:c>
      <x:c r="I2370" s="39" t="n">
        <x:v>46084</x:v>
      </x:c>
    </x:row>
    <x:row r="2371">
      <x:c r="A2371" s="21" t="str">
        <x:v>SYN-0678</x:v>
      </x:c>
      <x:c r="B2371" s="21" t="str">
        <x:v>Synthetic Supplier 0678 LLC</x:v>
      </x:c>
      <x:c r="C2371" s="38" t="str">
        <x:f>"900 000 000 000 678"</x:f>
        <x:v>900 000 000 000 678</x:v>
      </x:c>
      <x:c r="D2371" s="21" t="str">
        <x:v>SYN-0678-INV-01</x:v>
      </x:c>
      <x:c r="E2371" s="39" t="n">
        <x:v>46153</x:v>
      </x:c>
      <x:c r="F2371" s="42" t="n">
        <x:v>167096.67</x:v>
      </x:c>
      <x:c r="G2371" s="42" t="n">
        <x:v>8354.83</x:v>
      </x:c>
      <x:c r="H2371" s="42" t="n">
        <x:v>640025.36</x:v>
      </x:c>
      <x:c r="I2371" s="39" t="n">
        <x:v>45751</x:v>
      </x:c>
    </x:row>
    <x:row r="2372">
      <x:c r="A2372" s="21" t="str">
        <x:v>SYN-0678</x:v>
      </x:c>
      <x:c r="B2372" s="21" t="str">
        <x:v>Synthetic Supplier 0678 LLC</x:v>
      </x:c>
      <x:c r="C2372" s="38" t="str">
        <x:f>"900 000 000 000 678"</x:f>
        <x:v>900 000 000 000 678</x:v>
      </x:c>
      <x:c r="D2372" s="21" t="str">
        <x:v>SYN-0678-INV-02</x:v>
      </x:c>
      <x:c r="E2372" s="39" t="n">
        <x:v>46200</x:v>
      </x:c>
      <x:c r="F2372" s="42" t="n">
        <x:v>199654.63</x:v>
      </x:c>
      <x:c r="G2372" s="42" t="n">
        <x:v>9982.73</x:v>
      </x:c>
      <x:c r="H2372" s="42" t="n">
        <x:v>640025.36</x:v>
      </x:c>
      <x:c r="I2372" s="39" t="n">
        <x:v>45751</x:v>
      </x:c>
    </x:row>
    <x:row r="2373">
      <x:c r="A2373" s="21" t="str">
        <x:v>SYN-0678</x:v>
      </x:c>
      <x:c r="B2373" s="21" t="str">
        <x:v>Synthetic Supplier 0678 LLC</x:v>
      </x:c>
      <x:c r="C2373" s="38" t="str">
        <x:f>"900 000 000 000 678"</x:f>
        <x:v>900 000 000 000 678</x:v>
      </x:c>
      <x:c r="D2373" s="21" t="str">
        <x:v>SYN-0678-INV-03</x:v>
      </x:c>
      <x:c r="E2373" s="39" t="n">
        <x:v>46247</x:v>
      </x:c>
      <x:c r="F2373" s="42" t="n">
        <x:v>109880.48</x:v>
      </x:c>
      <x:c r="G2373" s="42" t="n">
        <x:v>5494.02</x:v>
      </x:c>
      <x:c r="H2373" s="42" t="n">
        <x:v>640025.36</x:v>
      </x:c>
      <x:c r="I2373" s="39" t="n">
        <x:v>45751</x:v>
      </x:c>
    </x:row>
    <x:row r="2374">
      <x:c r="A2374" s="21" t="str">
        <x:v>SYN-0678</x:v>
      </x:c>
      <x:c r="B2374" s="21" t="str">
        <x:v>Synthetic Supplier 0678 LLC</x:v>
      </x:c>
      <x:c r="C2374" s="38" t="str">
        <x:f>"900 000 000 000 678"</x:f>
        <x:v>900 000 000 000 678</x:v>
      </x:c>
      <x:c r="D2374" s="21" t="str">
        <x:v>SYN-0678-INV-04</x:v>
      </x:c>
      <x:c r="E2374" s="39" t="n">
        <x:v>45934</x:v>
      </x:c>
      <x:c r="F2374" s="42" t="n">
        <x:v>234507.51</x:v>
      </x:c>
      <x:c r="G2374" s="42" t="n">
        <x:v>11725.38</x:v>
      </x:c>
      <x:c r="H2374" s="42" t="n">
        <x:v>640025.36</x:v>
      </x:c>
      <x:c r="I2374" s="39" t="n">
        <x:v>45751</x:v>
      </x:c>
    </x:row>
    <x:row r="2375">
      <x:c r="A2375" s="21" t="str">
        <x:v>SYN-0679</x:v>
      </x:c>
      <x:c r="B2375" s="21" t="str">
        <x:v>Synthetic Supplier 0679 LLC</x:v>
      </x:c>
      <x:c r="C2375" s="38" t="str">
        <x:f>"900 000 000 000 679"</x:f>
        <x:v>900 000 000 000 679</x:v>
      </x:c>
      <x:c r="D2375" s="21" t="str">
        <x:v>SYN-0679-INV-01</x:v>
      </x:c>
      <x:c r="E2375" s="39" t="n">
        <x:v>46166</x:v>
      </x:c>
      <x:c r="F2375" s="42" t="n">
        <x:v>107995.18</x:v>
      </x:c>
      <x:c r="G2375" s="42" t="n">
        <x:v>5399.76</x:v>
      </x:c>
      <x:c r="H2375" s="42" t="n">
        <x:v>862125.87</x:v>
      </x:c>
      <x:c r="I2375" s="39" t="n">
        <x:v>46147</x:v>
      </x:c>
    </x:row>
    <x:row r="2376">
      <x:c r="A2376" s="21" t="str">
        <x:v>SYN-0679</x:v>
      </x:c>
      <x:c r="B2376" s="21" t="str">
        <x:v>Synthetic Supplier 0679 LLC</x:v>
      </x:c>
      <x:c r="C2376" s="38" t="str">
        <x:f>"900 000 000 000 679"</x:f>
        <x:v>900 000 000 000 679</x:v>
      </x:c>
      <x:c r="D2376" s="21" t="str">
        <x:v>SYN-0679-INV-02</x:v>
      </x:c>
      <x:c r="E2376" s="39" t="n">
        <x:v>46213</x:v>
      </x:c>
      <x:c r="F2376" s="42" t="n">
        <x:v>141097.79</x:v>
      </x:c>
      <x:c r="G2376" s="42" t="n">
        <x:v>7054.89</x:v>
      </x:c>
      <x:c r="H2376" s="42" t="n">
        <x:v>862125.87</x:v>
      </x:c>
      <x:c r="I2376" s="39" t="n">
        <x:v>46147</x:v>
      </x:c>
    </x:row>
    <x:row r="2377">
      <x:c r="A2377" s="21" t="str">
        <x:v>SYN-0679</x:v>
      </x:c>
      <x:c r="B2377" s="21" t="str">
        <x:v>Synthetic Supplier 0679 LLC</x:v>
      </x:c>
      <x:c r="C2377" s="38" t="str">
        <x:f>"900 000 000 000 679"</x:f>
        <x:v>900 000 000 000 679</x:v>
      </x:c>
      <x:c r="D2377" s="21" t="str">
        <x:v>SYN-0679-INV-03</x:v>
      </x:c>
      <x:c r="E2377" s="39" t="n">
        <x:v>46260</x:v>
      </x:c>
      <x:c r="F2377" s="42" t="n">
        <x:v>195835.22</x:v>
      </x:c>
      <x:c r="G2377" s="42" t="n">
        <x:v>9791.76</x:v>
      </x:c>
      <x:c r="H2377" s="42" t="n">
        <x:v>862125.87</x:v>
      </x:c>
      <x:c r="I2377" s="39" t="n">
        <x:v>46147</x:v>
      </x:c>
    </x:row>
    <x:row r="2378">
      <x:c r="A2378" s="21" t="str">
        <x:v>SYN-0679</x:v>
      </x:c>
      <x:c r="B2378" s="21" t="str">
        <x:v>Synthetic Supplier 0679 LLC</x:v>
      </x:c>
      <x:c r="C2378" s="38" t="str">
        <x:f>"900 000 000 000 679"</x:f>
        <x:v>900 000 000 000 679</x:v>
      </x:c>
      <x:c r="D2378" s="21" t="str">
        <x:v>SYN-0679-INV-04</x:v>
      </x:c>
      <x:c r="E2378" s="39" t="n">
        <x:v>45947</x:v>
      </x:c>
      <x:c r="F2378" s="42" t="n">
        <x:v>131612.7</x:v>
      </x:c>
      <x:c r="G2378" s="42" t="n">
        <x:v>6580.64</x:v>
      </x:c>
      <x:c r="H2378" s="42" t="n">
        <x:v>862125.87</x:v>
      </x:c>
      <x:c r="I2378" s="39" t="n">
        <x:v>46147</x:v>
      </x:c>
    </x:row>
    <x:row r="2379">
      <x:c r="A2379" s="21" t="str">
        <x:v>SYN-0679</x:v>
      </x:c>
      <x:c r="B2379" s="21" t="str">
        <x:v>Synthetic Supplier 0679 LLC</x:v>
      </x:c>
      <x:c r="C2379" s="38" t="str">
        <x:f>"900 000 000 000 679"</x:f>
        <x:v>900 000 000 000 679</x:v>
      </x:c>
      <x:c r="D2379" s="21" t="str">
        <x:v>SYN-0679-INV-05</x:v>
      </x:c>
      <x:c r="E2379" s="39" t="n">
        <x:v>45994</x:v>
      </x:c>
      <x:c r="F2379" s="42" t="n">
        <x:v>173133.76</x:v>
      </x:c>
      <x:c r="G2379" s="42" t="n">
        <x:v>8656.69</x:v>
      </x:c>
      <x:c r="H2379" s="42" t="n">
        <x:v>862125.87</x:v>
      </x:c>
      <x:c r="I2379" s="39" t="n">
        <x:v>46147</x:v>
      </x:c>
    </x:row>
    <x:row r="2380">
      <x:c r="A2380" s="21" t="str">
        <x:v>SYN-0680</x:v>
      </x:c>
      <x:c r="B2380" s="21" t="str">
        <x:v>Synthetic Supplier 0680 LLC</x:v>
      </x:c>
      <x:c r="C2380" s="38" t="str">
        <x:f>"900 000 000 000 680"</x:f>
        <x:v>900 000 000 000 680</x:v>
      </x:c>
      <x:c r="D2380" s="21" t="str">
        <x:v>SYN-0680-INV-01</x:v>
      </x:c>
      <x:c r="E2380" s="39" t="n">
        <x:v>46179</x:v>
      </x:c>
      <x:c r="F2380" s="42" t="n">
        <x:v>245771.41</x:v>
      </x:c>
      <x:c r="G2380" s="42" t="n">
        <x:v>12288.57</x:v>
      </x:c>
      <x:c r="H2380" s="42" t="n">
        <x:v>494311.21</x:v>
      </x:c>
      <x:c r="I2380" s="39"/>
    </x:row>
    <x:row r="2381">
      <x:c r="A2381" s="21" t="str">
        <x:v>SYN-0680</x:v>
      </x:c>
      <x:c r="B2381" s="21" t="str">
        <x:v>Synthetic Supplier 0680 LLC</x:v>
      </x:c>
      <x:c r="C2381" s="38" t="str">
        <x:f>"900 000 000 000 680"</x:f>
        <x:v>900 000 000 000 680</x:v>
      </x:c>
      <x:c r="D2381" s="21" t="str">
        <x:v>SYN-0680-INV-02</x:v>
      </x:c>
      <x:c r="E2381" s="39" t="n">
        <x:v>46226</x:v>
      </x:c>
      <x:c r="F2381" s="42" t="n">
        <x:v>303463.27</x:v>
      </x:c>
      <x:c r="G2381" s="42" t="n">
        <x:v>15173.16</x:v>
      </x:c>
      <x:c r="H2381" s="42" t="n">
        <x:v>494311.21</x:v>
      </x:c>
      <x:c r="I2381" s="39"/>
    </x:row>
    <x:row r="2382">
      <x:c r="A2382" s="21" t="str">
        <x:v>SYN-0681</x:v>
      </x:c>
      <x:c r="B2382" s="21" t="str">
        <x:v>Synthetic Supplier 0681 LLC</x:v>
      </x:c>
      <x:c r="C2382" s="38" t="str">
        <x:f>"900 000 000 000 681"</x:f>
        <x:v>900 000 000 000 681</x:v>
      </x:c>
      <x:c r="D2382" s="21" t="str">
        <x:v>SYN-0681-INV-01</x:v>
      </x:c>
      <x:c r="E2382" s="39" t="n">
        <x:v>46192</x:v>
      </x:c>
      <x:c r="F2382" s="42" t="n">
        <x:v>145716.73</x:v>
      </x:c>
      <x:c r="G2382" s="42" t="n">
        <x:v>7285.84</x:v>
      </x:c>
      <x:c r="H2382" s="42" t="n">
        <x:v>447512.15</x:v>
      </x:c>
      <x:c r="I2382" s="39" t="n">
        <x:v>46210</x:v>
      </x:c>
    </x:row>
    <x:row r="2383">
      <x:c r="A2383" s="21" t="str">
        <x:v>SYN-0681</x:v>
      </x:c>
      <x:c r="B2383" s="21" t="str">
        <x:v>Synthetic Supplier 0681 LLC</x:v>
      </x:c>
      <x:c r="C2383" s="38" t="str">
        <x:f>"900 000 000 000 681"</x:f>
        <x:v>900 000 000 000 681</x:v>
      </x:c>
      <x:c r="D2383" s="21" t="str">
        <x:v>SYN-0681-INV-02</x:v>
      </x:c>
      <x:c r="E2383" s="39" t="n">
        <x:v>46239</x:v>
      </x:c>
      <x:c r="F2383" s="42" t="n">
        <x:v>179847.8</x:v>
      </x:c>
      <x:c r="G2383" s="42" t="n">
        <x:v>8992.39</x:v>
      </x:c>
      <x:c r="H2383" s="42" t="n">
        <x:v>447512.15</x:v>
      </x:c>
      <x:c r="I2383" s="39" t="n">
        <x:v>46210</x:v>
      </x:c>
    </x:row>
    <x:row r="2384">
      <x:c r="A2384" s="21" t="str">
        <x:v>SYN-0681</x:v>
      </x:c>
      <x:c r="B2384" s="21" t="str">
        <x:v>Synthetic Supplier 0681 LLC</x:v>
      </x:c>
      <x:c r="C2384" s="38" t="str">
        <x:f>"900 000 000 000 681"</x:f>
        <x:v>900 000 000 000 681</x:v>
      </x:c>
      <x:c r="D2384" s="21" t="str">
        <x:v>SYN-0681-INV-03</x:v>
      </x:c>
      <x:c r="E2384" s="39" t="n">
        <x:v>46286</x:v>
      </x:c>
      <x:c r="F2384" s="42" t="n">
        <x:v>171671.19</x:v>
      </x:c>
      <x:c r="G2384" s="42" t="n">
        <x:v>8583.56</x:v>
      </x:c>
      <x:c r="H2384" s="42" t="n">
        <x:v>447512.15</x:v>
      </x:c>
      <x:c r="I2384" s="39" t="n">
        <x:v>46210</x:v>
      </x:c>
    </x:row>
    <x:row r="2385">
      <x:c r="A2385" s="21" t="str">
        <x:v>SYN-0682</x:v>
      </x:c>
      <x:c r="B2385" s="21" t="str">
        <x:v>Synthetic Supplier 0682 LLC</x:v>
      </x:c>
      <x:c r="C2385" s="38" t="str">
        <x:f>"900 000 000 000 682"</x:f>
        <x:v>900 000 000 000 682</x:v>
      </x:c>
      <x:c r="D2385" s="21" t="str">
        <x:v>SYN-0682-INV-01</x:v>
      </x:c>
      <x:c r="E2385" s="39" t="n">
        <x:v>46205</x:v>
      </x:c>
      <x:c r="F2385" s="42" t="n">
        <x:v>102257.36</x:v>
      </x:c>
      <x:c r="G2385" s="42" t="n">
        <x:v>5112.87</x:v>
      </x:c>
      <x:c r="H2385" s="42" t="n">
        <x:v>546387.81</x:v>
      </x:c>
      <x:c r="I2385" s="39" t="n">
        <x:v>45877</x:v>
      </x:c>
    </x:row>
    <x:row r="2386">
      <x:c r="A2386" s="21" t="str">
        <x:v>SYN-0682</x:v>
      </x:c>
      <x:c r="B2386" s="21" t="str">
        <x:v>Synthetic Supplier 0682 LLC</x:v>
      </x:c>
      <x:c r="C2386" s="38" t="str">
        <x:f>"900 000 000 000 682"</x:f>
        <x:v>900 000 000 000 682</x:v>
      </x:c>
      <x:c r="D2386" s="21" t="str">
        <x:v>SYN-0682-INV-02</x:v>
      </x:c>
      <x:c r="E2386" s="39" t="n">
        <x:v>46252</x:v>
      </x:c>
      <x:c r="F2386" s="42" t="n">
        <x:v>163863.06</x:v>
      </x:c>
      <x:c r="G2386" s="42" t="n">
        <x:v>8193.15</x:v>
      </x:c>
      <x:c r="H2386" s="42" t="n">
        <x:v>546387.81</x:v>
      </x:c>
      <x:c r="I2386" s="39" t="n">
        <x:v>45877</x:v>
      </x:c>
    </x:row>
    <x:row r="2387">
      <x:c r="A2387" s="21" t="str">
        <x:v>SYN-0682</x:v>
      </x:c>
      <x:c r="B2387" s="21" t="str">
        <x:v>Synthetic Supplier 0682 LLC</x:v>
      </x:c>
      <x:c r="C2387" s="38" t="str">
        <x:f>"900 000 000 000 682"</x:f>
        <x:v>900 000 000 000 682</x:v>
      </x:c>
      <x:c r="D2387" s="21" t="str">
        <x:v>SYN-0682-INV-03</x:v>
      </x:c>
      <x:c r="E2387" s="39" t="n">
        <x:v>45939</x:v>
      </x:c>
      <x:c r="F2387" s="42" t="n">
        <x:v>140546.35</x:v>
      </x:c>
      <x:c r="G2387" s="42" t="n">
        <x:v>7027.32</x:v>
      </x:c>
      <x:c r="H2387" s="42" t="n">
        <x:v>546387.81</x:v>
      </x:c>
      <x:c r="I2387" s="39" t="n">
        <x:v>45877</x:v>
      </x:c>
    </x:row>
    <x:row r="2388">
      <x:c r="A2388" s="21" t="str">
        <x:v>SYN-0682</x:v>
      </x:c>
      <x:c r="B2388" s="21" t="str">
        <x:v>Synthetic Supplier 0682 LLC</x:v>
      </x:c>
      <x:c r="C2388" s="38" t="str">
        <x:f>"900 000 000 000 682"</x:f>
        <x:v>900 000 000 000 682</x:v>
      </x:c>
      <x:c r="D2388" s="21" t="str">
        <x:v>SYN-0682-INV-04</x:v>
      </x:c>
      <x:c r="E2388" s="39" t="n">
        <x:v>45986</x:v>
      </x:c>
      <x:c r="F2388" s="42" t="n">
        <x:v>200430.79</x:v>
      </x:c>
      <x:c r="G2388" s="42" t="n">
        <x:v>10021.54</x:v>
      </x:c>
      <x:c r="H2388" s="42" t="n">
        <x:v>546387.81</x:v>
      </x:c>
      <x:c r="I2388" s="39" t="n">
        <x:v>45877</x:v>
      </x:c>
    </x:row>
    <x:row r="2389">
      <x:c r="A2389" s="21" t="str">
        <x:v>SYN-0683</x:v>
      </x:c>
      <x:c r="B2389" s="21" t="str">
        <x:v>Synthetic Supplier 0683 LLC</x:v>
      </x:c>
      <x:c r="C2389" s="38" t="str">
        <x:f>"900 000 000 000 683"</x:f>
        <x:v>900 000 000 000 683</x:v>
      </x:c>
      <x:c r="D2389" s="21" t="str">
        <x:v>SYN-0683-INV-01</x:v>
      </x:c>
      <x:c r="E2389" s="39" t="n">
        <x:v>46218</x:v>
      </x:c>
      <x:c r="F2389" s="42" t="n">
        <x:v>93016.96</x:v>
      </x:c>
      <x:c r="G2389" s="42" t="n">
        <x:v>4650.85</x:v>
      </x:c>
      <x:c r="H2389" s="42" t="n">
        <x:v>493147.07</x:v>
      </x:c>
      <x:c r="I2389" s="39" t="n">
        <x:v>46274</x:v>
      </x:c>
    </x:row>
    <x:row r="2390">
      <x:c r="A2390" s="21" t="str">
        <x:v>SYN-0683</x:v>
      </x:c>
      <x:c r="B2390" s="21" t="str">
        <x:v>Synthetic Supplier 0683 LLC</x:v>
      </x:c>
      <x:c r="C2390" s="38" t="str">
        <x:f>"900 000 000 000 683"</x:f>
        <x:v>900 000 000 000 683</x:v>
      </x:c>
      <x:c r="D2390" s="21" t="str">
        <x:v>SYN-0683-INV-02</x:v>
      </x:c>
      <x:c r="E2390" s="39" t="n">
        <x:v>46265</x:v>
      </x:c>
      <x:c r="F2390" s="42" t="n">
        <x:v>76566.09</x:v>
      </x:c>
      <x:c r="G2390" s="42" t="n">
        <x:v>3828.3</x:v>
      </x:c>
      <x:c r="H2390" s="42" t="n">
        <x:v>493147.07</x:v>
      </x:c>
      <x:c r="I2390" s="39" t="n">
        <x:v>46274</x:v>
      </x:c>
    </x:row>
    <x:row r="2391">
      <x:c r="A2391" s="21" t="str">
        <x:v>SYN-0683</x:v>
      </x:c>
      <x:c r="B2391" s="21" t="str">
        <x:v>Synthetic Supplier 0683 LLC</x:v>
      </x:c>
      <x:c r="C2391" s="38" t="str">
        <x:f>"900 000 000 000 683"</x:f>
        <x:v>900 000 000 000 683</x:v>
      </x:c>
      <x:c r="D2391" s="21" t="str">
        <x:v>SYN-0683-INV-03</x:v>
      </x:c>
      <x:c r="E2391" s="39" t="n">
        <x:v>45952</x:v>
      </x:c>
      <x:c r="F2391" s="42" t="n">
        <x:v>155553.81</x:v>
      </x:c>
      <x:c r="G2391" s="42" t="n">
        <x:v>7777.69</x:v>
      </x:c>
      <x:c r="H2391" s="42" t="n">
        <x:v>493147.07</x:v>
      </x:c>
      <x:c r="I2391" s="39" t="n">
        <x:v>46274</x:v>
      </x:c>
    </x:row>
    <x:row r="2392">
      <x:c r="A2392" s="21" t="str">
        <x:v>SYN-0683</x:v>
      </x:c>
      <x:c r="B2392" s="21" t="str">
        <x:v>Synthetic Supplier 0683 LLC</x:v>
      </x:c>
      <x:c r="C2392" s="38" t="str">
        <x:f>"900 000 000 000 683"</x:f>
        <x:v>900 000 000 000 683</x:v>
      </x:c>
      <x:c r="D2392" s="21" t="str">
        <x:v>SYN-0683-INV-04</x:v>
      </x:c>
      <x:c r="E2392" s="39" t="n">
        <x:v>45999</x:v>
      </x:c>
      <x:c r="F2392" s="42" t="n">
        <x:v>141291.95</x:v>
      </x:c>
      <x:c r="G2392" s="42" t="n">
        <x:v>7064.6</x:v>
      </x:c>
      <x:c r="H2392" s="42" t="n">
        <x:v>493147.07</x:v>
      </x:c>
      <x:c r="I2392" s="39" t="n">
        <x:v>46274</x:v>
      </x:c>
    </x:row>
    <x:row r="2393">
      <x:c r="A2393" s="21" t="str">
        <x:v>SYN-0683</x:v>
      </x:c>
      <x:c r="B2393" s="21" t="str">
        <x:v>Synthetic Supplier 0683 LLC</x:v>
      </x:c>
      <x:c r="C2393" s="38" t="str">
        <x:f>"900 000 000 000 683"</x:f>
        <x:v>900 000 000 000 683</x:v>
      </x:c>
      <x:c r="D2393" s="21" t="str">
        <x:v>SYN-0683-INV-05</x:v>
      </x:c>
      <x:c r="E2393" s="39" t="n">
        <x:v>46046</x:v>
      </x:c>
      <x:c r="F2393" s="42" t="n">
        <x:v>81512.38</x:v>
      </x:c>
      <x:c r="G2393" s="42" t="n">
        <x:v>4075.62</x:v>
      </x:c>
      <x:c r="H2393" s="42" t="n">
        <x:v>493147.07</x:v>
      </x:c>
      <x:c r="I2393" s="39" t="n">
        <x:v>46274</x:v>
      </x:c>
    </x:row>
    <x:row r="2394">
      <x:c r="A2394" s="21" t="str">
        <x:v>SYN-0684</x:v>
      </x:c>
      <x:c r="B2394" s="21" t="str">
        <x:v>Synthetic Supplier 0684 LLC</x:v>
      </x:c>
      <x:c r="C2394" s="38" t="str">
        <x:f>"900 000 000 000 684"</x:f>
        <x:v>900 000 000 000 684</x:v>
      </x:c>
      <x:c r="D2394" s="21" t="str">
        <x:v>SYN-0684-INV-01</x:v>
      </x:c>
      <x:c r="E2394" s="39" t="n">
        <x:v>46231</x:v>
      </x:c>
      <x:c r="F2394" s="42" t="n">
        <x:v>466466.39</x:v>
      </x:c>
      <x:c r="G2394" s="42" t="n">
        <x:v>23323.32</x:v>
      </x:c>
      <x:c r="H2394" s="42" t="n">
        <x:v>703979.71</x:v>
      </x:c>
      <x:c r="I2394" s="39" t="n">
        <x:v>45667</x:v>
      </x:c>
    </x:row>
    <x:row r="2395">
      <x:c r="A2395" s="21" t="str">
        <x:v>SYN-0684</x:v>
      </x:c>
      <x:c r="B2395" s="21" t="str">
        <x:v>Synthetic Supplier 0684 LLC</x:v>
      </x:c>
      <x:c r="C2395" s="38" t="str">
        <x:f>"900 000 000 000 684"</x:f>
        <x:v>900 000 000 000 684</x:v>
      </x:c>
      <x:c r="D2395" s="21" t="str">
        <x:v>SYN-0684-INV-02</x:v>
      </x:c>
      <x:c r="E2395" s="39" t="n">
        <x:v>46278</x:v>
      </x:c>
      <x:c r="F2395" s="42" t="n">
        <x:v>315733.29</x:v>
      </x:c>
      <x:c r="G2395" s="42" t="n">
        <x:v>15786.66</x:v>
      </x:c>
      <x:c r="H2395" s="42" t="n">
        <x:v>703979.71</x:v>
      </x:c>
      <x:c r="I2395" s="39" t="n">
        <x:v>45667</x:v>
      </x:c>
    </x:row>
    <x:row r="2396">
      <x:c r="A2396" s="21" t="str">
        <x:v>SYN-0685</x:v>
      </x:c>
      <x:c r="B2396" s="21" t="str">
        <x:v>Synthetic Supplier 0685 LLC</x:v>
      </x:c>
      <x:c r="C2396" s="38" t="str">
        <x:f>"900 000 000 000 685"</x:f>
        <x:v>900 000 000 000 685</x:v>
      </x:c>
      <x:c r="D2396" s="21" t="str">
        <x:v>SYN-0685-INV-01</x:v>
      </x:c>
      <x:c r="E2396" s="39" t="n">
        <x:v>46244</x:v>
      </x:c>
      <x:c r="F2396" s="42" t="n">
        <x:v>127546.93</x:v>
      </x:c>
      <x:c r="G2396" s="42" t="n">
        <x:v>6377.35</x:v>
      </x:c>
      <x:c r="H2396" s="42" t="n">
        <x:v>429440.1</x:v>
      </x:c>
      <x:c r="I2396" s="39"/>
    </x:row>
    <x:row r="2397">
      <x:c r="A2397" s="21" t="str">
        <x:v>SYN-0685</x:v>
      </x:c>
      <x:c r="B2397" s="21" t="str">
        <x:v>Synthetic Supplier 0685 LLC</x:v>
      </x:c>
      <x:c r="C2397" s="38" t="str">
        <x:f>"900 000 000 000 685"</x:f>
        <x:v>900 000 000 000 685</x:v>
      </x:c>
      <x:c r="D2397" s="21" t="str">
        <x:v>SYN-0685-INV-02</x:v>
      </x:c>
      <x:c r="E2397" s="39" t="n">
        <x:v>46291</x:v>
      </x:c>
      <x:c r="F2397" s="42" t="n">
        <x:v>165246.64</x:v>
      </x:c>
      <x:c r="G2397" s="42" t="n">
        <x:v>8262.33</x:v>
      </x:c>
      <x:c r="H2397" s="42" t="n">
        <x:v>429440.1</x:v>
      </x:c>
      <x:c r="I2397" s="39"/>
    </x:row>
    <x:row r="2398">
      <x:c r="A2398" s="21" t="str">
        <x:v>SYN-0685</x:v>
      </x:c>
      <x:c r="B2398" s="21" t="str">
        <x:v>Synthetic Supplier 0685 LLC</x:v>
      </x:c>
      <x:c r="C2398" s="38" t="str">
        <x:f>"900 000 000 000 685"</x:f>
        <x:v>900 000 000 000 685</x:v>
      </x:c>
      <x:c r="D2398" s="21" t="str">
        <x:v>SYN-0685-INV-03</x:v>
      </x:c>
      <x:c r="E2398" s="39" t="n">
        <x:v>45978</x:v>
      </x:c>
      <x:c r="F2398" s="42" t="n">
        <x:v>184362.1</x:v>
      </x:c>
      <x:c r="G2398" s="42" t="n">
        <x:v>9218.1</x:v>
      </x:c>
      <x:c r="H2398" s="42" t="n">
        <x:v>429440.1</x:v>
      </x:c>
      <x:c r="I2398" s="39"/>
    </x:row>
    <x:row r="2399">
      <x:c r="A2399" s="21" t="str">
        <x:v>SYN-0686</x:v>
      </x:c>
      <x:c r="B2399" s="21" t="str">
        <x:v>Synthetic Supplier 0686 LLC</x:v>
      </x:c>
      <x:c r="C2399" s="38" t="str">
        <x:f>"900 000 000 000 686"</x:f>
        <x:v>900 000 000 000 686</x:v>
      </x:c>
      <x:c r="D2399" s="21" t="str">
        <x:v>SYN-0686-INV-01</x:v>
      </x:c>
      <x:c r="E2399" s="39" t="n">
        <x:v>46257</x:v>
      </x:c>
      <x:c r="F2399" s="42" t="n">
        <x:v>235225.62</x:v>
      </x:c>
      <x:c r="G2399" s="42" t="n">
        <x:v>11761.28</x:v>
      </x:c>
      <x:c r="H2399" s="42" t="n">
        <x:v>912144.33</x:v>
      </x:c>
      <x:c r="I2399" s="39" t="n">
        <x:v>45728</x:v>
      </x:c>
    </x:row>
    <x:row r="2400">
      <x:c r="A2400" s="21" t="str">
        <x:v>SYN-0686</x:v>
      </x:c>
      <x:c r="B2400" s="21" t="str">
        <x:v>Synthetic Supplier 0686 LLC</x:v>
      </x:c>
      <x:c r="C2400" s="38" t="str">
        <x:f>"900 000 000 000 686"</x:f>
        <x:v>900 000 000 000 686</x:v>
      </x:c>
      <x:c r="D2400" s="21" t="str">
        <x:v>SYN-0686-INV-02</x:v>
      </x:c>
      <x:c r="E2400" s="39" t="n">
        <x:v>45944</x:v>
      </x:c>
      <x:c r="F2400" s="42" t="n">
        <x:v>201918.5</x:v>
      </x:c>
      <x:c r="G2400" s="42" t="n">
        <x:v>10095.93</x:v>
      </x:c>
      <x:c r="H2400" s="42" t="n">
        <x:v>912144.33</x:v>
      </x:c>
      <x:c r="I2400" s="39" t="n">
        <x:v>45728</x:v>
      </x:c>
    </x:row>
    <x:row r="2401">
      <x:c r="A2401" s="21" t="str">
        <x:v>SYN-0686</x:v>
      </x:c>
      <x:c r="B2401" s="21" t="str">
        <x:v>Synthetic Supplier 0686 LLC</x:v>
      </x:c>
      <x:c r="C2401" s="38" t="str">
        <x:f>"900 000 000 000 686"</x:f>
        <x:v>900 000 000 000 686</x:v>
      </x:c>
      <x:c r="D2401" s="21" t="str">
        <x:v>SYN-0686-INV-03</x:v>
      </x:c>
      <x:c r="E2401" s="39" t="n">
        <x:v>45991</x:v>
      </x:c>
      <x:c r="F2401" s="42" t="n">
        <x:v>168316.66</x:v>
      </x:c>
      <x:c r="G2401" s="42" t="n">
        <x:v>8415.83</x:v>
      </x:c>
      <x:c r="H2401" s="42" t="n">
        <x:v>912144.33</x:v>
      </x:c>
      <x:c r="I2401" s="39" t="n">
        <x:v>45728</x:v>
      </x:c>
    </x:row>
    <x:row r="2402">
      <x:c r="A2402" s="21" t="str">
        <x:v>SYN-0686</x:v>
      </x:c>
      <x:c r="B2402" s="21" t="str">
        <x:v>Synthetic Supplier 0686 LLC</x:v>
      </x:c>
      <x:c r="C2402" s="38" t="str">
        <x:f>"900 000 000 000 686"</x:f>
        <x:v>900 000 000 000 686</x:v>
      </x:c>
      <x:c r="D2402" s="21" t="str">
        <x:v>SYN-0686-INV-04</x:v>
      </x:c>
      <x:c r="E2402" s="39" t="n">
        <x:v>46038</x:v>
      </x:c>
      <x:c r="F2402" s="42" t="n">
        <x:v>187708.2</x:v>
      </x:c>
      <x:c r="G2402" s="42" t="n">
        <x:v>9385.41</x:v>
      </x:c>
      <x:c r="H2402" s="42" t="n">
        <x:v>912144.33</x:v>
      </x:c>
      <x:c r="I2402" s="39" t="n">
        <x:v>45728</x:v>
      </x:c>
    </x:row>
    <x:row r="2403">
      <x:c r="A2403" s="21" t="str">
        <x:v>SYN-0687</x:v>
      </x:c>
      <x:c r="B2403" s="21" t="str">
        <x:v>Synthetic Supplier 0687 LLC</x:v>
      </x:c>
      <x:c r="C2403" s="38" t="str">
        <x:f>"900 000 000 000 687"</x:f>
        <x:v>900 000 000 000 687</x:v>
      </x:c>
      <x:c r="D2403" s="21" t="str">
        <x:v>SYN-0687-INV-01</x:v>
      </x:c>
      <x:c r="E2403" s="39" t="n">
        <x:v>46270</x:v>
      </x:c>
      <x:c r="F2403" s="42" t="n">
        <x:v>179084.89</x:v>
      </x:c>
      <x:c r="G2403" s="42" t="n">
        <x:v>8954.24</x:v>
      </x:c>
      <x:c r="H2403" s="42" t="n">
        <x:v>683644.53</x:v>
      </x:c>
      <x:c r="I2403" s="39" t="n">
        <x:v>46125</x:v>
      </x:c>
    </x:row>
    <x:row r="2404">
      <x:c r="A2404" s="21" t="str">
        <x:v>SYN-0687</x:v>
      </x:c>
      <x:c r="B2404" s="21" t="str">
        <x:v>Synthetic Supplier 0687 LLC</x:v>
      </x:c>
      <x:c r="C2404" s="38" t="str">
        <x:f>"900 000 000 000 687"</x:f>
        <x:v>900 000 000 000 687</x:v>
      </x:c>
      <x:c r="D2404" s="21" t="str">
        <x:v>SYN-0687-INV-02</x:v>
      </x:c>
      <x:c r="E2404" s="39" t="n">
        <x:v>45957</x:v>
      </x:c>
      <x:c r="F2404" s="42" t="n">
        <x:v>191542.02</x:v>
      </x:c>
      <x:c r="G2404" s="42" t="n">
        <x:v>9577.1</x:v>
      </x:c>
      <x:c r="H2404" s="42" t="n">
        <x:v>683644.53</x:v>
      </x:c>
      <x:c r="I2404" s="39" t="n">
        <x:v>46125</x:v>
      </x:c>
    </x:row>
    <x:row r="2405">
      <x:c r="A2405" s="21" t="str">
        <x:v>SYN-0687</x:v>
      </x:c>
      <x:c r="B2405" s="21" t="str">
        <x:v>Synthetic Supplier 0687 LLC</x:v>
      </x:c>
      <x:c r="C2405" s="38" t="str">
        <x:f>"900 000 000 000 687"</x:f>
        <x:v>900 000 000 000 687</x:v>
      </x:c>
      <x:c r="D2405" s="21" t="str">
        <x:v>SYN-0687-INV-03</x:v>
      </x:c>
      <x:c r="E2405" s="39" t="n">
        <x:v>46004</x:v>
      </x:c>
      <x:c r="F2405" s="42" t="n">
        <x:v>102751.52</x:v>
      </x:c>
      <x:c r="G2405" s="42" t="n">
        <x:v>5137.58</x:v>
      </x:c>
      <x:c r="H2405" s="42" t="n">
        <x:v>683644.53</x:v>
      </x:c>
      <x:c r="I2405" s="39" t="n">
        <x:v>46125</x:v>
      </x:c>
    </x:row>
    <x:row r="2406">
      <x:c r="A2406" s="21" t="str">
        <x:v>SYN-0687</x:v>
      </x:c>
      <x:c r="B2406" s="21" t="str">
        <x:v>Synthetic Supplier 0687 LLC</x:v>
      </x:c>
      <x:c r="C2406" s="38" t="str">
        <x:f>"900 000 000 000 687"</x:f>
        <x:v>900 000 000 000 687</x:v>
      </x:c>
      <x:c r="D2406" s="21" t="str">
        <x:v>SYN-0687-INV-04</x:v>
      </x:c>
      <x:c r="E2406" s="39" t="n">
        <x:v>46051</x:v>
      </x:c>
      <x:c r="F2406" s="42" t="n">
        <x:v>119991.75</x:v>
      </x:c>
      <x:c r="G2406" s="42" t="n">
        <x:v>5999.59</x:v>
      </x:c>
      <x:c r="H2406" s="42" t="n">
        <x:v>683644.53</x:v>
      </x:c>
      <x:c r="I2406" s="39" t="n">
        <x:v>46125</x:v>
      </x:c>
    </x:row>
    <x:row r="2407">
      <x:c r="A2407" s="21" t="str">
        <x:v>SYN-0687</x:v>
      </x:c>
      <x:c r="B2407" s="21" t="str">
        <x:v>Synthetic Supplier 0687 LLC</x:v>
      </x:c>
      <x:c r="C2407" s="38" t="str">
        <x:f>"900 000 000 000 687"</x:f>
        <x:v>900 000 000 000 687</x:v>
      </x:c>
      <x:c r="D2407" s="21" t="str">
        <x:v>SYN-0687-INV-05</x:v>
      </x:c>
      <x:c r="E2407" s="39" t="n">
        <x:v>46098</x:v>
      </x:c>
      <x:c r="F2407" s="42" t="n">
        <x:v>166234.87</x:v>
      </x:c>
      <x:c r="G2407" s="42" t="n">
        <x:v>8311.74</x:v>
      </x:c>
      <x:c r="H2407" s="42" t="n">
        <x:v>683644.53</x:v>
      </x:c>
      <x:c r="I2407" s="39" t="n">
        <x:v>46125</x:v>
      </x:c>
    </x:row>
    <x:row r="2408">
      <x:c r="A2408" s="21" t="str">
        <x:v>SYN-0688</x:v>
      </x:c>
      <x:c r="B2408" s="21" t="str">
        <x:v>Synthetic Supplier 0688 LLC</x:v>
      </x:c>
      <x:c r="C2408" s="38" t="str">
        <x:f>"900 000 000 000 688"</x:f>
        <x:v>900 000 000 000 688</x:v>
      </x:c>
      <x:c r="D2408" s="21" t="str">
        <x:v>SYN-0688-INV-01</x:v>
      </x:c>
      <x:c r="E2408" s="39" t="n">
        <x:v>46283</x:v>
      </x:c>
      <x:c r="F2408" s="42" t="n">
        <x:v>372395.53</x:v>
      </x:c>
      <x:c r="G2408" s="42" t="n">
        <x:v>18619.78</x:v>
      </x:c>
      <x:c r="H2408" s="42" t="n">
        <x:v>719044.71</x:v>
      </x:c>
      <x:c r="I2408" s="39" t="n">
        <x:v>45791</x:v>
      </x:c>
    </x:row>
    <x:row r="2409">
      <x:c r="A2409" s="21" t="str">
        <x:v>SYN-0688</x:v>
      </x:c>
      <x:c r="B2409" s="21" t="str">
        <x:v>Synthetic Supplier 0688 LLC</x:v>
      </x:c>
      <x:c r="C2409" s="38" t="str">
        <x:f>"900 000 000 000 688"</x:f>
        <x:v>900 000 000 000 688</x:v>
      </x:c>
      <x:c r="D2409" s="21" t="str">
        <x:v>SYN-0688-INV-02</x:v>
      </x:c>
      <x:c r="E2409" s="39" t="n">
        <x:v>45970</x:v>
      </x:c>
      <x:c r="F2409" s="42" t="n">
        <x:v>426543.03</x:v>
      </x:c>
      <x:c r="G2409" s="42" t="n">
        <x:v>21327.15</x:v>
      </x:c>
      <x:c r="H2409" s="42" t="n">
        <x:v>719044.71</x:v>
      </x:c>
      <x:c r="I2409" s="39" t="n">
        <x:v>45791</x:v>
      </x:c>
    </x:row>
    <x:row r="2410">
      <x:c r="A2410" s="21" t="str">
        <x:v>SYN-0689</x:v>
      </x:c>
      <x:c r="B2410" s="21" t="str">
        <x:v>Synthetic Supplier 0689 LLC</x:v>
      </x:c>
      <x:c r="C2410" s="38" t="str">
        <x:f>"900 000 000 000 689"</x:f>
        <x:v>900 000 000 000 689</x:v>
      </x:c>
      <x:c r="D2410" s="21" t="str">
        <x:v>SYN-0689-INV-01</x:v>
      </x:c>
      <x:c r="E2410" s="39" t="n">
        <x:v>45936</x:v>
      </x:c>
      <x:c r="F2410" s="42" t="n">
        <x:v>176423.75</x:v>
      </x:c>
      <x:c r="G2410" s="42" t="n">
        <x:v>8821.19</x:v>
      </x:c>
      <x:c r="H2410" s="42" t="n">
        <x:v>456753.71</x:v>
      </x:c>
      <x:c r="I2410" s="39" t="n">
        <x:v>46188</x:v>
      </x:c>
    </x:row>
    <x:row r="2411">
      <x:c r="A2411" s="21" t="str">
        <x:v>SYN-0689</x:v>
      </x:c>
      <x:c r="B2411" s="21" t="str">
        <x:v>Synthetic Supplier 0689 LLC</x:v>
      </x:c>
      <x:c r="C2411" s="38" t="str">
        <x:f>"900 000 000 000 689"</x:f>
        <x:v>900 000 000 000 689</x:v>
      </x:c>
      <x:c r="D2411" s="21" t="str">
        <x:v>SYN-0689-INV-02</x:v>
      </x:c>
      <x:c r="E2411" s="39" t="n">
        <x:v>45983</x:v>
      </x:c>
      <x:c r="F2411" s="42" t="n">
        <x:v>162619.82</x:v>
      </x:c>
      <x:c r="G2411" s="42" t="n">
        <x:v>8130.99</x:v>
      </x:c>
      <x:c r="H2411" s="42" t="n">
        <x:v>456753.71</x:v>
      </x:c>
      <x:c r="I2411" s="39" t="n">
        <x:v>46188</x:v>
      </x:c>
    </x:row>
    <x:row r="2412">
      <x:c r="A2412" s="21" t="str">
        <x:v>SYN-0689</x:v>
      </x:c>
      <x:c r="B2412" s="21" t="str">
        <x:v>Synthetic Supplier 0689 LLC</x:v>
      </x:c>
      <x:c r="C2412" s="38" t="str">
        <x:f>"900 000 000 000 689"</x:f>
        <x:v>900 000 000 000 689</x:v>
      </x:c>
      <x:c r="D2412" s="21" t="str">
        <x:v>SYN-0689-INV-03</x:v>
      </x:c>
      <x:c r="E2412" s="39" t="n">
        <x:v>46030</x:v>
      </x:c>
      <x:c r="F2412" s="42" t="n">
        <x:v>168460.56</x:v>
      </x:c>
      <x:c r="G2412" s="42" t="n">
        <x:v>8423.03</x:v>
      </x:c>
      <x:c r="H2412" s="42" t="n">
        <x:v>456753.71</x:v>
      </x:c>
      <x:c r="I2412" s="39" t="n">
        <x:v>46188</x:v>
      </x:c>
    </x:row>
    <x:row r="2413">
      <x:c r="A2413" s="21" t="str">
        <x:v>SYN-0690</x:v>
      </x:c>
      <x:c r="B2413" s="21" t="str">
        <x:v>Synthetic Supplier 0690 LLC</x:v>
      </x:c>
      <x:c r="C2413" s="38" t="str">
        <x:f>"900 000 000 000 690"</x:f>
        <x:v>900 000 000 000 690</x:v>
      </x:c>
      <x:c r="D2413" s="21" t="str">
        <x:v>SYN-0690-INV-01</x:v>
      </x:c>
      <x:c r="E2413" s="39" t="n">
        <x:v>45949</x:v>
      </x:c>
      <x:c r="F2413" s="42" t="n">
        <x:v>217227.39</x:v>
      </x:c>
      <x:c r="G2413" s="42" t="n">
        <x:v>10861.37</x:v>
      </x:c>
      <x:c r="H2413" s="42" t="n">
        <x:v>673565.48</x:v>
      </x:c>
      <x:c r="I2413" s="39"/>
    </x:row>
    <x:row r="2414">
      <x:c r="A2414" s="21" t="str">
        <x:v>SYN-0690</x:v>
      </x:c>
      <x:c r="B2414" s="21" t="str">
        <x:v>Synthetic Supplier 0690 LLC</x:v>
      </x:c>
      <x:c r="C2414" s="38" t="str">
        <x:f>"900 000 000 000 690"</x:f>
        <x:v>900 000 000 000 690</x:v>
      </x:c>
      <x:c r="D2414" s="21" t="str">
        <x:v>SYN-0690-INV-02</x:v>
      </x:c>
      <x:c r="E2414" s="39" t="n">
        <x:v>45996</x:v>
      </x:c>
      <x:c r="F2414" s="42" t="n">
        <x:v>135223.59</x:v>
      </x:c>
      <x:c r="G2414" s="42" t="n">
        <x:v>6761.18</x:v>
      </x:c>
      <x:c r="H2414" s="42" t="n">
        <x:v>673565.48</x:v>
      </x:c>
      <x:c r="I2414" s="39"/>
    </x:row>
    <x:row r="2415">
      <x:c r="A2415" s="21" t="str">
        <x:v>SYN-0690</x:v>
      </x:c>
      <x:c r="B2415" s="21" t="str">
        <x:v>Synthetic Supplier 0690 LLC</x:v>
      </x:c>
      <x:c r="C2415" s="38" t="str">
        <x:f>"900 000 000 000 690"</x:f>
        <x:v>900 000 000 000 690</x:v>
      </x:c>
      <x:c r="D2415" s="21" t="str">
        <x:v>SYN-0690-INV-03</x:v>
      </x:c>
      <x:c r="E2415" s="39" t="n">
        <x:v>46043</x:v>
      </x:c>
      <x:c r="F2415" s="42" t="n">
        <x:v>214281.46</x:v>
      </x:c>
      <x:c r="G2415" s="42" t="n">
        <x:v>10714.07</x:v>
      </x:c>
      <x:c r="H2415" s="42" t="n">
        <x:v>673565.48</x:v>
      </x:c>
      <x:c r="I2415" s="39"/>
    </x:row>
    <x:row r="2416">
      <x:c r="A2416" s="21" t="str">
        <x:v>SYN-0690</x:v>
      </x:c>
      <x:c r="B2416" s="21" t="str">
        <x:v>Synthetic Supplier 0690 LLC</x:v>
      </x:c>
      <x:c r="C2416" s="38" t="str">
        <x:f>"900 000 000 000 690"</x:f>
        <x:v>900 000 000 000 690</x:v>
      </x:c>
      <x:c r="D2416" s="21" t="str">
        <x:v>SYN-0690-INV-04</x:v>
      </x:c>
      <x:c r="E2416" s="39" t="n">
        <x:v>46090</x:v>
      </x:c>
      <x:c r="F2416" s="42" t="n">
        <x:v>181673.65</x:v>
      </x:c>
      <x:c r="G2416" s="42" t="n">
        <x:v>9083.68</x:v>
      </x:c>
      <x:c r="H2416" s="42" t="n">
        <x:v>673565.48</x:v>
      </x:c>
      <x:c r="I2416" s="39"/>
    </x:row>
    <x:row r="2417">
      <x:c r="A2417" s="21" t="str">
        <x:v>SYN-0691</x:v>
      </x:c>
      <x:c r="B2417" s="21" t="str">
        <x:v>Synthetic Supplier 0691 LLC</x:v>
      </x:c>
      <x:c r="C2417" s="38" t="str">
        <x:f>"900 000 000 000 691"</x:f>
        <x:v>900 000 000 000 691</x:v>
      </x:c>
      <x:c r="D2417" s="21" t="str">
        <x:v>SYN-0691-INV-01</x:v>
      </x:c>
      <x:c r="E2417" s="39" t="n">
        <x:v>45962</x:v>
      </x:c>
      <x:c r="F2417" s="42" t="n">
        <x:v>116053.82</x:v>
      </x:c>
      <x:c r="G2417" s="42" t="n">
        <x:v>5802.69</x:v>
      </x:c>
      <x:c r="H2417" s="42" t="n">
        <x:v>523127.38</x:v>
      </x:c>
      <x:c r="I2417" s="39" t="n">
        <x:v>46251</x:v>
      </x:c>
    </x:row>
    <x:row r="2418">
      <x:c r="A2418" s="21" t="str">
        <x:v>SYN-0691</x:v>
      </x:c>
      <x:c r="B2418" s="21" t="str">
        <x:v>Synthetic Supplier 0691 LLC</x:v>
      </x:c>
      <x:c r="C2418" s="38" t="str">
        <x:f>"900 000 000 000 691"</x:f>
        <x:v>900 000 000 000 691</x:v>
      </x:c>
      <x:c r="D2418" s="21" t="str">
        <x:v>SYN-0691-INV-02</x:v>
      </x:c>
      <x:c r="E2418" s="39" t="n">
        <x:v>46009</x:v>
      </x:c>
      <x:c r="F2418" s="42" t="n">
        <x:v>141185.41</x:v>
      </x:c>
      <x:c r="G2418" s="42" t="n">
        <x:v>7059.27</x:v>
      </x:c>
      <x:c r="H2418" s="42" t="n">
        <x:v>523127.38</x:v>
      </x:c>
      <x:c r="I2418" s="39" t="n">
        <x:v>46251</x:v>
      </x:c>
    </x:row>
    <x:row r="2419">
      <x:c r="A2419" s="21" t="str">
        <x:v>SYN-0691</x:v>
      </x:c>
      <x:c r="B2419" s="21" t="str">
        <x:v>Synthetic Supplier 0691 LLC</x:v>
      </x:c>
      <x:c r="C2419" s="38" t="str">
        <x:f>"900 000 000 000 691"</x:f>
        <x:v>900 000 000 000 691</x:v>
      </x:c>
      <x:c r="D2419" s="21" t="str">
        <x:v>SYN-0691-INV-03</x:v>
      </x:c>
      <x:c r="E2419" s="39" t="n">
        <x:v>46056</x:v>
      </x:c>
      <x:c r="F2419" s="42" t="n">
        <x:v>109605.66</x:v>
      </x:c>
      <x:c r="G2419" s="42" t="n">
        <x:v>5480.28</x:v>
      </x:c>
      <x:c r="H2419" s="42" t="n">
        <x:v>523127.38</x:v>
      </x:c>
      <x:c r="I2419" s="39" t="n">
        <x:v>46251</x:v>
      </x:c>
    </x:row>
    <x:row r="2420">
      <x:c r="A2420" s="21" t="str">
        <x:v>SYN-0691</x:v>
      </x:c>
      <x:c r="B2420" s="21" t="str">
        <x:v>Synthetic Supplier 0691 LLC</x:v>
      </x:c>
      <x:c r="C2420" s="38" t="str">
        <x:f>"900 000 000 000 691"</x:f>
        <x:v>900 000 000 000 691</x:v>
      </x:c>
      <x:c r="D2420" s="21" t="str">
        <x:v>SYN-0691-INV-04</x:v>
      </x:c>
      <x:c r="E2420" s="39" t="n">
        <x:v>46103</x:v>
      </x:c>
      <x:c r="F2420" s="42" t="n">
        <x:v>146365.78</x:v>
      </x:c>
      <x:c r="G2420" s="42" t="n">
        <x:v>7318.29</x:v>
      </x:c>
      <x:c r="H2420" s="42" t="n">
        <x:v>523127.38</x:v>
      </x:c>
      <x:c r="I2420" s="39" t="n">
        <x:v>46251</x:v>
      </x:c>
    </x:row>
    <x:row r="2421">
      <x:c r="A2421" s="21" t="str">
        <x:v>SYN-0691</x:v>
      </x:c>
      <x:c r="B2421" s="21" t="str">
        <x:v>Synthetic Supplier 0691 LLC</x:v>
      </x:c>
      <x:c r="C2421" s="38" t="str">
        <x:f>"900 000 000 000 691"</x:f>
        <x:v>900 000 000 000 691</x:v>
      </x:c>
      <x:c r="D2421" s="21" t="str">
        <x:v>SYN-0691-INV-05</x:v>
      </x:c>
      <x:c r="E2421" s="39" t="n">
        <x:v>46150</x:v>
      </x:c>
      <x:c r="F2421" s="42" t="n">
        <x:v>68041.98</x:v>
      </x:c>
      <x:c r="G2421" s="42" t="n">
        <x:v>3402.1</x:v>
      </x:c>
      <x:c r="H2421" s="42" t="n">
        <x:v>523127.38</x:v>
      </x:c>
      <x:c r="I2421" s="39" t="n">
        <x:v>46251</x:v>
      </x:c>
    </x:row>
    <x:row r="2422">
      <x:c r="A2422" s="21" t="str">
        <x:v>SYN-0692</x:v>
      </x:c>
      <x:c r="B2422" s="21" t="str">
        <x:v>Synthetic Supplier 0692 LLC</x:v>
      </x:c>
      <x:c r="C2422" s="38" t="str">
        <x:f>"900 000 000 000 692"</x:f>
        <x:v>900 000 000 000 692</x:v>
      </x:c>
      <x:c r="D2422" s="21" t="str">
        <x:v>SYN-0692-INV-01</x:v>
      </x:c>
      <x:c r="E2422" s="39" t="n">
        <x:v>45975</x:v>
      </x:c>
      <x:c r="F2422" s="42" t="n">
        <x:v>318624.34</x:v>
      </x:c>
      <x:c r="G2422" s="42" t="n">
        <x:v>15931.22</x:v>
      </x:c>
      <x:c r="H2422" s="42" t="n">
        <x:v>452822.95</x:v>
      </x:c>
      <x:c r="I2422" s="39" t="n">
        <x:v>45918</x:v>
      </x:c>
    </x:row>
    <x:row r="2423">
      <x:c r="A2423" s="21" t="str">
        <x:v>SYN-0692</x:v>
      </x:c>
      <x:c r="B2423" s="21" t="str">
        <x:v>Synthetic Supplier 0692 LLC</x:v>
      </x:c>
      <x:c r="C2423" s="38" t="str">
        <x:f>"900 000 000 000 692"</x:f>
        <x:v>900 000 000 000 692</x:v>
      </x:c>
      <x:c r="D2423" s="21" t="str">
        <x:v>SYN-0692-INV-02</x:v>
      </x:c>
      <x:c r="E2423" s="39" t="n">
        <x:v>46022</x:v>
      </x:c>
      <x:c r="F2423" s="42" t="n">
        <x:v>184512.27</x:v>
      </x:c>
      <x:c r="G2423" s="42" t="n">
        <x:v>9225.61</x:v>
      </x:c>
      <x:c r="H2423" s="42" t="n">
        <x:v>452822.95</x:v>
      </x:c>
      <x:c r="I2423" s="39" t="n">
        <x:v>45918</x:v>
      </x:c>
    </x:row>
    <x:row r="2424">
      <x:c r="A2424" s="21" t="str">
        <x:v>SYN-0693</x:v>
      </x:c>
      <x:c r="B2424" s="21" t="str">
        <x:v>Synthetic Supplier 0693 LLC</x:v>
      </x:c>
      <x:c r="C2424" s="38" t="str">
        <x:f>"900 000 000 000 693"</x:f>
        <x:v>900 000 000 000 693</x:v>
      </x:c>
      <x:c r="D2424" s="21" t="str">
        <x:v>SYN-0693-INV-01</x:v>
      </x:c>
      <x:c r="E2424" s="39" t="n">
        <x:v>45988</x:v>
      </x:c>
      <x:c r="F2424" s="42" t="n">
        <x:v>104276.35</x:v>
      </x:c>
      <x:c r="G2424" s="42" t="n">
        <x:v>5213.82</x:v>
      </x:c>
      <x:c r="H2424" s="42" t="n">
        <x:v>445689.22</x:v>
      </x:c>
      <x:c r="I2424" s="39" t="n">
        <x:v>46041</x:v>
      </x:c>
    </x:row>
    <x:row r="2425">
      <x:c r="A2425" s="21" t="str">
        <x:v>SYN-0693</x:v>
      </x:c>
      <x:c r="B2425" s="21" t="str">
        <x:v>Synthetic Supplier 0693 LLC</x:v>
      </x:c>
      <x:c r="C2425" s="38" t="str">
        <x:f>"900 000 000 000 693"</x:f>
        <x:v>900 000 000 000 693</x:v>
      </x:c>
      <x:c r="D2425" s="21" t="str">
        <x:v>SYN-0693-INV-02</x:v>
      </x:c>
      <x:c r="E2425" s="39" t="n">
        <x:v>46035</x:v>
      </x:c>
      <x:c r="F2425" s="42" t="n">
        <x:v>124198.23</x:v>
      </x:c>
      <x:c r="G2425" s="42" t="n">
        <x:v>6209.91</x:v>
      </x:c>
      <x:c r="H2425" s="42" t="n">
        <x:v>445689.22</x:v>
      </x:c>
      <x:c r="I2425" s="39" t="n">
        <x:v>46041</x:v>
      </x:c>
    </x:row>
    <x:row r="2426">
      <x:c r="A2426" s="21" t="str">
        <x:v>SYN-0693</x:v>
      </x:c>
      <x:c r="B2426" s="21" t="str">
        <x:v>Synthetic Supplier 0693 LLC</x:v>
      </x:c>
      <x:c r="C2426" s="38" t="str">
        <x:f>"900 000 000 000 693"</x:f>
        <x:v>900 000 000 000 693</x:v>
      </x:c>
      <x:c r="D2426" s="21" t="str">
        <x:v>SYN-0693-INV-03</x:v>
      </x:c>
      <x:c r="E2426" s="39" t="n">
        <x:v>46082</x:v>
      </x:c>
      <x:c r="F2426" s="42" t="n">
        <x:v>159081.27</x:v>
      </x:c>
      <x:c r="G2426" s="42" t="n">
        <x:v>7954.06</x:v>
      </x:c>
      <x:c r="H2426" s="42" t="n">
        <x:v>445689.22</x:v>
      </x:c>
      <x:c r="I2426" s="39" t="n">
        <x:v>46041</x:v>
      </x:c>
    </x:row>
    <x:row r="2427">
      <x:c r="A2427" s="21" t="str">
        <x:v>SYN-0694</x:v>
      </x:c>
      <x:c r="B2427" s="21" t="str">
        <x:v>Synthetic Supplier 0694 LLC</x:v>
      </x:c>
      <x:c r="C2427" s="38" t="str">
        <x:f>"900 000 000 000 694"</x:f>
        <x:v>900 000 000 000 694</x:v>
      </x:c>
      <x:c r="D2427" s="21" t="str">
        <x:v>SYN-0694-INV-01</x:v>
      </x:c>
      <x:c r="E2427" s="39" t="n">
        <x:v>46001</x:v>
      </x:c>
      <x:c r="F2427" s="42" t="n">
        <x:v>74197.93</x:v>
      </x:c>
      <x:c r="G2427" s="42" t="n">
        <x:v>3709.9</x:v>
      </x:c>
      <x:c r="H2427" s="42" t="n">
        <x:v>367038.65</x:v>
      </x:c>
      <x:c r="I2427" s="39" t="n">
        <x:v>45708</x:v>
      </x:c>
    </x:row>
    <x:row r="2428">
      <x:c r="A2428" s="21" t="str">
        <x:v>SYN-0694</x:v>
      </x:c>
      <x:c r="B2428" s="21" t="str">
        <x:v>Synthetic Supplier 0694 LLC</x:v>
      </x:c>
      <x:c r="C2428" s="38" t="str">
        <x:f>"900 000 000 000 694"</x:f>
        <x:v>900 000 000 000 694</x:v>
      </x:c>
      <x:c r="D2428" s="21" t="str">
        <x:v>SYN-0694-INV-02</x:v>
      </x:c>
      <x:c r="E2428" s="39" t="n">
        <x:v>46048</x:v>
      </x:c>
      <x:c r="F2428" s="42" t="n">
        <x:v>127939.55</x:v>
      </x:c>
      <x:c r="G2428" s="42" t="n">
        <x:v>6396.98</x:v>
      </x:c>
      <x:c r="H2428" s="42" t="n">
        <x:v>367038.65</x:v>
      </x:c>
      <x:c r="I2428" s="39" t="n">
        <x:v>45708</x:v>
      </x:c>
    </x:row>
    <x:row r="2429">
      <x:c r="A2429" s="21" t="str">
        <x:v>SYN-0694</x:v>
      </x:c>
      <x:c r="B2429" s="21" t="str">
        <x:v>Synthetic Supplier 0694 LLC</x:v>
      </x:c>
      <x:c r="C2429" s="38" t="str">
        <x:f>"900 000 000 000 694"</x:f>
        <x:v>900 000 000 000 694</x:v>
      </x:c>
      <x:c r="D2429" s="21" t="str">
        <x:v>SYN-0694-INV-03</x:v>
      </x:c>
      <x:c r="E2429" s="39" t="n">
        <x:v>46095</x:v>
      </x:c>
      <x:c r="F2429" s="42" t="n">
        <x:v>74700.24</x:v>
      </x:c>
      <x:c r="G2429" s="42" t="n">
        <x:v>3735.01</x:v>
      </x:c>
      <x:c r="H2429" s="42" t="n">
        <x:v>367038.65</x:v>
      </x:c>
      <x:c r="I2429" s="39" t="n">
        <x:v>45708</x:v>
      </x:c>
    </x:row>
    <x:row r="2430">
      <x:c r="A2430" s="21" t="str">
        <x:v>SYN-0694</x:v>
      </x:c>
      <x:c r="B2430" s="21" t="str">
        <x:v>Synthetic Supplier 0694 LLC</x:v>
      </x:c>
      <x:c r="C2430" s="38" t="str">
        <x:f>"900 000 000 000 694"</x:f>
        <x:v>900 000 000 000 694</x:v>
      </x:c>
      <x:c r="D2430" s="21" t="str">
        <x:v>SYN-0694-INV-04</x:v>
      </x:c>
      <x:c r="E2430" s="39" t="n">
        <x:v>46142</x:v>
      </x:c>
      <x:c r="F2430" s="42" t="n">
        <x:v>130983</x:v>
      </x:c>
      <x:c r="G2430" s="42" t="n">
        <x:v>6549.15</x:v>
      </x:c>
      <x:c r="H2430" s="42" t="n">
        <x:v>367038.65</x:v>
      </x:c>
      <x:c r="I2430" s="39" t="n">
        <x:v>45708</x:v>
      </x:c>
    </x:row>
    <x:row r="2431">
      <x:c r="A2431" s="21" t="str">
        <x:v>SYN-0695</x:v>
      </x:c>
      <x:c r="B2431" s="21" t="str">
        <x:v>Synthetic Supplier 0695 LLC</x:v>
      </x:c>
      <x:c r="C2431" s="38" t="str">
        <x:f>"900 000 000 000 695"</x:f>
        <x:v>900 000 000 000 695</x:v>
      </x:c>
      <x:c r="D2431" s="21" t="str">
        <x:v>SYN-0695-INV-01</x:v>
      </x:c>
      <x:c r="E2431" s="39" t="n">
        <x:v>46014</x:v>
      </x:c>
      <x:c r="F2431" s="42" t="n">
        <x:v>105040.54</x:v>
      </x:c>
      <x:c r="G2431" s="42" t="n">
        <x:v>5252.03</x:v>
      </x:c>
      <x:c r="H2431" s="42" t="n">
        <x:v>523670.55</x:v>
      </x:c>
      <x:c r="I2431" s="39"/>
    </x:row>
    <x:row r="2432">
      <x:c r="A2432" s="21" t="str">
        <x:v>SYN-0695</x:v>
      </x:c>
      <x:c r="B2432" s="21" t="str">
        <x:v>Synthetic Supplier 0695 LLC</x:v>
      </x:c>
      <x:c r="C2432" s="38" t="str">
        <x:f>"900 000 000 000 695"</x:f>
        <x:v>900 000 000 000 695</x:v>
      </x:c>
      <x:c r="D2432" s="21" t="str">
        <x:v>SYN-0695-INV-02</x:v>
      </x:c>
      <x:c r="E2432" s="39" t="n">
        <x:v>46061</x:v>
      </x:c>
      <x:c r="F2432" s="42" t="n">
        <x:v>146240.91</x:v>
      </x:c>
      <x:c r="G2432" s="42" t="n">
        <x:v>7312.05</x:v>
      </x:c>
      <x:c r="H2432" s="42" t="n">
        <x:v>523670.55</x:v>
      </x:c>
      <x:c r="I2432" s="39"/>
    </x:row>
    <x:row r="2433">
      <x:c r="A2433" s="21" t="str">
        <x:v>SYN-0695</x:v>
      </x:c>
      <x:c r="B2433" s="21" t="str">
        <x:v>Synthetic Supplier 0695 LLC</x:v>
      </x:c>
      <x:c r="C2433" s="38" t="str">
        <x:f>"900 000 000 000 695"</x:f>
        <x:v>900 000 000 000 695</x:v>
      </x:c>
      <x:c r="D2433" s="21" t="str">
        <x:v>SYN-0695-INV-03</x:v>
      </x:c>
      <x:c r="E2433" s="39" t="n">
        <x:v>46108</x:v>
      </x:c>
      <x:c r="F2433" s="42" t="n">
        <x:v>104968.25</x:v>
      </x:c>
      <x:c r="G2433" s="42" t="n">
        <x:v>5248.41</x:v>
      </x:c>
      <x:c r="H2433" s="42" t="n">
        <x:v>523670.55</x:v>
      </x:c>
      <x:c r="I2433" s="39"/>
    </x:row>
    <x:row r="2434">
      <x:c r="A2434" s="21" t="str">
        <x:v>SYN-0695</x:v>
      </x:c>
      <x:c r="B2434" s="21" t="str">
        <x:v>Synthetic Supplier 0695 LLC</x:v>
      </x:c>
      <x:c r="C2434" s="38" t="str">
        <x:f>"900 000 000 000 695"</x:f>
        <x:v>900 000 000 000 695</x:v>
      </x:c>
      <x:c r="D2434" s="21" t="str">
        <x:v>SYN-0695-INV-04</x:v>
      </x:c>
      <x:c r="E2434" s="39" t="n">
        <x:v>46155</x:v>
      </x:c>
      <x:c r="F2434" s="42" t="n">
        <x:v>140714.35</x:v>
      </x:c>
      <x:c r="G2434" s="42" t="n">
        <x:v>7035.72</x:v>
      </x:c>
      <x:c r="H2434" s="42" t="n">
        <x:v>523670.55</x:v>
      </x:c>
      <x:c r="I2434" s="39"/>
    </x:row>
    <x:row r="2435">
      <x:c r="A2435" s="21" t="str">
        <x:v>SYN-0695</x:v>
      </x:c>
      <x:c r="B2435" s="21" t="str">
        <x:v>Synthetic Supplier 0695 LLC</x:v>
      </x:c>
      <x:c r="C2435" s="38" t="str">
        <x:f>"900 000 000 000 695"</x:f>
        <x:v>900 000 000 000 695</x:v>
      </x:c>
      <x:c r="D2435" s="21" t="str">
        <x:v>SYN-0695-INV-05</x:v>
      </x:c>
      <x:c r="E2435" s="39" t="n">
        <x:v>46202</x:v>
      </x:c>
      <x:c r="F2435" s="42" t="n">
        <x:v>84892.11</x:v>
      </x:c>
      <x:c r="G2435" s="42" t="n">
        <x:v>4244.61</x:v>
      </x:c>
      <x:c r="H2435" s="42" t="n">
        <x:v>523670.55</x:v>
      </x:c>
      <x:c r="I2435" s="39"/>
    </x:row>
    <x:row r="2436">
      <x:c r="A2436" s="21" t="str">
        <x:v>SYN-0696</x:v>
      </x:c>
      <x:c r="B2436" s="21" t="str">
        <x:v>Synthetic Supplier 0696 LLC</x:v>
      </x:c>
      <x:c r="C2436" s="38" t="str">
        <x:f>"900 000 000 000 696"</x:f>
        <x:v>900 000 000 000 696</x:v>
      </x:c>
      <x:c r="D2436" s="21" t="str">
        <x:v>SYN-0696-INV-01</x:v>
      </x:c>
      <x:c r="E2436" s="39" t="n">
        <x:v>46027</x:v>
      </x:c>
      <x:c r="F2436" s="42" t="n">
        <x:v>257046.08</x:v>
      </x:c>
      <x:c r="G2436" s="42" t="n">
        <x:v>12852.3</x:v>
      </x:c>
      <x:c r="H2436" s="42" t="n">
        <x:v>394651.09</x:v>
      </x:c>
      <x:c r="I2436" s="39" t="n">
        <x:v>45769</x:v>
      </x:c>
    </x:row>
    <x:row r="2437">
      <x:c r="A2437" s="21" t="str">
        <x:v>SYN-0696</x:v>
      </x:c>
      <x:c r="B2437" s="21" t="str">
        <x:v>Synthetic Supplier 0696 LLC</x:v>
      </x:c>
      <x:c r="C2437" s="38" t="str">
        <x:f>"900 000 000 000 696"</x:f>
        <x:v>900 000 000 000 696</x:v>
      </x:c>
      <x:c r="D2437" s="21" t="str">
        <x:v>SYN-0696-INV-02</x:v>
      </x:c>
      <x:c r="E2437" s="39" t="n">
        <x:v>46074</x:v>
      </x:c>
      <x:c r="F2437" s="42" t="n">
        <x:v>181455.13</x:v>
      </x:c>
      <x:c r="G2437" s="42" t="n">
        <x:v>9072.76</x:v>
      </x:c>
      <x:c r="H2437" s="42" t="n">
        <x:v>394651.09</x:v>
      </x:c>
      <x:c r="I2437" s="39" t="n">
        <x:v>45769</x:v>
      </x:c>
    </x:row>
    <x:row r="2438">
      <x:c r="A2438" s="21" t="str">
        <x:v>SYN-0697</x:v>
      </x:c>
      <x:c r="B2438" s="21" t="str">
        <x:v>Synthetic Supplier 0697 LLC</x:v>
      </x:c>
      <x:c r="C2438" s="38" t="str">
        <x:f>"900 000 000 000 697"</x:f>
        <x:v>900 000 000 000 697</x:v>
      </x:c>
      <x:c r="D2438" s="21" t="str">
        <x:v>SYN-0697-INV-01</x:v>
      </x:c>
      <x:c r="E2438" s="39" t="n">
        <x:v>46040</x:v>
      </x:c>
      <x:c r="F2438" s="42" t="n">
        <x:v>155311.5</x:v>
      </x:c>
      <x:c r="G2438" s="42" t="n">
        <x:v>7765.58</x:v>
      </x:c>
      <x:c r="H2438" s="42" t="n">
        <x:v>528070.43</x:v>
      </x:c>
      <x:c r="I2438" s="39" t="n">
        <x:v>46165</x:v>
      </x:c>
    </x:row>
    <x:row r="2439">
      <x:c r="A2439" s="21" t="str">
        <x:v>SYN-0697</x:v>
      </x:c>
      <x:c r="B2439" s="21" t="str">
        <x:v>Synthetic Supplier 0697 LLC</x:v>
      </x:c>
      <x:c r="C2439" s="38" t="str">
        <x:f>"900 000 000 000 697"</x:f>
        <x:v>900 000 000 000 697</x:v>
      </x:c>
      <x:c r="D2439" s="21" t="str">
        <x:v>SYN-0697-INV-02</x:v>
      </x:c>
      <x:c r="E2439" s="39" t="n">
        <x:v>46087</x:v>
      </x:c>
      <x:c r="F2439" s="42" t="n">
        <x:v>212700.97</x:v>
      </x:c>
      <x:c r="G2439" s="42" t="n">
        <x:v>10635.05</x:v>
      </x:c>
      <x:c r="H2439" s="42" t="n">
        <x:v>528070.43</x:v>
      </x:c>
      <x:c r="I2439" s="39" t="n">
        <x:v>46165</x:v>
      </x:c>
    </x:row>
    <x:row r="2440">
      <x:c r="A2440" s="21" t="str">
        <x:v>SYN-0697</x:v>
      </x:c>
      <x:c r="B2440" s="21" t="str">
        <x:v>Synthetic Supplier 0697 LLC</x:v>
      </x:c>
      <x:c r="C2440" s="38" t="str">
        <x:f>"900 000 000 000 697"</x:f>
        <x:v>900 000 000 000 697</x:v>
      </x:c>
      <x:c r="D2440" s="21" t="str">
        <x:v>SYN-0697-INV-03</x:v>
      </x:c>
      <x:c r="E2440" s="39" t="n">
        <x:v>46134</x:v>
      </x:c>
      <x:c r="F2440" s="42" t="n">
        <x:v>218732.46</x:v>
      </x:c>
      <x:c r="G2440" s="42" t="n">
        <x:v>10936.62</x:v>
      </x:c>
      <x:c r="H2440" s="42" t="n">
        <x:v>528070.43</x:v>
      </x:c>
      <x:c r="I2440" s="39" t="n">
        <x:v>46165</x:v>
      </x:c>
    </x:row>
    <x:row r="2441">
      <x:c r="A2441" s="21" t="str">
        <x:v>SYN-0698</x:v>
      </x:c>
      <x:c r="B2441" s="21" t="str">
        <x:v>Synthetic Supplier 0698 LLC</x:v>
      </x:c>
      <x:c r="C2441" s="38" t="str">
        <x:f>"900 000 000 000 698"</x:f>
        <x:v>900 000 000 000 698</x:v>
      </x:c>
      <x:c r="D2441" s="21" t="str">
        <x:v>SYN-0698-INV-01</x:v>
      </x:c>
      <x:c r="E2441" s="39" t="n">
        <x:v>46053</x:v>
      </x:c>
      <x:c r="F2441" s="42" t="n">
        <x:v>147304.05</x:v>
      </x:c>
      <x:c r="G2441" s="42" t="n">
        <x:v>7365.2</x:v>
      </x:c>
      <x:c r="H2441" s="42" t="n">
        <x:v>517706.52</x:v>
      </x:c>
      <x:c r="I2441" s="39" t="n">
        <x:v>45832</x:v>
      </x:c>
    </x:row>
    <x:row r="2442">
      <x:c r="A2442" s="21" t="str">
        <x:v>SYN-0698</x:v>
      </x:c>
      <x:c r="B2442" s="21" t="str">
        <x:v>Synthetic Supplier 0698 LLC</x:v>
      </x:c>
      <x:c r="C2442" s="38" t="str">
        <x:f>"900 000 000 000 698"</x:f>
        <x:v>900 000 000 000 698</x:v>
      </x:c>
      <x:c r="D2442" s="21" t="str">
        <x:v>SYN-0698-INV-02</x:v>
      </x:c>
      <x:c r="E2442" s="39" t="n">
        <x:v>46100</x:v>
      </x:c>
      <x:c r="F2442" s="42" t="n">
        <x:v>131322.44</x:v>
      </x:c>
      <x:c r="G2442" s="42" t="n">
        <x:v>6566.12</x:v>
      </x:c>
      <x:c r="H2442" s="42" t="n">
        <x:v>517706.52</x:v>
      </x:c>
      <x:c r="I2442" s="39" t="n">
        <x:v>45832</x:v>
      </x:c>
    </x:row>
    <x:row r="2443">
      <x:c r="A2443" s="21" t="str">
        <x:v>SYN-0698</x:v>
      </x:c>
      <x:c r="B2443" s="21" t="str">
        <x:v>Synthetic Supplier 0698 LLC</x:v>
      </x:c>
      <x:c r="C2443" s="38" t="str">
        <x:f>"900 000 000 000 698"</x:f>
        <x:v>900 000 000 000 698</x:v>
      </x:c>
      <x:c r="D2443" s="21" t="str">
        <x:v>SYN-0698-INV-03</x:v>
      </x:c>
      <x:c r="E2443" s="39" t="n">
        <x:v>46147</x:v>
      </x:c>
      <x:c r="F2443" s="42" t="n">
        <x:v>138572.23</x:v>
      </x:c>
      <x:c r="G2443" s="42" t="n">
        <x:v>6928.61</x:v>
      </x:c>
      <x:c r="H2443" s="42" t="n">
        <x:v>517706.52</x:v>
      </x:c>
      <x:c r="I2443" s="39" t="n">
        <x:v>45832</x:v>
      </x:c>
    </x:row>
    <x:row r="2444">
      <x:c r="A2444" s="21" t="str">
        <x:v>SYN-0698</x:v>
      </x:c>
      <x:c r="B2444" s="21" t="str">
        <x:v>Synthetic Supplier 0698 LLC</x:v>
      </x:c>
      <x:c r="C2444" s="38" t="str">
        <x:f>"900 000 000 000 698"</x:f>
        <x:v>900 000 000 000 698</x:v>
      </x:c>
      <x:c r="D2444" s="21" t="str">
        <x:v>SYN-0698-INV-04</x:v>
      </x:c>
      <x:c r="E2444" s="39" t="n">
        <x:v>46194</x:v>
      </x:c>
      <x:c r="F2444" s="42" t="n">
        <x:v>158030.74</x:v>
      </x:c>
      <x:c r="G2444" s="42" t="n">
        <x:v>7901.54</x:v>
      </x:c>
      <x:c r="H2444" s="42" t="n">
        <x:v>517706.52</x:v>
      </x:c>
      <x:c r="I2444" s="39" t="n">
        <x:v>45832</x:v>
      </x:c>
    </x:row>
    <x:row r="2445">
      <x:c r="A2445" s="21" t="str">
        <x:v>SYN-0699</x:v>
      </x:c>
      <x:c r="B2445" s="21" t="str">
        <x:v>Synthetic Supplier 0699 LLC</x:v>
      </x:c>
      <x:c r="C2445" s="38" t="str">
        <x:f>"900 000 000 000 699"</x:f>
        <x:v>900 000 000 000 699</x:v>
      </x:c>
      <x:c r="D2445" s="21" t="str">
        <x:v>SYN-0699-INV-01</x:v>
      </x:c>
      <x:c r="E2445" s="39" t="n">
        <x:v>46066</x:v>
      </x:c>
      <x:c r="F2445" s="42" t="n">
        <x:v>122045.93</x:v>
      </x:c>
      <x:c r="G2445" s="42" t="n">
        <x:v>6102.3</x:v>
      </x:c>
      <x:c r="H2445" s="42" t="n">
        <x:v>718859.53</x:v>
      </x:c>
      <x:c r="I2445" s="39" t="n">
        <x:v>46228</x:v>
      </x:c>
    </x:row>
    <x:row r="2446">
      <x:c r="A2446" s="21" t="str">
        <x:v>SYN-0699</x:v>
      </x:c>
      <x:c r="B2446" s="21" t="str">
        <x:v>Synthetic Supplier 0699 LLC</x:v>
      </x:c>
      <x:c r="C2446" s="38" t="str">
        <x:f>"900 000 000 000 699"</x:f>
        <x:v>900 000 000 000 699</x:v>
      </x:c>
      <x:c r="D2446" s="21" t="str">
        <x:v>SYN-0699-INV-02</x:v>
      </x:c>
      <x:c r="E2446" s="39" t="n">
        <x:v>46113</x:v>
      </x:c>
      <x:c r="F2446" s="42" t="n">
        <x:v>215331.42</x:v>
      </x:c>
      <x:c r="G2446" s="42" t="n">
        <x:v>10766.57</x:v>
      </x:c>
      <x:c r="H2446" s="42" t="n">
        <x:v>718859.53</x:v>
      </x:c>
      <x:c r="I2446" s="39" t="n">
        <x:v>46228</x:v>
      </x:c>
    </x:row>
    <x:row r="2447">
      <x:c r="A2447" s="21" t="str">
        <x:v>SYN-0699</x:v>
      </x:c>
      <x:c r="B2447" s="21" t="str">
        <x:v>Synthetic Supplier 0699 LLC</x:v>
      </x:c>
      <x:c r="C2447" s="38" t="str">
        <x:f>"900 000 000 000 699"</x:f>
        <x:v>900 000 000 000 699</x:v>
      </x:c>
      <x:c r="D2447" s="21" t="str">
        <x:v>SYN-0699-INV-03</x:v>
      </x:c>
      <x:c r="E2447" s="39" t="n">
        <x:v>46160</x:v>
      </x:c>
      <x:c r="F2447" s="42" t="n">
        <x:v>146404.26</x:v>
      </x:c>
      <x:c r="G2447" s="42" t="n">
        <x:v>7320.21</x:v>
      </x:c>
      <x:c r="H2447" s="42" t="n">
        <x:v>718859.53</x:v>
      </x:c>
      <x:c r="I2447" s="39" t="n">
        <x:v>46228</x:v>
      </x:c>
    </x:row>
    <x:row r="2448">
      <x:c r="A2448" s="21" t="str">
        <x:v>SYN-0699</x:v>
      </x:c>
      <x:c r="B2448" s="21" t="str">
        <x:v>Synthetic Supplier 0699 LLC</x:v>
      </x:c>
      <x:c r="C2448" s="38" t="str">
        <x:f>"900 000 000 000 699"</x:f>
        <x:v>900 000 000 000 699</x:v>
      </x:c>
      <x:c r="D2448" s="21" t="str">
        <x:v>SYN-0699-INV-04</x:v>
      </x:c>
      <x:c r="E2448" s="39" t="n">
        <x:v>46207</x:v>
      </x:c>
      <x:c r="F2448" s="42" t="n">
        <x:v>160858.98</x:v>
      </x:c>
      <x:c r="G2448" s="42" t="n">
        <x:v>8042.95</x:v>
      </x:c>
      <x:c r="H2448" s="42" t="n">
        <x:v>718859.53</x:v>
      </x:c>
      <x:c r="I2448" s="39" t="n">
        <x:v>46228</x:v>
      </x:c>
    </x:row>
    <x:row r="2449">
      <x:c r="A2449" s="21" t="str">
        <x:v>SYN-0699</x:v>
      </x:c>
      <x:c r="B2449" s="21" t="str">
        <x:v>Synthetic Supplier 0699 LLC</x:v>
      </x:c>
      <x:c r="C2449" s="38" t="str">
        <x:f>"900 000 000 000 699"</x:f>
        <x:v>900 000 000 000 699</x:v>
      </x:c>
      <x:c r="D2449" s="21" t="str">
        <x:v>SYN-0699-INV-05</x:v>
      </x:c>
      <x:c r="E2449" s="39" t="n">
        <x:v>46254</x:v>
      </x:c>
      <x:c r="F2449" s="42" t="n">
        <x:v>154092.21</x:v>
      </x:c>
      <x:c r="G2449" s="42" t="n">
        <x:v>7704.61</x:v>
      </x:c>
      <x:c r="H2449" s="42" t="n">
        <x:v>718859.53</x:v>
      </x:c>
      <x:c r="I2449" s="39" t="n">
        <x:v>46228</x:v>
      </x:c>
    </x:row>
    <x:row r="2450">
      <x:c r="A2450" s="21" t="str">
        <x:v>SYN-0700</x:v>
      </x:c>
      <x:c r="B2450" s="21" t="str">
        <x:v>Synthetic Supplier 0700 LLC</x:v>
      </x:c>
      <x:c r="C2450" s="38" t="str">
        <x:f>"900 000 000 000 700"</x:f>
        <x:v>900 000 000 000 700</x:v>
      </x:c>
      <x:c r="D2450" s="21" t="str">
        <x:v>SYN-0700-INV-01</x:v>
      </x:c>
      <x:c r="E2450" s="39" t="n">
        <x:v>46079</x:v>
      </x:c>
      <x:c r="F2450" s="42" t="n">
        <x:v>247598.37</x:v>
      </x:c>
      <x:c r="G2450" s="42" t="n">
        <x:v>12379.92</x:v>
      </x:c>
      <x:c r="H2450" s="42" t="n">
        <x:v>566569.22</x:v>
      </x:c>
      <x:c r="I2450" s="39"/>
    </x:row>
    <x:row r="2451">
      <x:c r="A2451" s="21" t="str">
        <x:v>SYN-0700</x:v>
      </x:c>
      <x:c r="B2451" s="21" t="str">
        <x:v>Synthetic Supplier 0700 LLC</x:v>
      </x:c>
      <x:c r="C2451" s="38" t="str">
        <x:f>"900 000 000 000 700"</x:f>
        <x:v>900 000 000 000 700</x:v>
      </x:c>
      <x:c r="D2451" s="21" t="str">
        <x:v>SYN-0700-INV-02</x:v>
      </x:c>
      <x:c r="E2451" s="39" t="n">
        <x:v>46126</x:v>
      </x:c>
      <x:c r="F2451" s="42" t="n">
        <x:v>245070.51</x:v>
      </x:c>
      <x:c r="G2451" s="42" t="n">
        <x:v>12253.53</x:v>
      </x:c>
      <x:c r="H2451" s="42" t="n">
        <x:v>566569.22</x:v>
      </x:c>
      <x:c r="I2451" s="39"/>
    </x:row>
    <x:row r="2452">
      <x:c r="A2452" s="21" t="str">
        <x:v>SYN-0701</x:v>
      </x:c>
      <x:c r="B2452" s="21" t="str">
        <x:v>Synthetic Supplier 0701 LLC</x:v>
      </x:c>
      <x:c r="C2452" s="38" t="str">
        <x:f>"900 000 000 000 701"</x:f>
        <x:v>900 000 000 000 701</x:v>
      </x:c>
      <x:c r="D2452" s="21" t="str">
        <x:v>SYN-0701-INV-01</x:v>
      </x:c>
      <x:c r="E2452" s="39" t="n">
        <x:v>46092</x:v>
      </x:c>
      <x:c r="F2452" s="42" t="n">
        <x:v>200933.69</x:v>
      </x:c>
      <x:c r="G2452" s="42" t="n">
        <x:v>10046.68</x:v>
      </x:c>
      <x:c r="H2452" s="42" t="n">
        <x:v>631229.61</x:v>
      </x:c>
      <x:c r="I2452" s="39" t="n">
        <x:v>46267</x:v>
      </x:c>
    </x:row>
    <x:row r="2453">
      <x:c r="A2453" s="21" t="str">
        <x:v>SYN-0701</x:v>
      </x:c>
      <x:c r="B2453" s="21" t="str">
        <x:v>Synthetic Supplier 0701 LLC</x:v>
      </x:c>
      <x:c r="C2453" s="38" t="str">
        <x:f>"900 000 000 000 701"</x:f>
        <x:v>900 000 000 000 701</x:v>
      </x:c>
      <x:c r="D2453" s="21" t="str">
        <x:v>SYN-0701-INV-02</x:v>
      </x:c>
      <x:c r="E2453" s="39" t="n">
        <x:v>46139</x:v>
      </x:c>
      <x:c r="F2453" s="42" t="n">
        <x:v>195265.24</x:v>
      </x:c>
      <x:c r="G2453" s="42" t="n">
        <x:v>9763.26</x:v>
      </x:c>
      <x:c r="H2453" s="42" t="n">
        <x:v>631229.61</x:v>
      </x:c>
      <x:c r="I2453" s="39" t="n">
        <x:v>46267</x:v>
      </x:c>
    </x:row>
    <x:row r="2454">
      <x:c r="A2454" s="21" t="str">
        <x:v>SYN-0701</x:v>
      </x:c>
      <x:c r="B2454" s="21" t="str">
        <x:v>Synthetic Supplier 0701 LLC</x:v>
      </x:c>
      <x:c r="C2454" s="38" t="str">
        <x:f>"900 000 000 000 701"</x:f>
        <x:v>900 000 000 000 701</x:v>
      </x:c>
      <x:c r="D2454" s="21" t="str">
        <x:v>SYN-0701-INV-03</x:v>
      </x:c>
      <x:c r="E2454" s="39" t="n">
        <x:v>46186</x:v>
      </x:c>
      <x:c r="F2454" s="42" t="n">
        <x:v>305167.3</x:v>
      </x:c>
      <x:c r="G2454" s="42" t="n">
        <x:v>15258.37</x:v>
      </x:c>
      <x:c r="H2454" s="42" t="n">
        <x:v>631229.61</x:v>
      </x:c>
      <x:c r="I2454" s="39" t="n">
        <x:v>46267</x:v>
      </x:c>
    </x:row>
    <x:row r="2455">
      <x:c r="A2455" s="21" t="str">
        <x:v>SYN-0702</x:v>
      </x:c>
      <x:c r="B2455" s="21" t="str">
        <x:v>Synthetic Supplier 0702 LLC</x:v>
      </x:c>
      <x:c r="C2455" s="38" t="str">
        <x:f>"900 000 000 000 702"</x:f>
        <x:v>900 000 000 000 702</x:v>
      </x:c>
      <x:c r="D2455" s="21" t="str">
        <x:v>SYN-0702-INV-01</x:v>
      </x:c>
      <x:c r="E2455" s="39" t="n">
        <x:v>46105</x:v>
      </x:c>
      <x:c r="F2455" s="42" t="n">
        <x:v>135128.31</x:v>
      </x:c>
      <x:c r="G2455" s="42" t="n">
        <x:v>6756.42</x:v>
      </x:c>
      <x:c r="H2455" s="42" t="n">
        <x:v>504935.71</x:v>
      </x:c>
      <x:c r="I2455" s="39" t="n">
        <x:v>45660</x:v>
      </x:c>
    </x:row>
    <x:row r="2456">
      <x:c r="A2456" s="21" t="str">
        <x:v>SYN-0702</x:v>
      </x:c>
      <x:c r="B2456" s="21" t="str">
        <x:v>Synthetic Supplier 0702 LLC</x:v>
      </x:c>
      <x:c r="C2456" s="38" t="str">
        <x:f>"900 000 000 000 702"</x:f>
        <x:v>900 000 000 000 702</x:v>
      </x:c>
      <x:c r="D2456" s="21" t="str">
        <x:v>SYN-0702-INV-02</x:v>
      </x:c>
      <x:c r="E2456" s="39" t="n">
        <x:v>46152</x:v>
      </x:c>
      <x:c r="F2456" s="42" t="n">
        <x:v>187860.35</x:v>
      </x:c>
      <x:c r="G2456" s="42" t="n">
        <x:v>9393.02</x:v>
      </x:c>
      <x:c r="H2456" s="42" t="n">
        <x:v>504935.71</x:v>
      </x:c>
      <x:c r="I2456" s="39" t="n">
        <x:v>45660</x:v>
      </x:c>
    </x:row>
    <x:row r="2457">
      <x:c r="A2457" s="21" t="str">
        <x:v>SYN-0702</x:v>
      </x:c>
      <x:c r="B2457" s="21" t="str">
        <x:v>Synthetic Supplier 0702 LLC</x:v>
      </x:c>
      <x:c r="C2457" s="38" t="str">
        <x:f>"900 000 000 000 702"</x:f>
        <x:v>900 000 000 000 702</x:v>
      </x:c>
      <x:c r="D2457" s="21" t="str">
        <x:v>SYN-0702-INV-03</x:v>
      </x:c>
      <x:c r="E2457" s="39" t="n">
        <x:v>46199</x:v>
      </x:c>
      <x:c r="F2457" s="42" t="n">
        <x:v>117275.79</x:v>
      </x:c>
      <x:c r="G2457" s="42" t="n">
        <x:v>5863.79</x:v>
      </x:c>
      <x:c r="H2457" s="42" t="n">
        <x:v>504935.71</x:v>
      </x:c>
      <x:c r="I2457" s="39" t="n">
        <x:v>45660</x:v>
      </x:c>
    </x:row>
    <x:row r="2458">
      <x:c r="A2458" s="21" t="str">
        <x:v>SYN-0702</x:v>
      </x:c>
      <x:c r="B2458" s="21" t="str">
        <x:v>Synthetic Supplier 0702 LLC</x:v>
      </x:c>
      <x:c r="C2458" s="38" t="str">
        <x:f>"900 000 000 000 702"</x:f>
        <x:v>900 000 000 000 702</x:v>
      </x:c>
      <x:c r="D2458" s="21" t="str">
        <x:v>SYN-0702-INV-04</x:v>
      </x:c>
      <x:c r="E2458" s="39" t="n">
        <x:v>46246</x:v>
      </x:c>
      <x:c r="F2458" s="42" t="n">
        <x:v>120775.22</x:v>
      </x:c>
      <x:c r="G2458" s="42" t="n">
        <x:v>6038.76</x:v>
      </x:c>
      <x:c r="H2458" s="42" t="n">
        <x:v>504935.71</x:v>
      </x:c>
      <x:c r="I2458" s="39" t="n">
        <x:v>45660</x:v>
      </x:c>
    </x:row>
    <x:row r="2459">
      <x:c r="A2459" s="21" t="str">
        <x:v>SYN-0703</x:v>
      </x:c>
      <x:c r="B2459" s="21" t="str">
        <x:v>Synthetic Supplier 0703 LLC</x:v>
      </x:c>
      <x:c r="C2459" s="38" t="str">
        <x:f>"900 000 000 000 703"</x:f>
        <x:v>900 000 000 000 703</x:v>
      </x:c>
      <x:c r="D2459" s="21" t="str">
        <x:v>SYN-0703-INV-01</x:v>
      </x:c>
      <x:c r="E2459" s="39" t="n">
        <x:v>46118</x:v>
      </x:c>
      <x:c r="F2459" s="42" t="n">
        <x:v>144006.17</x:v>
      </x:c>
      <x:c r="G2459" s="42" t="n">
        <x:v>7200.31</x:v>
      </x:c>
      <x:c r="H2459" s="42" t="n">
        <x:v>576985.38</x:v>
      </x:c>
      <x:c r="I2459" s="39" t="n">
        <x:v>46057</x:v>
      </x:c>
    </x:row>
    <x:row r="2460">
      <x:c r="A2460" s="21" t="str">
        <x:v>SYN-0703</x:v>
      </x:c>
      <x:c r="B2460" s="21" t="str">
        <x:v>Synthetic Supplier 0703 LLC</x:v>
      </x:c>
      <x:c r="C2460" s="38" t="str">
        <x:f>"900 000 000 000 703"</x:f>
        <x:v>900 000 000 000 703</x:v>
      </x:c>
      <x:c r="D2460" s="21" t="str">
        <x:v>SYN-0703-INV-02</x:v>
      </x:c>
      <x:c r="E2460" s="39" t="n">
        <x:v>46165</x:v>
      </x:c>
      <x:c r="F2460" s="42" t="n">
        <x:v>132450</x:v>
      </x:c>
      <x:c r="G2460" s="42" t="n">
        <x:v>6622.5</x:v>
      </x:c>
      <x:c r="H2460" s="42" t="n">
        <x:v>576985.38</x:v>
      </x:c>
      <x:c r="I2460" s="39" t="n">
        <x:v>46057</x:v>
      </x:c>
    </x:row>
    <x:row r="2461">
      <x:c r="A2461" s="21" t="str">
        <x:v>SYN-0703</x:v>
      </x:c>
      <x:c r="B2461" s="21" t="str">
        <x:v>Synthetic Supplier 0703 LLC</x:v>
      </x:c>
      <x:c r="C2461" s="38" t="str">
        <x:f>"900 000 000 000 703"</x:f>
        <x:v>900 000 000 000 703</x:v>
      </x:c>
      <x:c r="D2461" s="21" t="str">
        <x:v>SYN-0703-INV-03</x:v>
      </x:c>
      <x:c r="E2461" s="39" t="n">
        <x:v>46212</x:v>
      </x:c>
      <x:c r="F2461" s="42" t="n">
        <x:v>155422.13</x:v>
      </x:c>
      <x:c r="G2461" s="42" t="n">
        <x:v>7771.11</x:v>
      </x:c>
      <x:c r="H2461" s="42" t="n">
        <x:v>576985.38</x:v>
      </x:c>
      <x:c r="I2461" s="39" t="n">
        <x:v>46057</x:v>
      </x:c>
    </x:row>
    <x:row r="2462">
      <x:c r="A2462" s="21" t="str">
        <x:v>SYN-0703</x:v>
      </x:c>
      <x:c r="B2462" s="21" t="str">
        <x:v>Synthetic Supplier 0703 LLC</x:v>
      </x:c>
      <x:c r="C2462" s="38" t="str">
        <x:f>"900 000 000 000 703"</x:f>
        <x:v>900 000 000 000 703</x:v>
      </x:c>
      <x:c r="D2462" s="21" t="str">
        <x:v>SYN-0703-INV-04</x:v>
      </x:c>
      <x:c r="E2462" s="39" t="n">
        <x:v>46259</x:v>
      </x:c>
      <x:c r="F2462" s="42" t="n">
        <x:v>111623.07</x:v>
      </x:c>
      <x:c r="G2462" s="42" t="n">
        <x:v>5581.15</x:v>
      </x:c>
      <x:c r="H2462" s="42" t="n">
        <x:v>576985.38</x:v>
      </x:c>
      <x:c r="I2462" s="39" t="n">
        <x:v>46057</x:v>
      </x:c>
    </x:row>
    <x:row r="2463">
      <x:c r="A2463" s="21" t="str">
        <x:v>SYN-0703</x:v>
      </x:c>
      <x:c r="B2463" s="21" t="str">
        <x:v>Synthetic Supplier 0703 LLC</x:v>
      </x:c>
      <x:c r="C2463" s="38" t="str">
        <x:f>"900 000 000 000 703"</x:f>
        <x:v>900 000 000 000 703</x:v>
      </x:c>
      <x:c r="D2463" s="21" t="str">
        <x:v>SYN-0703-INV-05</x:v>
      </x:c>
      <x:c r="E2463" s="39" t="n">
        <x:v>45946</x:v>
      </x:c>
      <x:c r="F2463" s="42" t="n">
        <x:v>97593.5</x:v>
      </x:c>
      <x:c r="G2463" s="42" t="n">
        <x:v>4879.67</x:v>
      </x:c>
      <x:c r="H2463" s="42" t="n">
        <x:v>576985.38</x:v>
      </x:c>
      <x:c r="I2463" s="39" t="n">
        <x:v>46057</x:v>
      </x:c>
    </x:row>
    <x:row r="2464">
      <x:c r="A2464" s="21" t="str">
        <x:v>SYN-0704</x:v>
      </x:c>
      <x:c r="B2464" s="21" t="str">
        <x:v>Synthetic Supplier 0704 LLC</x:v>
      </x:c>
      <x:c r="C2464" s="38" t="str">
        <x:f>"900 000 000 000 704"</x:f>
        <x:v>900 000 000 000 704</x:v>
      </x:c>
      <x:c r="D2464" s="21" t="str">
        <x:v>SYN-0704-INV-01</x:v>
      </x:c>
      <x:c r="E2464" s="39" t="n">
        <x:v>46131</x:v>
      </x:c>
      <x:c r="F2464" s="42" t="n">
        <x:v>334132.07</x:v>
      </x:c>
      <x:c r="G2464" s="42" t="n">
        <x:v>16706.6</x:v>
      </x:c>
      <x:c r="H2464" s="42" t="n">
        <x:v>473545.35</x:v>
      </x:c>
      <x:c r="I2464" s="39" t="n">
        <x:v>45721</x:v>
      </x:c>
    </x:row>
    <x:row r="2465">
      <x:c r="A2465" s="21" t="str">
        <x:v>SYN-0704</x:v>
      </x:c>
      <x:c r="B2465" s="21" t="str">
        <x:v>Synthetic Supplier 0704 LLC</x:v>
      </x:c>
      <x:c r="C2465" s="38" t="str">
        <x:f>"900 000 000 000 704"</x:f>
        <x:v>900 000 000 000 704</x:v>
      </x:c>
      <x:c r="D2465" s="21" t="str">
        <x:v>SYN-0704-INV-02</x:v>
      </x:c>
      <x:c r="E2465" s="39" t="n">
        <x:v>46178</x:v>
      </x:c>
      <x:c r="F2465" s="42" t="n">
        <x:v>192029.43</x:v>
      </x:c>
      <x:c r="G2465" s="42" t="n">
        <x:v>9601.47</x:v>
      </x:c>
      <x:c r="H2465" s="42" t="n">
        <x:v>473545.35</x:v>
      </x:c>
      <x:c r="I2465" s="39" t="n">
        <x:v>45721</x:v>
      </x:c>
    </x:row>
    <x:row r="2466">
      <x:c r="A2466" s="21" t="str">
        <x:v>SYN-0705</x:v>
      </x:c>
      <x:c r="B2466" s="21" t="str">
        <x:v>Synthetic Supplier 0705 LLC</x:v>
      </x:c>
      <x:c r="C2466" s="38" t="str">
        <x:f>"900 000 000 000 705"</x:f>
        <x:v>900 000 000 000 705</x:v>
      </x:c>
      <x:c r="D2466" s="21" t="str">
        <x:v>SYN-0705-INV-01</x:v>
      </x:c>
      <x:c r="E2466" s="39" t="n">
        <x:v>46144</x:v>
      </x:c>
      <x:c r="F2466" s="42" t="n">
        <x:v>279527.03</x:v>
      </x:c>
      <x:c r="G2466" s="42" t="n">
        <x:v>13976.35</x:v>
      </x:c>
      <x:c r="H2466" s="42" t="n">
        <x:v>602441</x:v>
      </x:c>
      <x:c r="I2466" s="39"/>
    </x:row>
    <x:row r="2467">
      <x:c r="A2467" s="21" t="str">
        <x:v>SYN-0705</x:v>
      </x:c>
      <x:c r="B2467" s="21" t="str">
        <x:v>Synthetic Supplier 0705 LLC</x:v>
      </x:c>
      <x:c r="C2467" s="38" t="str">
        <x:f>"900 000 000 000 705"</x:f>
        <x:v>900 000 000 000 705</x:v>
      </x:c>
      <x:c r="D2467" s="21" t="str">
        <x:v>SYN-0705-INV-02</x:v>
      </x:c>
      <x:c r="E2467" s="39" t="n">
        <x:v>46191</x:v>
      </x:c>
      <x:c r="F2467" s="42" t="n">
        <x:v>180172.14</x:v>
      </x:c>
      <x:c r="G2467" s="42" t="n">
        <x:v>9008.61</x:v>
      </x:c>
      <x:c r="H2467" s="42" t="n">
        <x:v>602441</x:v>
      </x:c>
      <x:c r="I2467" s="39"/>
    </x:row>
    <x:row r="2468">
      <x:c r="A2468" s="21" t="str">
        <x:v>SYN-0705</x:v>
      </x:c>
      <x:c r="B2468" s="21" t="str">
        <x:v>Synthetic Supplier 0705 LLC</x:v>
      </x:c>
      <x:c r="C2468" s="38" t="str">
        <x:f>"900 000 000 000 705"</x:f>
        <x:v>900 000 000 000 705</x:v>
      </x:c>
      <x:c r="D2468" s="21" t="str">
        <x:v>SYN-0705-INV-03</x:v>
      </x:c>
      <x:c r="E2468" s="39" t="n">
        <x:v>46238</x:v>
      </x:c>
      <x:c r="F2468" s="42" t="n">
        <x:v>209679.71</x:v>
      </x:c>
      <x:c r="G2468" s="42" t="n">
        <x:v>10483.99</x:v>
      </x:c>
      <x:c r="H2468" s="42" t="n">
        <x:v>602441</x:v>
      </x:c>
      <x:c r="I2468" s="39"/>
    </x:row>
    <x:row r="2469">
      <x:c r="A2469" s="21" t="str">
        <x:v>SYN-0706</x:v>
      </x:c>
      <x:c r="B2469" s="21" t="str">
        <x:v>Synthetic Supplier 0706 LLC</x:v>
      </x:c>
      <x:c r="C2469" s="38" t="str">
        <x:f>"900 000 000 000 706"</x:f>
        <x:v>900 000 000 000 706</x:v>
      </x:c>
      <x:c r="D2469" s="21" t="str">
        <x:v>SYN-0706-INV-01</x:v>
      </x:c>
      <x:c r="E2469" s="39" t="n">
        <x:v>46157</x:v>
      </x:c>
      <x:c r="F2469" s="42" t="n">
        <x:v>87386.01</x:v>
      </x:c>
      <x:c r="G2469" s="42" t="n">
        <x:v>4369.3</x:v>
      </x:c>
      <x:c r="H2469" s="42" t="n">
        <x:v>388193.41</x:v>
      </x:c>
      <x:c r="I2469" s="39" t="n">
        <x:v>45784</x:v>
      </x:c>
    </x:row>
    <x:row r="2470">
      <x:c r="A2470" s="21" t="str">
        <x:v>SYN-0706</x:v>
      </x:c>
      <x:c r="B2470" s="21" t="str">
        <x:v>Synthetic Supplier 0706 LLC</x:v>
      </x:c>
      <x:c r="C2470" s="38" t="str">
        <x:f>"900 000 000 000 706"</x:f>
        <x:v>900 000 000 000 706</x:v>
      </x:c>
      <x:c r="D2470" s="21" t="str">
        <x:v>SYN-0706-INV-02</x:v>
      </x:c>
      <x:c r="E2470" s="39" t="n">
        <x:v>46204</x:v>
      </x:c>
      <x:c r="F2470" s="42" t="n">
        <x:v>77242.42</x:v>
      </x:c>
      <x:c r="G2470" s="42" t="n">
        <x:v>3862.12</x:v>
      </x:c>
      <x:c r="H2470" s="42" t="n">
        <x:v>388193.41</x:v>
      </x:c>
      <x:c r="I2470" s="39" t="n">
        <x:v>45784</x:v>
      </x:c>
    </x:row>
    <x:row r="2471">
      <x:c r="A2471" s="21" t="str">
        <x:v>SYN-0706</x:v>
      </x:c>
      <x:c r="B2471" s="21" t="str">
        <x:v>Synthetic Supplier 0706 LLC</x:v>
      </x:c>
      <x:c r="C2471" s="38" t="str">
        <x:f>"900 000 000 000 706"</x:f>
        <x:v>900 000 000 000 706</x:v>
      </x:c>
      <x:c r="D2471" s="21" t="str">
        <x:v>SYN-0706-INV-03</x:v>
      </x:c>
      <x:c r="E2471" s="39" t="n">
        <x:v>46251</x:v>
      </x:c>
      <x:c r="F2471" s="42" t="n">
        <x:v>134442.12</x:v>
      </x:c>
      <x:c r="G2471" s="42" t="n">
        <x:v>6722.11</x:v>
      </x:c>
      <x:c r="H2471" s="42" t="n">
        <x:v>388193.41</x:v>
      </x:c>
      <x:c r="I2471" s="39" t="n">
        <x:v>45784</x:v>
      </x:c>
    </x:row>
    <x:row r="2472">
      <x:c r="A2472" s="21" t="str">
        <x:v>SYN-0706</x:v>
      </x:c>
      <x:c r="B2472" s="21" t="str">
        <x:v>Synthetic Supplier 0706 LLC</x:v>
      </x:c>
      <x:c r="C2472" s="38" t="str">
        <x:f>"900 000 000 000 706"</x:f>
        <x:v>900 000 000 000 706</x:v>
      </x:c>
      <x:c r="D2472" s="21" t="str">
        <x:v>SYN-0706-INV-04</x:v>
      </x:c>
      <x:c r="E2472" s="39" t="n">
        <x:v>45938</x:v>
      </x:c>
      <x:c r="F2472" s="42" t="n">
        <x:v>132255.46</x:v>
      </x:c>
      <x:c r="G2472" s="42" t="n">
        <x:v>6612.77</x:v>
      </x:c>
      <x:c r="H2472" s="42" t="n">
        <x:v>388193.41</x:v>
      </x:c>
      <x:c r="I2472" s="39" t="n">
        <x:v>45784</x:v>
      </x:c>
    </x:row>
    <x:row r="2473">
      <x:c r="A2473" s="21" t="str">
        <x:v>SYN-0707</x:v>
      </x:c>
      <x:c r="B2473" s="21" t="str">
        <x:v>Synthetic Supplier 0707 LLC</x:v>
      </x:c>
      <x:c r="C2473" s="38" t="str">
        <x:f>"900 000 000 000 707"</x:f>
        <x:v>900 000 000 000 707</x:v>
      </x:c>
      <x:c r="D2473" s="21" t="str">
        <x:v>SYN-0707-INV-01</x:v>
      </x:c>
      <x:c r="E2473" s="39" t="n">
        <x:v>46170</x:v>
      </x:c>
      <x:c r="F2473" s="42" t="n">
        <x:v>104273.24</x:v>
      </x:c>
      <x:c r="G2473" s="42" t="n">
        <x:v>5213.66</x:v>
      </x:c>
      <x:c r="H2473" s="42" t="n">
        <x:v>594261.84</x:v>
      </x:c>
      <x:c r="I2473" s="39" t="n">
        <x:v>46181</x:v>
      </x:c>
    </x:row>
    <x:row r="2474">
      <x:c r="A2474" s="21" t="str">
        <x:v>SYN-0707</x:v>
      </x:c>
      <x:c r="B2474" s="21" t="str">
        <x:v>Synthetic Supplier 0707 LLC</x:v>
      </x:c>
      <x:c r="C2474" s="38" t="str">
        <x:f>"900 000 000 000 707"</x:f>
        <x:v>900 000 000 000 707</x:v>
      </x:c>
      <x:c r="D2474" s="21" t="str">
        <x:v>SYN-0707-INV-02</x:v>
      </x:c>
      <x:c r="E2474" s="39" t="n">
        <x:v>46217</x:v>
      </x:c>
      <x:c r="F2474" s="42" t="n">
        <x:v>113368.05</x:v>
      </x:c>
      <x:c r="G2474" s="42" t="n">
        <x:v>5668.4</x:v>
      </x:c>
      <x:c r="H2474" s="42" t="n">
        <x:v>594261.84</x:v>
      </x:c>
      <x:c r="I2474" s="39" t="n">
        <x:v>46181</x:v>
      </x:c>
    </x:row>
    <x:row r="2475">
      <x:c r="A2475" s="21" t="str">
        <x:v>SYN-0707</x:v>
      </x:c>
      <x:c r="B2475" s="21" t="str">
        <x:v>Synthetic Supplier 0707 LLC</x:v>
      </x:c>
      <x:c r="C2475" s="38" t="str">
        <x:f>"900 000 000 000 707"</x:f>
        <x:v>900 000 000 000 707</x:v>
      </x:c>
      <x:c r="D2475" s="21" t="str">
        <x:v>SYN-0707-INV-03</x:v>
      </x:c>
      <x:c r="E2475" s="39" t="n">
        <x:v>46264</x:v>
      </x:c>
      <x:c r="F2475" s="42" t="n">
        <x:v>121483.02</x:v>
      </x:c>
      <x:c r="G2475" s="42" t="n">
        <x:v>6074.15</x:v>
      </x:c>
      <x:c r="H2475" s="42" t="n">
        <x:v>594261.84</x:v>
      </x:c>
      <x:c r="I2475" s="39" t="n">
        <x:v>46181</x:v>
      </x:c>
    </x:row>
    <x:row r="2476">
      <x:c r="A2476" s="21" t="str">
        <x:v>SYN-0707</x:v>
      </x:c>
      <x:c r="B2476" s="21" t="str">
        <x:v>Synthetic Supplier 0707 LLC</x:v>
      </x:c>
      <x:c r="C2476" s="38" t="str">
        <x:f>"900 000 000 000 707"</x:f>
        <x:v>900 000 000 000 707</x:v>
      </x:c>
      <x:c r="D2476" s="21" t="str">
        <x:v>SYN-0707-INV-04</x:v>
      </x:c>
      <x:c r="E2476" s="39" t="n">
        <x:v>45951</x:v>
      </x:c>
      <x:c r="F2476" s="42" t="n">
        <x:v>88547.08</x:v>
      </x:c>
      <x:c r="G2476" s="42" t="n">
        <x:v>4427.35</x:v>
      </x:c>
      <x:c r="H2476" s="42" t="n">
        <x:v>594261.84</x:v>
      </x:c>
      <x:c r="I2476" s="39" t="n">
        <x:v>46181</x:v>
      </x:c>
    </x:row>
    <x:row r="2477">
      <x:c r="A2477" s="21" t="str">
        <x:v>SYN-0707</x:v>
      </x:c>
      <x:c r="B2477" s="21" t="str">
        <x:v>Synthetic Supplier 0707 LLC</x:v>
      </x:c>
      <x:c r="C2477" s="38" t="str">
        <x:f>"900 000 000 000 707"</x:f>
        <x:v>900 000 000 000 707</x:v>
      </x:c>
      <x:c r="D2477" s="21" t="str">
        <x:v>SYN-0707-INV-05</x:v>
      </x:c>
      <x:c r="E2477" s="39" t="n">
        <x:v>45998</x:v>
      </x:c>
      <x:c r="F2477" s="42" t="n">
        <x:v>89078.03</x:v>
      </x:c>
      <x:c r="G2477" s="42" t="n">
        <x:v>4453.9</x:v>
      </x:c>
      <x:c r="H2477" s="42" t="n">
        <x:v>594261.84</x:v>
      </x:c>
      <x:c r="I2477" s="39" t="n">
        <x:v>46181</x:v>
      </x:c>
    </x:row>
    <x:row r="2478">
      <x:c r="A2478" s="21" t="str">
        <x:v>SYN-0708</x:v>
      </x:c>
      <x:c r="B2478" s="21" t="str">
        <x:v>Synthetic Supplier 0708 LLC</x:v>
      </x:c>
      <x:c r="C2478" s="38" t="str">
        <x:f>"900 000 000 000 708"</x:f>
        <x:v>900 000 000 000 708</x:v>
      </x:c>
      <x:c r="D2478" s="21" t="str">
        <x:v>SYN-0708-INV-01</x:v>
      </x:c>
      <x:c r="E2478" s="39" t="n">
        <x:v>46183</x:v>
      </x:c>
      <x:c r="F2478" s="42" t="n">
        <x:v>337326.24</x:v>
      </x:c>
      <x:c r="G2478" s="42" t="n">
        <x:v>16866.31</x:v>
      </x:c>
      <x:c r="H2478" s="42" t="n">
        <x:v>599464.54</x:v>
      </x:c>
      <x:c r="I2478" s="39" t="n">
        <x:v>45847</x:v>
      </x:c>
    </x:row>
    <x:row r="2479">
      <x:c r="A2479" s="21" t="str">
        <x:v>SYN-0708</x:v>
      </x:c>
      <x:c r="B2479" s="21" t="str">
        <x:v>Synthetic Supplier 0708 LLC</x:v>
      </x:c>
      <x:c r="C2479" s="38" t="str">
        <x:f>"900 000 000 000 708"</x:f>
        <x:v>900 000 000 000 708</x:v>
      </x:c>
      <x:c r="D2479" s="21" t="str">
        <x:v>SYN-0708-INV-02</x:v>
      </x:c>
      <x:c r="E2479" s="39" t="n">
        <x:v>46230</x:v>
      </x:c>
      <x:c r="F2479" s="42" t="n">
        <x:v>328745.47</x:v>
      </x:c>
      <x:c r="G2479" s="42" t="n">
        <x:v>16437.27</x:v>
      </x:c>
      <x:c r="H2479" s="42" t="n">
        <x:v>599464.54</x:v>
      </x:c>
      <x:c r="I2479" s="39" t="n">
        <x:v>45847</x:v>
      </x:c>
    </x:row>
    <x:row r="2480">
      <x:c r="A2480" s="21" t="str">
        <x:v>SYN-0709</x:v>
      </x:c>
      <x:c r="B2480" s="21" t="str">
        <x:v>Synthetic Supplier 0709 LLC</x:v>
      </x:c>
      <x:c r="C2480" s="38" t="str">
        <x:f>"900 000 000 000 709"</x:f>
        <x:v>900 000 000 000 709</x:v>
      </x:c>
      <x:c r="D2480" s="21" t="str">
        <x:v>SYN-0709-INV-01</x:v>
      </x:c>
      <x:c r="E2480" s="39" t="n">
        <x:v>46196</x:v>
      </x:c>
      <x:c r="F2480" s="42" t="n">
        <x:v>144932.71</x:v>
      </x:c>
      <x:c r="G2480" s="42" t="n">
        <x:v>7246.64</x:v>
      </x:c>
      <x:c r="H2480" s="42" t="n">
        <x:v>465217.27</x:v>
      </x:c>
      <x:c r="I2480" s="39" t="n">
        <x:v>46244</x:v>
      </x:c>
    </x:row>
    <x:row r="2481">
      <x:c r="A2481" s="21" t="str">
        <x:v>SYN-0709</x:v>
      </x:c>
      <x:c r="B2481" s="21" t="str">
        <x:v>Synthetic Supplier 0709 LLC</x:v>
      </x:c>
      <x:c r="C2481" s="38" t="str">
        <x:f>"900 000 000 000 709"</x:f>
        <x:v>900 000 000 000 709</x:v>
      </x:c>
      <x:c r="D2481" s="21" t="str">
        <x:v>SYN-0709-INV-02</x:v>
      </x:c>
      <x:c r="E2481" s="39" t="n">
        <x:v>46243</x:v>
      </x:c>
      <x:c r="F2481" s="42" t="n">
        <x:v>216952.73</x:v>
      </x:c>
      <x:c r="G2481" s="42" t="n">
        <x:v>10847.64</x:v>
      </x:c>
      <x:c r="H2481" s="42" t="n">
        <x:v>465217.27</x:v>
      </x:c>
      <x:c r="I2481" s="39" t="n">
        <x:v>46244</x:v>
      </x:c>
    </x:row>
    <x:row r="2482">
      <x:c r="A2482" s="21" t="str">
        <x:v>SYN-0709</x:v>
      </x:c>
      <x:c r="B2482" s="21" t="str">
        <x:v>Synthetic Supplier 0709 LLC</x:v>
      </x:c>
      <x:c r="C2482" s="38" t="str">
        <x:f>"900 000 000 000 709"</x:f>
        <x:v>900 000 000 000 709</x:v>
      </x:c>
      <x:c r="D2482" s="21" t="str">
        <x:v>SYN-0709-INV-03</x:v>
      </x:c>
      <x:c r="E2482" s="39" t="n">
        <x:v>46290</x:v>
      </x:c>
      <x:c r="F2482" s="42" t="n">
        <x:v>155022.64</x:v>
      </x:c>
      <x:c r="G2482" s="42" t="n">
        <x:v>7751.13</x:v>
      </x:c>
      <x:c r="H2482" s="42" t="n">
        <x:v>465217.27</x:v>
      </x:c>
      <x:c r="I2482" s="39" t="n">
        <x:v>46244</x:v>
      </x:c>
    </x:row>
    <x:row r="2483">
      <x:c r="A2483" s="21" t="str">
        <x:v>SYN-0710</x:v>
      </x:c>
      <x:c r="B2483" s="21" t="str">
        <x:v>Synthetic Supplier 0710 LLC</x:v>
      </x:c>
      <x:c r="C2483" s="38" t="str">
        <x:f>"900 000 000 000 710"</x:f>
        <x:v>900 000 000 000 710</x:v>
      </x:c>
      <x:c r="D2483" s="21" t="str">
        <x:v>SYN-0710-INV-01</x:v>
      </x:c>
      <x:c r="E2483" s="39" t="n">
        <x:v>46209</x:v>
      </x:c>
      <x:c r="F2483" s="42" t="n">
        <x:v>121103.1</x:v>
      </x:c>
      <x:c r="G2483" s="42" t="n">
        <x:v>6055.16</x:v>
      </x:c>
      <x:c r="H2483" s="42" t="n">
        <x:v>363618.35</x:v>
      </x:c>
      <x:c r="I2483" s="39"/>
    </x:row>
    <x:row r="2484">
      <x:c r="A2484" s="21" t="str">
        <x:v>SYN-0710</x:v>
      </x:c>
      <x:c r="B2484" s="21" t="str">
        <x:v>Synthetic Supplier 0710 LLC</x:v>
      </x:c>
      <x:c r="C2484" s="38" t="str">
        <x:f>"900 000 000 000 710"</x:f>
        <x:v>900 000 000 000 710</x:v>
      </x:c>
      <x:c r="D2484" s="21" t="str">
        <x:v>SYN-0710-INV-02</x:v>
      </x:c>
      <x:c r="E2484" s="39" t="n">
        <x:v>46256</x:v>
      </x:c>
      <x:c r="F2484" s="42" t="n">
        <x:v>69330.39</x:v>
      </x:c>
      <x:c r="G2484" s="42" t="n">
        <x:v>3466.52</x:v>
      </x:c>
      <x:c r="H2484" s="42" t="n">
        <x:v>363618.35</x:v>
      </x:c>
      <x:c r="I2484" s="39"/>
    </x:row>
    <x:row r="2485">
      <x:c r="A2485" s="21" t="str">
        <x:v>SYN-0710</x:v>
      </x:c>
      <x:c r="B2485" s="21" t="str">
        <x:v>Synthetic Supplier 0710 LLC</x:v>
      </x:c>
      <x:c r="C2485" s="38" t="str">
        <x:f>"900 000 000 000 710"</x:f>
        <x:v>900 000 000 000 710</x:v>
      </x:c>
      <x:c r="D2485" s="21" t="str">
        <x:v>SYN-0710-INV-03</x:v>
      </x:c>
      <x:c r="E2485" s="39" t="n">
        <x:v>45943</x:v>
      </x:c>
      <x:c r="F2485" s="42" t="n">
        <x:v>100211.53</x:v>
      </x:c>
      <x:c r="G2485" s="42" t="n">
        <x:v>5010.58</x:v>
      </x:c>
      <x:c r="H2485" s="42" t="n">
        <x:v>363618.35</x:v>
      </x:c>
      <x:c r="I2485" s="39"/>
    </x:row>
    <x:row r="2486">
      <x:c r="A2486" s="21" t="str">
        <x:v>SYN-0710</x:v>
      </x:c>
      <x:c r="B2486" s="21" t="str">
        <x:v>Synthetic Supplier 0710 LLC</x:v>
      </x:c>
      <x:c r="C2486" s="38" t="str">
        <x:f>"900 000 000 000 710"</x:f>
        <x:v>900 000 000 000 710</x:v>
      </x:c>
      <x:c r="D2486" s="21" t="str">
        <x:v>SYN-0710-INV-04</x:v>
      </x:c>
      <x:c r="E2486" s="39" t="n">
        <x:v>45990</x:v>
      </x:c>
      <x:c r="F2486" s="42" t="n">
        <x:v>113375.37</x:v>
      </x:c>
      <x:c r="G2486" s="42" t="n">
        <x:v>5668.77</x:v>
      </x:c>
      <x:c r="H2486" s="42" t="n">
        <x:v>363618.35</x:v>
      </x:c>
      <x:c r="I2486" s="39"/>
    </x:row>
    <x:row r="2487">
      <x:c r="A2487" s="21" t="str">
        <x:v>SYN-0711</x:v>
      </x:c>
      <x:c r="B2487" s="21" t="str">
        <x:v>Synthetic Supplier 0711 LLC</x:v>
      </x:c>
      <x:c r="C2487" s="38" t="str">
        <x:f>"900 000 000 000 711"</x:f>
        <x:v>900 000 000 000 711</x:v>
      </x:c>
      <x:c r="D2487" s="21" t="str">
        <x:v>SYN-0711-INV-01</x:v>
      </x:c>
      <x:c r="E2487" s="39" t="n">
        <x:v>46222</x:v>
      </x:c>
      <x:c r="F2487" s="42" t="n">
        <x:v>118570.42</x:v>
      </x:c>
      <x:c r="G2487" s="42" t="n">
        <x:v>5928.52</x:v>
      </x:c>
      <x:c r="H2487" s="42" t="n">
        <x:v>682617.5</x:v>
      </x:c>
      <x:c r="I2487" s="39" t="n">
        <x:v>46034</x:v>
      </x:c>
    </x:row>
    <x:row r="2488">
      <x:c r="A2488" s="21" t="str">
        <x:v>SYN-0711</x:v>
      </x:c>
      <x:c r="B2488" s="21" t="str">
        <x:v>Synthetic Supplier 0711 LLC</x:v>
      </x:c>
      <x:c r="C2488" s="38" t="str">
        <x:f>"900 000 000 000 711"</x:f>
        <x:v>900 000 000 000 711</x:v>
      </x:c>
      <x:c r="D2488" s="21" t="str">
        <x:v>SYN-0711-INV-02</x:v>
      </x:c>
      <x:c r="E2488" s="39" t="n">
        <x:v>46269</x:v>
      </x:c>
      <x:c r="F2488" s="42" t="n">
        <x:v>147544.68</x:v>
      </x:c>
      <x:c r="G2488" s="42" t="n">
        <x:v>7377.23</x:v>
      </x:c>
      <x:c r="H2488" s="42" t="n">
        <x:v>682617.5</x:v>
      </x:c>
      <x:c r="I2488" s="39" t="n">
        <x:v>46034</x:v>
      </x:c>
    </x:row>
    <x:row r="2489">
      <x:c r="A2489" s="21" t="str">
        <x:v>SYN-0711</x:v>
      </x:c>
      <x:c r="B2489" s="21" t="str">
        <x:v>Synthetic Supplier 0711 LLC</x:v>
      </x:c>
      <x:c r="C2489" s="38" t="str">
        <x:f>"900 000 000 000 711"</x:f>
        <x:v>900 000 000 000 711</x:v>
      </x:c>
      <x:c r="D2489" s="21" t="str">
        <x:v>SYN-0711-INV-03</x:v>
      </x:c>
      <x:c r="E2489" s="39" t="n">
        <x:v>45956</x:v>
      </x:c>
      <x:c r="F2489" s="42" t="n">
        <x:v>139861.49</x:v>
      </x:c>
      <x:c r="G2489" s="42" t="n">
        <x:v>6993.07</x:v>
      </x:c>
      <x:c r="H2489" s="42" t="n">
        <x:v>682617.5</x:v>
      </x:c>
      <x:c r="I2489" s="39" t="n">
        <x:v>46034</x:v>
      </x:c>
    </x:row>
    <x:row r="2490">
      <x:c r="A2490" s="21" t="str">
        <x:v>SYN-0711</x:v>
      </x:c>
      <x:c r="B2490" s="21" t="str">
        <x:v>Synthetic Supplier 0711 LLC</x:v>
      </x:c>
      <x:c r="C2490" s="38" t="str">
        <x:f>"900 000 000 000 711"</x:f>
        <x:v>900 000 000 000 711</x:v>
      </x:c>
      <x:c r="D2490" s="21" t="str">
        <x:v>SYN-0711-INV-04</x:v>
      </x:c>
      <x:c r="E2490" s="39" t="n">
        <x:v>46003</x:v>
      </x:c>
      <x:c r="F2490" s="42" t="n">
        <x:v>178299.38</x:v>
      </x:c>
      <x:c r="G2490" s="42" t="n">
        <x:v>8914.97</x:v>
      </x:c>
      <x:c r="H2490" s="42" t="n">
        <x:v>682617.5</x:v>
      </x:c>
      <x:c r="I2490" s="39" t="n">
        <x:v>46034</x:v>
      </x:c>
    </x:row>
    <x:row r="2491">
      <x:c r="A2491" s="21" t="str">
        <x:v>SYN-0711</x:v>
      </x:c>
      <x:c r="B2491" s="21" t="str">
        <x:v>Synthetic Supplier 0711 LLC</x:v>
      </x:c>
      <x:c r="C2491" s="38" t="str">
        <x:f>"900 000 000 000 711"</x:f>
        <x:v>900 000 000 000 711</x:v>
      </x:c>
      <x:c r="D2491" s="21" t="str">
        <x:v>SYN-0711-INV-05</x:v>
      </x:c>
      <x:c r="E2491" s="39" t="n">
        <x:v>46050</x:v>
      </x:c>
      <x:c r="F2491" s="42" t="n">
        <x:v>174187.92</x:v>
      </x:c>
      <x:c r="G2491" s="42" t="n">
        <x:v>8709.4</x:v>
      </x:c>
      <x:c r="H2491" s="42" t="n">
        <x:v>682617.5</x:v>
      </x:c>
      <x:c r="I2491" s="39" t="n">
        <x:v>46034</x:v>
      </x:c>
    </x:row>
    <x:row r="2492">
      <x:c r="A2492" s="21" t="str">
        <x:v>SYN-0712</x:v>
      </x:c>
      <x:c r="B2492" s="21" t="str">
        <x:v>Synthetic Supplier 0712 LLC</x:v>
      </x:c>
      <x:c r="C2492" s="38" t="str">
        <x:f>"900 000 000 000 712"</x:f>
        <x:v>900 000 000 000 712</x:v>
      </x:c>
      <x:c r="D2492" s="21" t="str">
        <x:v>SYN-0712-INV-01</x:v>
      </x:c>
      <x:c r="E2492" s="39" t="n">
        <x:v>46235</x:v>
      </x:c>
      <x:c r="F2492" s="42" t="n">
        <x:v>316934.45</x:v>
      </x:c>
      <x:c r="G2492" s="42" t="n">
        <x:v>15846.72</x:v>
      </x:c>
      <x:c r="H2492" s="42" t="n">
        <x:v>712087.91</x:v>
      </x:c>
      <x:c r="I2492" s="39" t="n">
        <x:v>45701</x:v>
      </x:c>
    </x:row>
    <x:row r="2493">
      <x:c r="A2493" s="21" t="str">
        <x:v>SYN-0712</x:v>
      </x:c>
      <x:c r="B2493" s="21" t="str">
        <x:v>Synthetic Supplier 0712 LLC</x:v>
      </x:c>
      <x:c r="C2493" s="38" t="str">
        <x:f>"900 000 000 000 712"</x:f>
        <x:v>900 000 000 000 712</x:v>
      </x:c>
      <x:c r="D2493" s="21" t="str">
        <x:v>SYN-0712-INV-02</x:v>
      </x:c>
      <x:c r="E2493" s="39" t="n">
        <x:v>46282</x:v>
      </x:c>
      <x:c r="F2493" s="42" t="n">
        <x:v>474274.34</x:v>
      </x:c>
      <x:c r="G2493" s="42" t="n">
        <x:v>23713.72</x:v>
      </x:c>
      <x:c r="H2493" s="42" t="n">
        <x:v>712087.91</x:v>
      </x:c>
      <x:c r="I2493" s="39" t="n">
        <x:v>45701</x:v>
      </x:c>
    </x:row>
    <x:row r="2494">
      <x:c r="A2494" s="21" t="str">
        <x:v>SYN-0713</x:v>
      </x:c>
      <x:c r="B2494" s="21" t="str">
        <x:v>Synthetic Supplier 0713 LLC</x:v>
      </x:c>
      <x:c r="C2494" s="38" t="str">
        <x:f>"900 000 000 000 713"</x:f>
        <x:v>900 000 000 000 713</x:v>
      </x:c>
      <x:c r="D2494" s="21" t="str">
        <x:v>SYN-0713-INV-01</x:v>
      </x:c>
      <x:c r="E2494" s="39" t="n">
        <x:v>46248</x:v>
      </x:c>
      <x:c r="F2494" s="42" t="n">
        <x:v>122589.01</x:v>
      </x:c>
      <x:c r="G2494" s="42" t="n">
        <x:v>6129.45</x:v>
      </x:c>
      <x:c r="H2494" s="42" t="n">
        <x:v>441547.01</x:v>
      </x:c>
      <x:c r="I2494" s="39" t="n">
        <x:v>46095</x:v>
      </x:c>
    </x:row>
    <x:row r="2495">
      <x:c r="A2495" s="21" t="str">
        <x:v>SYN-0713</x:v>
      </x:c>
      <x:c r="B2495" s="21" t="str">
        <x:v>Synthetic Supplier 0713 LLC</x:v>
      </x:c>
      <x:c r="C2495" s="38" t="str">
        <x:f>"900 000 000 000 713"</x:f>
        <x:v>900 000 000 000 713</x:v>
      </x:c>
      <x:c r="D2495" s="21" t="str">
        <x:v>SYN-0713-INV-02</x:v>
      </x:c>
      <x:c r="E2495" s="39" t="n">
        <x:v>45935</x:v>
      </x:c>
      <x:c r="F2495" s="42" t="n">
        <x:v>146011.25</x:v>
      </x:c>
      <x:c r="G2495" s="42" t="n">
        <x:v>7300.56</x:v>
      </x:c>
      <x:c r="H2495" s="42" t="n">
        <x:v>441547.01</x:v>
      </x:c>
      <x:c r="I2495" s="39" t="n">
        <x:v>46095</x:v>
      </x:c>
    </x:row>
    <x:row r="2496">
      <x:c r="A2496" s="21" t="str">
        <x:v>SYN-0713</x:v>
      </x:c>
      <x:c r="B2496" s="21" t="str">
        <x:v>Synthetic Supplier 0713 LLC</x:v>
      </x:c>
      <x:c r="C2496" s="38" t="str">
        <x:f>"900 000 000 000 713"</x:f>
        <x:v>900 000 000 000 713</x:v>
      </x:c>
      <x:c r="D2496" s="21" t="str">
        <x:v>SYN-0713-INV-03</x:v>
      </x:c>
      <x:c r="E2496" s="39" t="n">
        <x:v>45982</x:v>
      </x:c>
      <x:c r="F2496" s="42" t="n">
        <x:v>222007.52</x:v>
      </x:c>
      <x:c r="G2496" s="42" t="n">
        <x:v>11100.38</x:v>
      </x:c>
      <x:c r="H2496" s="42" t="n">
        <x:v>441547.01</x:v>
      </x:c>
      <x:c r="I2496" s="39" t="n">
        <x:v>46095</x:v>
      </x:c>
    </x:row>
    <x:row r="2497">
      <x:c r="A2497" s="21" t="str">
        <x:v>SYN-0714</x:v>
      </x:c>
      <x:c r="B2497" s="21" t="str">
        <x:v>Synthetic Supplier 0714 LLC</x:v>
      </x:c>
      <x:c r="C2497" s="38" t="str">
        <x:f>"900 000 000 000 714"</x:f>
        <x:v>900 000 000 000 714</x:v>
      </x:c>
      <x:c r="D2497" s="21" t="str">
        <x:v>SYN-0714-INV-01</x:v>
      </x:c>
      <x:c r="E2497" s="39" t="n">
        <x:v>46261</x:v>
      </x:c>
      <x:c r="F2497" s="42" t="n">
        <x:v>109204.01</x:v>
      </x:c>
      <x:c r="G2497" s="42" t="n">
        <x:v>5460.2</x:v>
      </x:c>
      <x:c r="H2497" s="42" t="n">
        <x:v>488941.95</x:v>
      </x:c>
      <x:c r="I2497" s="39" t="n">
        <x:v>45762</x:v>
      </x:c>
    </x:row>
    <x:row r="2498">
      <x:c r="A2498" s="21" t="str">
        <x:v>SYN-0714</x:v>
      </x:c>
      <x:c r="B2498" s="21" t="str">
        <x:v>Synthetic Supplier 0714 LLC</x:v>
      </x:c>
      <x:c r="C2498" s="38" t="str">
        <x:f>"900 000 000 000 714"</x:f>
        <x:v>900 000 000 000 714</x:v>
      </x:c>
      <x:c r="D2498" s="21" t="str">
        <x:v>SYN-0714-INV-02</x:v>
      </x:c>
      <x:c r="E2498" s="39" t="n">
        <x:v>45948</x:v>
      </x:c>
      <x:c r="F2498" s="42" t="n">
        <x:v>86429.73</x:v>
      </x:c>
      <x:c r="G2498" s="42" t="n">
        <x:v>4321.49</x:v>
      </x:c>
      <x:c r="H2498" s="42" t="n">
        <x:v>488941.95</x:v>
      </x:c>
      <x:c r="I2498" s="39" t="n">
        <x:v>45762</x:v>
      </x:c>
    </x:row>
    <x:row r="2499">
      <x:c r="A2499" s="21" t="str">
        <x:v>SYN-0714</x:v>
      </x:c>
      <x:c r="B2499" s="21" t="str">
        <x:v>Synthetic Supplier 0714 LLC</x:v>
      </x:c>
      <x:c r="C2499" s="38" t="str">
        <x:f>"900 000 000 000 714"</x:f>
        <x:v>900 000 000 000 714</x:v>
      </x:c>
      <x:c r="D2499" s="21" t="str">
        <x:v>SYN-0714-INV-03</x:v>
      </x:c>
      <x:c r="E2499" s="39" t="n">
        <x:v>45995</x:v>
      </x:c>
      <x:c r="F2499" s="42" t="n">
        <x:v>97634.12</x:v>
      </x:c>
      <x:c r="G2499" s="42" t="n">
        <x:v>4881.71</x:v>
      </x:c>
      <x:c r="H2499" s="42" t="n">
        <x:v>488941.95</x:v>
      </x:c>
      <x:c r="I2499" s="39" t="n">
        <x:v>45762</x:v>
      </x:c>
    </x:row>
    <x:row r="2500">
      <x:c r="A2500" s="21" t="str">
        <x:v>SYN-0714</x:v>
      </x:c>
      <x:c r="B2500" s="21" t="str">
        <x:v>Synthetic Supplier 0714 LLC</x:v>
      </x:c>
      <x:c r="C2500" s="38" t="str">
        <x:f>"900 000 000 000 714"</x:f>
        <x:v>900 000 000 000 714</x:v>
      </x:c>
      <x:c r="D2500" s="21" t="str">
        <x:v>SYN-0714-INV-04</x:v>
      </x:c>
      <x:c r="E2500" s="39" t="n">
        <x:v>46042</x:v>
      </x:c>
      <x:c r="F2500" s="42" t="n">
        <x:v>131899.04</x:v>
      </x:c>
      <x:c r="G2500" s="42" t="n">
        <x:v>6594.95</x:v>
      </x:c>
      <x:c r="H2500" s="42" t="n">
        <x:v>488941.95</x:v>
      </x:c>
      <x:c r="I2500" s="39" t="n">
        <x:v>45762</x:v>
      </x:c>
    </x:row>
    <x:row r="2501">
      <x:c r="A2501" s="21" t="str">
        <x:v>SYN-0715</x:v>
      </x:c>
      <x:c r="B2501" s="21" t="str">
        <x:v>Synthetic Supplier 0715 LLC</x:v>
      </x:c>
      <x:c r="C2501" s="38" t="str">
        <x:f>"900 000 000 000 715"</x:f>
        <x:v>900 000 000 000 715</x:v>
      </x:c>
      <x:c r="D2501" s="21" t="str">
        <x:v>SYN-0715-INV-01</x:v>
      </x:c>
      <x:c r="E2501" s="39" t="n">
        <x:v>46274</x:v>
      </x:c>
      <x:c r="F2501" s="42" t="n">
        <x:v>122118.94</x:v>
      </x:c>
      <x:c r="G2501" s="42" t="n">
        <x:v>6105.95</x:v>
      </x:c>
      <x:c r="H2501" s="42" t="n">
        <x:v>647551.6</x:v>
      </x:c>
      <x:c r="I2501" s="39"/>
    </x:row>
    <x:row r="2502">
      <x:c r="A2502" s="21" t="str">
        <x:v>SYN-0715</x:v>
      </x:c>
      <x:c r="B2502" s="21" t="str">
        <x:v>Synthetic Supplier 0715 LLC</x:v>
      </x:c>
      <x:c r="C2502" s="38" t="str">
        <x:f>"900 000 000 000 715"</x:f>
        <x:v>900 000 000 000 715</x:v>
      </x:c>
      <x:c r="D2502" s="21" t="str">
        <x:v>SYN-0715-INV-02</x:v>
      </x:c>
      <x:c r="E2502" s="39" t="n">
        <x:v>45961</x:v>
      </x:c>
      <x:c r="F2502" s="42" t="n">
        <x:v>142542.68</x:v>
      </x:c>
      <x:c r="G2502" s="42" t="n">
        <x:v>7127.13</x:v>
      </x:c>
      <x:c r="H2502" s="42" t="n">
        <x:v>647551.6</x:v>
      </x:c>
      <x:c r="I2502" s="39"/>
    </x:row>
    <x:row r="2503">
      <x:c r="A2503" s="21" t="str">
        <x:v>SYN-0715</x:v>
      </x:c>
      <x:c r="B2503" s="21" t="str">
        <x:v>Synthetic Supplier 0715 LLC</x:v>
      </x:c>
      <x:c r="C2503" s="38" t="str">
        <x:f>"900 000 000 000 715"</x:f>
        <x:v>900 000 000 000 715</x:v>
      </x:c>
      <x:c r="D2503" s="21" t="str">
        <x:v>SYN-0715-INV-03</x:v>
      </x:c>
      <x:c r="E2503" s="39" t="n">
        <x:v>46008</x:v>
      </x:c>
      <x:c r="F2503" s="42" t="n">
        <x:v>152342.79</x:v>
      </x:c>
      <x:c r="G2503" s="42" t="n">
        <x:v>7617.14</x:v>
      </x:c>
      <x:c r="H2503" s="42" t="n">
        <x:v>647551.6</x:v>
      </x:c>
      <x:c r="I2503" s="39"/>
    </x:row>
    <x:row r="2504">
      <x:c r="A2504" s="21" t="str">
        <x:v>SYN-0715</x:v>
      </x:c>
      <x:c r="B2504" s="21" t="str">
        <x:v>Synthetic Supplier 0715 LLC</x:v>
      </x:c>
      <x:c r="C2504" s="38" t="str">
        <x:f>"900 000 000 000 715"</x:f>
        <x:v>900 000 000 000 715</x:v>
      </x:c>
      <x:c r="D2504" s="21" t="str">
        <x:v>SYN-0715-INV-04</x:v>
      </x:c>
      <x:c r="E2504" s="39" t="n">
        <x:v>46055</x:v>
      </x:c>
      <x:c r="F2504" s="42" t="n">
        <x:v>127289.46</x:v>
      </x:c>
      <x:c r="G2504" s="42" t="n">
        <x:v>6364.47</x:v>
      </x:c>
      <x:c r="H2504" s="42" t="n">
        <x:v>647551.6</x:v>
      </x:c>
      <x:c r="I2504" s="39"/>
    </x:row>
    <x:row r="2505">
      <x:c r="A2505" s="21" t="str">
        <x:v>SYN-0715</x:v>
      </x:c>
      <x:c r="B2505" s="21" t="str">
        <x:v>Synthetic Supplier 0715 LLC</x:v>
      </x:c>
      <x:c r="C2505" s="38" t="str">
        <x:f>"900 000 000 000 715"</x:f>
        <x:v>900 000 000 000 715</x:v>
      </x:c>
      <x:c r="D2505" s="21" t="str">
        <x:v>SYN-0715-INV-05</x:v>
      </x:c>
      <x:c r="E2505" s="39" t="n">
        <x:v>46102</x:v>
      </x:c>
      <x:c r="F2505" s="42" t="n">
        <x:v>175207.9</x:v>
      </x:c>
      <x:c r="G2505" s="42" t="n">
        <x:v>8760.39</x:v>
      </x:c>
      <x:c r="H2505" s="42" t="n">
        <x:v>647551.6</x:v>
      </x:c>
      <x:c r="I2505" s="39"/>
    </x:row>
    <x:row r="2506">
      <x:c r="A2506" s="21" t="str">
        <x:v>SYN-0716</x:v>
      </x:c>
      <x:c r="B2506" s="21" t="str">
        <x:v>Synthetic Supplier 0716 LLC</x:v>
      </x:c>
      <x:c r="C2506" s="38" t="str">
        <x:f>"900 000 000 000 716"</x:f>
        <x:v>900 000 000 000 716</x:v>
      </x:c>
      <x:c r="D2506" s="21" t="str">
        <x:v>SYN-0716-INV-01</x:v>
      </x:c>
      <x:c r="E2506" s="39" t="n">
        <x:v>46287</x:v>
      </x:c>
      <x:c r="F2506" s="42" t="n">
        <x:v>486482.63</x:v>
      </x:c>
      <x:c r="G2506" s="42" t="n">
        <x:v>24324.13</x:v>
      </x:c>
      <x:c r="H2506" s="42" t="n">
        <x:v>709440.81</x:v>
      </x:c>
      <x:c r="I2506" s="39" t="n">
        <x:v>45825</x:v>
      </x:c>
    </x:row>
    <x:row r="2507">
      <x:c r="A2507" s="21" t="str">
        <x:v>SYN-0716</x:v>
      </x:c>
      <x:c r="B2507" s="21" t="str">
        <x:v>Synthetic Supplier 0716 LLC</x:v>
      </x:c>
      <x:c r="C2507" s="38" t="str">
        <x:f>"900 000 000 000 716"</x:f>
        <x:v>900 000 000 000 716</x:v>
      </x:c>
      <x:c r="D2507" s="21" t="str">
        <x:v>SYN-0716-INV-02</x:v>
      </x:c>
      <x:c r="E2507" s="39" t="n">
        <x:v>45974</x:v>
      </x:c>
      <x:c r="F2507" s="42" t="n">
        <x:v>301784.93</x:v>
      </x:c>
      <x:c r="G2507" s="42" t="n">
        <x:v>15089.25</x:v>
      </x:c>
      <x:c r="H2507" s="42" t="n">
        <x:v>709440.81</x:v>
      </x:c>
      <x:c r="I2507" s="39" t="n">
        <x:v>45825</x:v>
      </x:c>
    </x:row>
    <x:row r="2508">
      <x:c r="A2508" s="21" t="str">
        <x:v>SYN-0717</x:v>
      </x:c>
      <x:c r="B2508" s="21" t="str">
        <x:v>Synthetic Supplier 0717 LLC</x:v>
      </x:c>
      <x:c r="C2508" s="38" t="str">
        <x:f>"900 000 000 000 717"</x:f>
        <x:v>900 000 000 000 717</x:v>
      </x:c>
      <x:c r="D2508" s="21" t="str">
        <x:v>SYN-0717-INV-01</x:v>
      </x:c>
      <x:c r="E2508" s="39" t="n">
        <x:v>45940</x:v>
      </x:c>
      <x:c r="F2508" s="42" t="n">
        <x:v>130601.78</x:v>
      </x:c>
      <x:c r="G2508" s="42" t="n">
        <x:v>6530.09</x:v>
      </x:c>
      <x:c r="H2508" s="42" t="n">
        <x:v>352817.66</x:v>
      </x:c>
      <x:c r="I2508" s="39" t="n">
        <x:v>46221</x:v>
      </x:c>
    </x:row>
    <x:row r="2509">
      <x:c r="A2509" s="21" t="str">
        <x:v>SYN-0717</x:v>
      </x:c>
      <x:c r="B2509" s="21" t="str">
        <x:v>Synthetic Supplier 0717 LLC</x:v>
      </x:c>
      <x:c r="C2509" s="38" t="str">
        <x:f>"900 000 000 000 717"</x:f>
        <x:v>900 000 000 000 717</x:v>
      </x:c>
      <x:c r="D2509" s="21" t="str">
        <x:v>SYN-0717-INV-02</x:v>
      </x:c>
      <x:c r="E2509" s="39" t="n">
        <x:v>45987</x:v>
      </x:c>
      <x:c r="F2509" s="42" t="n">
        <x:v>133506.73</x:v>
      </x:c>
      <x:c r="G2509" s="42" t="n">
        <x:v>6675.34</x:v>
      </x:c>
      <x:c r="H2509" s="42" t="n">
        <x:v>352817.66</x:v>
      </x:c>
      <x:c r="I2509" s="39" t="n">
        <x:v>46221</x:v>
      </x:c>
    </x:row>
    <x:row r="2510">
      <x:c r="A2510" s="21" t="str">
        <x:v>SYN-0717</x:v>
      </x:c>
      <x:c r="B2510" s="21" t="str">
        <x:v>Synthetic Supplier 0717 LLC</x:v>
      </x:c>
      <x:c r="C2510" s="38" t="str">
        <x:f>"900 000 000 000 717"</x:f>
        <x:v>900 000 000 000 717</x:v>
      </x:c>
      <x:c r="D2510" s="21" t="str">
        <x:v>SYN-0717-INV-03</x:v>
      </x:c>
      <x:c r="E2510" s="39" t="n">
        <x:v>46034</x:v>
      </x:c>
      <x:c r="F2510" s="42" t="n">
        <x:v>127911.11</x:v>
      </x:c>
      <x:c r="G2510" s="42" t="n">
        <x:v>6395.56</x:v>
      </x:c>
      <x:c r="H2510" s="42" t="n">
        <x:v>352817.66</x:v>
      </x:c>
      <x:c r="I2510" s="39" t="n">
        <x:v>46221</x:v>
      </x:c>
    </x:row>
    <x:row r="2511">
      <x:c r="A2511" s="21" t="str">
        <x:v>SYN-0718</x:v>
      </x:c>
      <x:c r="B2511" s="21" t="str">
        <x:v>Synthetic Supplier 0718 LLC</x:v>
      </x:c>
      <x:c r="C2511" s="38" t="str">
        <x:f>"900 000 000 000 718"</x:f>
        <x:v>900 000 000 000 718</x:v>
      </x:c>
      <x:c r="D2511" s="21" t="str">
        <x:v>SYN-0718-INV-01</x:v>
      </x:c>
      <x:c r="E2511" s="39" t="n">
        <x:v>45953</x:v>
      </x:c>
      <x:c r="F2511" s="42" t="n">
        <x:v>118526.91</x:v>
      </x:c>
      <x:c r="G2511" s="42" t="n">
        <x:v>5926.35</x:v>
      </x:c>
      <x:c r="H2511" s="42" t="n">
        <x:v>359305.7</x:v>
      </x:c>
      <x:c r="I2511" s="39" t="n">
        <x:v>45888</x:v>
      </x:c>
    </x:row>
    <x:row r="2512">
      <x:c r="A2512" s="21" t="str">
        <x:v>SYN-0718</x:v>
      </x:c>
      <x:c r="B2512" s="21" t="str">
        <x:v>Synthetic Supplier 0718 LLC</x:v>
      </x:c>
      <x:c r="C2512" s="38" t="str">
        <x:f>"900 000 000 000 718"</x:f>
        <x:v>900 000 000 000 718</x:v>
      </x:c>
      <x:c r="D2512" s="21" t="str">
        <x:v>SYN-0718-INV-02</x:v>
      </x:c>
      <x:c r="E2512" s="39" t="n">
        <x:v>46000</x:v>
      </x:c>
      <x:c r="F2512" s="42" t="n">
        <x:v>81282.36</x:v>
      </x:c>
      <x:c r="G2512" s="42" t="n">
        <x:v>4064.12</x:v>
      </x:c>
      <x:c r="H2512" s="42" t="n">
        <x:v>359305.7</x:v>
      </x:c>
      <x:c r="I2512" s="39" t="n">
        <x:v>45888</x:v>
      </x:c>
    </x:row>
    <x:row r="2513">
      <x:c r="A2513" s="21" t="str">
        <x:v>SYN-0718</x:v>
      </x:c>
      <x:c r="B2513" s="21" t="str">
        <x:v>Synthetic Supplier 0718 LLC</x:v>
      </x:c>
      <x:c r="C2513" s="38" t="str">
        <x:f>"900 000 000 000 718"</x:f>
        <x:v>900 000 000 000 718</x:v>
      </x:c>
      <x:c r="D2513" s="21" t="str">
        <x:v>SYN-0718-INV-03</x:v>
      </x:c>
      <x:c r="E2513" s="39" t="n">
        <x:v>46047</x:v>
      </x:c>
      <x:c r="F2513" s="42" t="n">
        <x:v>112034.78</x:v>
      </x:c>
      <x:c r="G2513" s="42" t="n">
        <x:v>5601.74</x:v>
      </x:c>
      <x:c r="H2513" s="42" t="n">
        <x:v>359305.7</x:v>
      </x:c>
      <x:c r="I2513" s="39" t="n">
        <x:v>45888</x:v>
      </x:c>
    </x:row>
    <x:row r="2514">
      <x:c r="A2514" s="21" t="str">
        <x:v>SYN-0718</x:v>
      </x:c>
      <x:c r="B2514" s="21" t="str">
        <x:v>Synthetic Supplier 0718 LLC</x:v>
      </x:c>
      <x:c r="C2514" s="38" t="str">
        <x:f>"900 000 000 000 718"</x:f>
        <x:v>900 000 000 000 718</x:v>
      </x:c>
      <x:c r="D2514" s="21" t="str">
        <x:v>SYN-0718-INV-04</x:v>
      </x:c>
      <x:c r="E2514" s="39" t="n">
        <x:v>46094</x:v>
      </x:c>
      <x:c r="F2514" s="42" t="n">
        <x:v>87384.51</x:v>
      </x:c>
      <x:c r="G2514" s="42" t="n">
        <x:v>4369.23</x:v>
      </x:c>
      <x:c r="H2514" s="42" t="n">
        <x:v>359305.7</x:v>
      </x:c>
      <x:c r="I2514" s="39" t="n">
        <x:v>45888</x:v>
      </x:c>
    </x:row>
    <x:row r="2515">
      <x:c r="A2515" s="21" t="str">
        <x:v>SYN-0719</x:v>
      </x:c>
      <x:c r="B2515" s="21" t="str">
        <x:v>Synthetic Supplier 0719 LLC</x:v>
      </x:c>
      <x:c r="C2515" s="38" t="str">
        <x:f>"900 000 000 000 719"</x:f>
        <x:v>900 000 000 000 719</x:v>
      </x:c>
      <x:c r="D2515" s="21" t="str">
        <x:v>SYN-0719-INV-01</x:v>
      </x:c>
      <x:c r="E2515" s="39" t="n">
        <x:v>45966</x:v>
      </x:c>
      <x:c r="F2515" s="42" t="n">
        <x:v>164468.53</x:v>
      </x:c>
      <x:c r="G2515" s="42" t="n">
        <x:v>8223.43</x:v>
      </x:c>
      <x:c r="H2515" s="42" t="n">
        <x:v>579692.36</x:v>
      </x:c>
      <x:c r="I2515" s="39" t="n">
        <x:v>46285</x:v>
      </x:c>
    </x:row>
    <x:row r="2516">
      <x:c r="A2516" s="21" t="str">
        <x:v>SYN-0719</x:v>
      </x:c>
      <x:c r="B2516" s="21" t="str">
        <x:v>Synthetic Supplier 0719 LLC</x:v>
      </x:c>
      <x:c r="C2516" s="38" t="str">
        <x:f>"900 000 000 000 719"</x:f>
        <x:v>900 000 000 000 719</x:v>
      </x:c>
      <x:c r="D2516" s="21" t="str">
        <x:v>SYN-0719-INV-02</x:v>
      </x:c>
      <x:c r="E2516" s="39" t="n">
        <x:v>46013</x:v>
      </x:c>
      <x:c r="F2516" s="42" t="n">
        <x:v>93410.12</x:v>
      </x:c>
      <x:c r="G2516" s="42" t="n">
        <x:v>4670.51</x:v>
      </x:c>
      <x:c r="H2516" s="42" t="n">
        <x:v>579692.36</x:v>
      </x:c>
      <x:c r="I2516" s="39" t="n">
        <x:v>46285</x:v>
      </x:c>
    </x:row>
    <x:row r="2517">
      <x:c r="A2517" s="21" t="str">
        <x:v>SYN-0719</x:v>
      </x:c>
      <x:c r="B2517" s="21" t="str">
        <x:v>Synthetic Supplier 0719 LLC</x:v>
      </x:c>
      <x:c r="C2517" s="38" t="str">
        <x:f>"900 000 000 000 719"</x:f>
        <x:v>900 000 000 000 719</x:v>
      </x:c>
      <x:c r="D2517" s="21" t="str">
        <x:v>SYN-0719-INV-03</x:v>
      </x:c>
      <x:c r="E2517" s="39" t="n">
        <x:v>46060</x:v>
      </x:c>
      <x:c r="F2517" s="42" t="n">
        <x:v>94221.18</x:v>
      </x:c>
      <x:c r="G2517" s="42" t="n">
        <x:v>4711.06</x:v>
      </x:c>
      <x:c r="H2517" s="42" t="n">
        <x:v>579692.36</x:v>
      </x:c>
      <x:c r="I2517" s="39" t="n">
        <x:v>46285</x:v>
      </x:c>
    </x:row>
    <x:row r="2518">
      <x:c r="A2518" s="21" t="str">
        <x:v>SYN-0719</x:v>
      </x:c>
      <x:c r="B2518" s="21" t="str">
        <x:v>Synthetic Supplier 0719 LLC</x:v>
      </x:c>
      <x:c r="C2518" s="38" t="str">
        <x:f>"900 000 000 000 719"</x:f>
        <x:v>900 000 000 000 719</x:v>
      </x:c>
      <x:c r="D2518" s="21" t="str">
        <x:v>SYN-0719-INV-04</x:v>
      </x:c>
      <x:c r="E2518" s="39" t="n">
        <x:v>46107</x:v>
      </x:c>
      <x:c r="F2518" s="42" t="n">
        <x:v>135930.83</x:v>
      </x:c>
      <x:c r="G2518" s="42" t="n">
        <x:v>6796.54</x:v>
      </x:c>
      <x:c r="H2518" s="42" t="n">
        <x:v>579692.36</x:v>
      </x:c>
      <x:c r="I2518" s="39" t="n">
        <x:v>46285</x:v>
      </x:c>
    </x:row>
    <x:row r="2519">
      <x:c r="A2519" s="21" t="str">
        <x:v>SYN-0719</x:v>
      </x:c>
      <x:c r="B2519" s="21" t="str">
        <x:v>Synthetic Supplier 0719 LLC</x:v>
      </x:c>
      <x:c r="C2519" s="38" t="str">
        <x:f>"900 000 000 000 719"</x:f>
        <x:v>900 000 000 000 719</x:v>
      </x:c>
      <x:c r="D2519" s="21" t="str">
        <x:v>SYN-0719-INV-05</x:v>
      </x:c>
      <x:c r="E2519" s="39" t="n">
        <x:v>46154</x:v>
      </x:c>
      <x:c r="F2519" s="42" t="n">
        <x:v>156071.97</x:v>
      </x:c>
      <x:c r="G2519" s="42" t="n">
        <x:v>7803.6</x:v>
      </x:c>
      <x:c r="H2519" s="42" t="n">
        <x:v>579692.36</x:v>
      </x:c>
      <x:c r="I2519" s="39" t="n">
        <x:v>46285</x:v>
      </x:c>
    </x:row>
    <x:row r="2520">
      <x:c r="A2520" s="21" t="str">
        <x:v>SYN-0720</x:v>
      </x:c>
      <x:c r="B2520" s="21" t="str">
        <x:v>Synthetic Supplier 0720 LLC</x:v>
      </x:c>
      <x:c r="C2520" s="38" t="str">
        <x:f>"900 000 000 000 720"</x:f>
        <x:v>900 000 000 000 720</x:v>
      </x:c>
      <x:c r="D2520" s="21" t="str">
        <x:v>SYN-0720-INV-01</x:v>
      </x:c>
      <x:c r="E2520" s="39" t="n">
        <x:v>45979</x:v>
      </x:c>
      <x:c r="F2520" s="42" t="n">
        <x:v>393320.84</x:v>
      </x:c>
      <x:c r="G2520" s="42" t="n">
        <x:v>19666.04</x:v>
      </x:c>
      <x:c r="H2520" s="42" t="n">
        <x:v>700602.34</x:v>
      </x:c>
      <x:c r="I2520" s="39"/>
    </x:row>
    <x:row r="2521">
      <x:c r="A2521" s="21" t="str">
        <x:v>SYN-0720</x:v>
      </x:c>
      <x:c r="B2521" s="21" t="str">
        <x:v>Synthetic Supplier 0720 LLC</x:v>
      </x:c>
      <x:c r="C2521" s="38" t="str">
        <x:f>"900 000 000 000 720"</x:f>
        <x:v>900 000 000 000 720</x:v>
      </x:c>
      <x:c r="D2521" s="21" t="str">
        <x:v>SYN-0720-INV-02</x:v>
      </x:c>
      <x:c r="E2521" s="39" t="n">
        <x:v>46026</x:v>
      </x:c>
      <x:c r="F2521" s="42" t="n">
        <x:v>385126.2</x:v>
      </x:c>
      <x:c r="G2521" s="42" t="n">
        <x:v>19256.31</x:v>
      </x:c>
      <x:c r="H2521" s="42" t="n">
        <x:v>700602.34</x:v>
      </x:c>
      <x:c r="I2521" s="39"/>
    </x:row>
    <x:row r="2522">
      <x:c r="A2522" s="21" t="str">
        <x:v>SYN-0721</x:v>
      </x:c>
      <x:c r="B2522" s="21" t="str">
        <x:v>Synthetic Supplier 0721 LLC</x:v>
      </x:c>
      <x:c r="C2522" s="38" t="str">
        <x:f>"900 000 000 000 721"</x:f>
        <x:v>900 000 000 000 721</x:v>
      </x:c>
      <x:c r="D2522" s="21" t="str">
        <x:v>SYN-0721-INV-01</x:v>
      </x:c>
      <x:c r="E2522" s="39" t="n">
        <x:v>45992</x:v>
      </x:c>
      <x:c r="F2522" s="42" t="n">
        <x:v>241067.17</x:v>
      </x:c>
      <x:c r="G2522" s="42" t="n">
        <x:v>12053.36</x:v>
      </x:c>
      <x:c r="H2522" s="42" t="n">
        <x:v>873645.82</x:v>
      </x:c>
      <x:c r="I2522" s="39" t="n">
        <x:v>46075</x:v>
      </x:c>
    </x:row>
    <x:row r="2523">
      <x:c r="A2523" s="21" t="str">
        <x:v>SYN-0721</x:v>
      </x:c>
      <x:c r="B2523" s="21" t="str">
        <x:v>Synthetic Supplier 0721 LLC</x:v>
      </x:c>
      <x:c r="C2523" s="38" t="str">
        <x:f>"900 000 000 000 721"</x:f>
        <x:v>900 000 000 000 721</x:v>
      </x:c>
      <x:c r="D2523" s="21" t="str">
        <x:v>SYN-0721-INV-02</x:v>
      </x:c>
      <x:c r="E2523" s="39" t="n">
        <x:v>46039</x:v>
      </x:c>
      <x:c r="F2523" s="42" t="n">
        <x:v>305014.59</x:v>
      </x:c>
      <x:c r="G2523" s="42" t="n">
        <x:v>15250.73</x:v>
      </x:c>
      <x:c r="H2523" s="42" t="n">
        <x:v>873645.82</x:v>
      </x:c>
      <x:c r="I2523" s="39" t="n">
        <x:v>46075</x:v>
      </x:c>
    </x:row>
    <x:row r="2524">
      <x:c r="A2524" s="21" t="str">
        <x:v>SYN-0721</x:v>
      </x:c>
      <x:c r="B2524" s="21" t="str">
        <x:v>Synthetic Supplier 0721 LLC</x:v>
      </x:c>
      <x:c r="C2524" s="38" t="str">
        <x:f>"900 000 000 000 721"</x:f>
        <x:v>900 000 000 000 721</x:v>
      </x:c>
      <x:c r="D2524" s="21" t="str">
        <x:v>SYN-0721-INV-03</x:v>
      </x:c>
      <x:c r="E2524" s="39" t="n">
        <x:v>46086</x:v>
      </x:c>
      <x:c r="F2524" s="42" t="n">
        <x:v>213610.26</x:v>
      </x:c>
      <x:c r="G2524" s="42" t="n">
        <x:v>10680.51</x:v>
      </x:c>
      <x:c r="H2524" s="42" t="n">
        <x:v>873645.82</x:v>
      </x:c>
      <x:c r="I2524" s="39" t="n">
        <x:v>46075</x:v>
      </x:c>
    </x:row>
    <x:row r="2525">
      <x:c r="A2525" s="21" t="str">
        <x:v>SYN-0722</x:v>
      </x:c>
      <x:c r="B2525" s="21" t="str">
        <x:v>Synthetic Supplier 0722 LLC</x:v>
      </x:c>
      <x:c r="C2525" s="38" t="str">
        <x:f>"900 000 000 000 722"</x:f>
        <x:v>900 000 000 000 722</x:v>
      </x:c>
      <x:c r="D2525" s="21" t="str">
        <x:v>SYN-0722-INV-01</x:v>
      </x:c>
      <x:c r="E2525" s="39" t="n">
        <x:v>46005</x:v>
      </x:c>
      <x:c r="F2525" s="42" t="n">
        <x:v>155969.78</x:v>
      </x:c>
      <x:c r="G2525" s="42" t="n">
        <x:v>7798.49</x:v>
      </x:c>
      <x:c r="H2525" s="42" t="n">
        <x:v>592761.63</x:v>
      </x:c>
      <x:c r="I2525" s="39" t="n">
        <x:v>45739</x:v>
      </x:c>
    </x:row>
    <x:row r="2526">
      <x:c r="A2526" s="21" t="str">
        <x:v>SYN-0722</x:v>
      </x:c>
      <x:c r="B2526" s="21" t="str">
        <x:v>Synthetic Supplier 0722 LLC</x:v>
      </x:c>
      <x:c r="C2526" s="38" t="str">
        <x:f>"900 000 000 000 722"</x:f>
        <x:v>900 000 000 000 722</x:v>
      </x:c>
      <x:c r="D2526" s="21" t="str">
        <x:v>SYN-0722-INV-02</x:v>
      </x:c>
      <x:c r="E2526" s="39" t="n">
        <x:v>46052</x:v>
      </x:c>
      <x:c r="F2526" s="42" t="n">
        <x:v>123865.03</x:v>
      </x:c>
      <x:c r="G2526" s="42" t="n">
        <x:v>6193.25</x:v>
      </x:c>
      <x:c r="H2526" s="42" t="n">
        <x:v>592761.63</x:v>
      </x:c>
      <x:c r="I2526" s="39" t="n">
        <x:v>45739</x:v>
      </x:c>
    </x:row>
    <x:row r="2527">
      <x:c r="A2527" s="21" t="str">
        <x:v>SYN-0722</x:v>
      </x:c>
      <x:c r="B2527" s="21" t="str">
        <x:v>Synthetic Supplier 0722 LLC</x:v>
      </x:c>
      <x:c r="C2527" s="38" t="str">
        <x:f>"900 000 000 000 722"</x:f>
        <x:v>900 000 000 000 722</x:v>
      </x:c>
      <x:c r="D2527" s="21" t="str">
        <x:v>SYN-0722-INV-03</x:v>
      </x:c>
      <x:c r="E2527" s="39" t="n">
        <x:v>46099</x:v>
      </x:c>
      <x:c r="F2527" s="42" t="n">
        <x:v>191029.79</x:v>
      </x:c>
      <x:c r="G2527" s="42" t="n">
        <x:v>9551.49</x:v>
      </x:c>
      <x:c r="H2527" s="42" t="n">
        <x:v>592761.63</x:v>
      </x:c>
      <x:c r="I2527" s="39" t="n">
        <x:v>45739</x:v>
      </x:c>
    </x:row>
    <x:row r="2528">
      <x:c r="A2528" s="21" t="str">
        <x:v>SYN-0722</x:v>
      </x:c>
      <x:c r="B2528" s="21" t="str">
        <x:v>Synthetic Supplier 0722 LLC</x:v>
      </x:c>
      <x:c r="C2528" s="38" t="str">
        <x:f>"900 000 000 000 722"</x:f>
        <x:v>900 000 000 000 722</x:v>
      </x:c>
      <x:c r="D2528" s="21" t="str">
        <x:v>SYN-0722-INV-04</x:v>
      </x:c>
      <x:c r="E2528" s="39" t="n">
        <x:v>46146</x:v>
      </x:c>
      <x:c r="F2528" s="42" t="n">
        <x:v>187759.43</x:v>
      </x:c>
      <x:c r="G2528" s="42" t="n">
        <x:v>9387.97</x:v>
      </x:c>
      <x:c r="H2528" s="42" t="n">
        <x:v>592761.63</x:v>
      </x:c>
      <x:c r="I2528" s="39" t="n">
        <x:v>45739</x:v>
      </x:c>
    </x:row>
    <x:row r="2529">
      <x:c r="A2529" s="21" t="str">
        <x:v>SYN-0723</x:v>
      </x:c>
      <x:c r="B2529" s="21" t="str">
        <x:v>Synthetic Supplier 0723 LLC</x:v>
      </x:c>
      <x:c r="C2529" s="38" t="str">
        <x:f>"900 000 000 000 723"</x:f>
        <x:v>900 000 000 000 723</x:v>
      </x:c>
      <x:c r="D2529" s="21" t="str">
        <x:v>SYN-0723-INV-01</x:v>
      </x:c>
      <x:c r="E2529" s="39" t="n">
        <x:v>46018</x:v>
      </x:c>
      <x:c r="F2529" s="42" t="n">
        <x:v>130268.81</x:v>
      </x:c>
      <x:c r="G2529" s="42" t="n">
        <x:v>6513.44</x:v>
      </x:c>
      <x:c r="H2529" s="42" t="n">
        <x:v>539532.73</x:v>
      </x:c>
      <x:c r="I2529" s="39" t="n">
        <x:v>46136</x:v>
      </x:c>
    </x:row>
    <x:row r="2530">
      <x:c r="A2530" s="21" t="str">
        <x:v>SYN-0723</x:v>
      </x:c>
      <x:c r="B2530" s="21" t="str">
        <x:v>Synthetic Supplier 0723 LLC</x:v>
      </x:c>
      <x:c r="C2530" s="38" t="str">
        <x:f>"900 000 000 000 723"</x:f>
        <x:v>900 000 000 000 723</x:v>
      </x:c>
      <x:c r="D2530" s="21" t="str">
        <x:v>SYN-0723-INV-02</x:v>
      </x:c>
      <x:c r="E2530" s="39" t="n">
        <x:v>46065</x:v>
      </x:c>
      <x:c r="F2530" s="42" t="n">
        <x:v>90073.32</x:v>
      </x:c>
      <x:c r="G2530" s="42" t="n">
        <x:v>4503.67</x:v>
      </x:c>
      <x:c r="H2530" s="42" t="n">
        <x:v>539532.73</x:v>
      </x:c>
      <x:c r="I2530" s="39" t="n">
        <x:v>46136</x:v>
      </x:c>
    </x:row>
    <x:row r="2531">
      <x:c r="A2531" s="21" t="str">
        <x:v>SYN-0723</x:v>
      </x:c>
      <x:c r="B2531" s="21" t="str">
        <x:v>Synthetic Supplier 0723 LLC</x:v>
      </x:c>
      <x:c r="C2531" s="38" t="str">
        <x:f>"900 000 000 000 723"</x:f>
        <x:v>900 000 000 000 723</x:v>
      </x:c>
      <x:c r="D2531" s="21" t="str">
        <x:v>SYN-0723-INV-03</x:v>
      </x:c>
      <x:c r="E2531" s="39" t="n">
        <x:v>46112</x:v>
      </x:c>
      <x:c r="F2531" s="42" t="n">
        <x:v>100754.77</x:v>
      </x:c>
      <x:c r="G2531" s="42" t="n">
        <x:v>5037.74</x:v>
      </x:c>
      <x:c r="H2531" s="42" t="n">
        <x:v>539532.73</x:v>
      </x:c>
      <x:c r="I2531" s="39" t="n">
        <x:v>46136</x:v>
      </x:c>
    </x:row>
    <x:row r="2532">
      <x:c r="A2532" s="21" t="str">
        <x:v>SYN-0723</x:v>
      </x:c>
      <x:c r="B2532" s="21" t="str">
        <x:v>Synthetic Supplier 0723 LLC</x:v>
      </x:c>
      <x:c r="C2532" s="38" t="str">
        <x:f>"900 000 000 000 723"</x:f>
        <x:v>900 000 000 000 723</x:v>
      </x:c>
      <x:c r="D2532" s="21" t="str">
        <x:v>SYN-0723-INV-04</x:v>
      </x:c>
      <x:c r="E2532" s="39" t="n">
        <x:v>46159</x:v>
      </x:c>
      <x:c r="F2532" s="42" t="n">
        <x:v>160895.59</x:v>
      </x:c>
      <x:c r="G2532" s="42" t="n">
        <x:v>8044.78</x:v>
      </x:c>
      <x:c r="H2532" s="42" t="n">
        <x:v>539532.73</x:v>
      </x:c>
      <x:c r="I2532" s="39" t="n">
        <x:v>46136</x:v>
      </x:c>
    </x:row>
    <x:row r="2533">
      <x:c r="A2533" s="21" t="str">
        <x:v>SYN-0723</x:v>
      </x:c>
      <x:c r="B2533" s="21" t="str">
        <x:v>Synthetic Supplier 0723 LLC</x:v>
      </x:c>
      <x:c r="C2533" s="38" t="str">
        <x:f>"900 000 000 000 723"</x:f>
        <x:v>900 000 000 000 723</x:v>
      </x:c>
      <x:c r="D2533" s="21" t="str">
        <x:v>SYN-0723-INV-05</x:v>
      </x:c>
      <x:c r="E2533" s="39" t="n">
        <x:v>46206</x:v>
      </x:c>
      <x:c r="F2533" s="42" t="n">
        <x:v>117488.31</x:v>
      </x:c>
      <x:c r="G2533" s="42" t="n">
        <x:v>5874.42</x:v>
      </x:c>
      <x:c r="H2533" s="42" t="n">
        <x:v>539532.73</x:v>
      </x:c>
      <x:c r="I2533" s="39" t="n">
        <x:v>46136</x:v>
      </x:c>
    </x:row>
    <x:row r="2534">
      <x:c r="A2534" s="21" t="str">
        <x:v>SYN-0724</x:v>
      </x:c>
      <x:c r="B2534" s="21" t="str">
        <x:v>Synthetic Supplier 0724 LLC</x:v>
      </x:c>
      <x:c r="C2534" s="38" t="str">
        <x:f>"900 000 000 000 724"</x:f>
        <x:v>900 000 000 000 724</x:v>
      </x:c>
      <x:c r="D2534" s="21" t="str">
        <x:v>SYN-0724-INV-01</x:v>
      </x:c>
      <x:c r="E2534" s="39" t="n">
        <x:v>46031</x:v>
      </x:c>
      <x:c r="F2534" s="42" t="n">
        <x:v>297048.62</x:v>
      </x:c>
      <x:c r="G2534" s="42" t="n">
        <x:v>14852.43</x:v>
      </x:c>
      <x:c r="H2534" s="42" t="n">
        <x:v>496880.26</x:v>
      </x:c>
      <x:c r="I2534" s="39" t="n">
        <x:v>45802</x:v>
      </x:c>
    </x:row>
    <x:row r="2535">
      <x:c r="A2535" s="21" t="str">
        <x:v>SYN-0724</x:v>
      </x:c>
      <x:c r="B2535" s="21" t="str">
        <x:v>Synthetic Supplier 0724 LLC</x:v>
      </x:c>
      <x:c r="C2535" s="38" t="str">
        <x:f>"900 000 000 000 724"</x:f>
        <x:v>900 000 000 000 724</x:v>
      </x:c>
      <x:c r="D2535" s="21" t="str">
        <x:v>SYN-0724-INV-02</x:v>
      </x:c>
      <x:c r="E2535" s="39" t="n">
        <x:v>46078</x:v>
      </x:c>
      <x:c r="F2535" s="42" t="n">
        <x:v>255040.56</x:v>
      </x:c>
      <x:c r="G2535" s="42" t="n">
        <x:v>12752.03</x:v>
      </x:c>
      <x:c r="H2535" s="42" t="n">
        <x:v>496880.26</x:v>
      </x:c>
      <x:c r="I2535" s="39" t="n">
        <x:v>45802</x:v>
      </x:c>
    </x:row>
    <x:row r="2536">
      <x:c r="A2536" s="21" t="str">
        <x:v>SYN-0725</x:v>
      </x:c>
      <x:c r="B2536" s="21" t="str">
        <x:v>Synthetic Supplier 0725 LLC</x:v>
      </x:c>
      <x:c r="C2536" s="38" t="str">
        <x:f>"900 000 000 000 725"</x:f>
        <x:v>900 000 000 000 725</x:v>
      </x:c>
      <x:c r="D2536" s="21" t="str">
        <x:v>SYN-0725-INV-01</x:v>
      </x:c>
      <x:c r="E2536" s="39" t="n">
        <x:v>46044</x:v>
      </x:c>
      <x:c r="F2536" s="42" t="n">
        <x:v>239404.2</x:v>
      </x:c>
      <x:c r="G2536" s="42" t="n">
        <x:v>11970.21</x:v>
      </x:c>
      <x:c r="H2536" s="42" t="n">
        <x:v>520523.14</x:v>
      </x:c>
      <x:c r="I2536" s="39"/>
    </x:row>
    <x:row r="2537">
      <x:c r="A2537" s="21" t="str">
        <x:v>SYN-0725</x:v>
      </x:c>
      <x:c r="B2537" s="21" t="str">
        <x:v>Synthetic Supplier 0725 LLC</x:v>
      </x:c>
      <x:c r="C2537" s="38" t="str">
        <x:f>"900 000 000 000 725"</x:f>
        <x:v>900 000 000 000 725</x:v>
      </x:c>
      <x:c r="D2537" s="21" t="str">
        <x:v>SYN-0725-INV-02</x:v>
      </x:c>
      <x:c r="E2537" s="39" t="n">
        <x:v>46091</x:v>
      </x:c>
      <x:c r="F2537" s="42" t="n">
        <x:v>180236.82</x:v>
      </x:c>
      <x:c r="G2537" s="42" t="n">
        <x:v>9011.84</x:v>
      </x:c>
      <x:c r="H2537" s="42" t="n">
        <x:v>520523.14</x:v>
      </x:c>
      <x:c r="I2537" s="39"/>
    </x:row>
    <x:row r="2538">
      <x:c r="A2538" s="21" t="str">
        <x:v>SYN-0725</x:v>
      </x:c>
      <x:c r="B2538" s="21" t="str">
        <x:v>Synthetic Supplier 0725 LLC</x:v>
      </x:c>
      <x:c r="C2538" s="38" t="str">
        <x:f>"900 000 000 000 725"</x:f>
        <x:v>900 000 000 000 725</x:v>
      </x:c>
      <x:c r="D2538" s="21" t="str">
        <x:v>SYN-0725-INV-03</x:v>
      </x:c>
      <x:c r="E2538" s="39" t="n">
        <x:v>46138</x:v>
      </x:c>
      <x:c r="F2538" s="42" t="n">
        <x:v>158718.02</x:v>
      </x:c>
      <x:c r="G2538" s="42" t="n">
        <x:v>7935.9</x:v>
      </x:c>
      <x:c r="H2538" s="42" t="n">
        <x:v>520523.14</x:v>
      </x:c>
      <x:c r="I2538" s="39"/>
    </x:row>
    <x:row r="2539">
      <x:c r="A2539" s="21" t="str">
        <x:v>SYN-0726</x:v>
      </x:c>
      <x:c r="B2539" s="21" t="str">
        <x:v>Synthetic Supplier 0726 LLC</x:v>
      </x:c>
      <x:c r="C2539" s="38" t="str">
        <x:f>"900 000 000 000 726"</x:f>
        <x:v>900 000 000 000 726</x:v>
      </x:c>
      <x:c r="D2539" s="21" t="str">
        <x:v>SYN-0726-INV-01</x:v>
      </x:c>
      <x:c r="E2539" s="39" t="n">
        <x:v>46057</x:v>
      </x:c>
      <x:c r="F2539" s="42" t="n">
        <x:v>234392.58</x:v>
      </x:c>
      <x:c r="G2539" s="42" t="n">
        <x:v>11719.63</x:v>
      </x:c>
      <x:c r="H2539" s="42" t="n">
        <x:v>679743.36</x:v>
      </x:c>
      <x:c r="I2539" s="39" t="n">
        <x:v>45840</x:v>
      </x:c>
    </x:row>
    <x:row r="2540">
      <x:c r="A2540" s="21" t="str">
        <x:v>SYN-0726</x:v>
      </x:c>
      <x:c r="B2540" s="21" t="str">
        <x:v>Synthetic Supplier 0726 LLC</x:v>
      </x:c>
      <x:c r="C2540" s="38" t="str">
        <x:f>"900 000 000 000 726"</x:f>
        <x:v>900 000 000 000 726</x:v>
      </x:c>
      <x:c r="D2540" s="21" t="str">
        <x:v>SYN-0726-INV-02</x:v>
      </x:c>
      <x:c r="E2540" s="39" t="n">
        <x:v>46104</x:v>
      </x:c>
      <x:c r="F2540" s="42" t="n">
        <x:v>189912.12</x:v>
      </x:c>
      <x:c r="G2540" s="42" t="n">
        <x:v>9495.61</x:v>
      </x:c>
      <x:c r="H2540" s="42" t="n">
        <x:v>679743.36</x:v>
      </x:c>
      <x:c r="I2540" s="39" t="n">
        <x:v>45840</x:v>
      </x:c>
    </x:row>
    <x:row r="2541">
      <x:c r="A2541" s="21" t="str">
        <x:v>SYN-0726</x:v>
      </x:c>
      <x:c r="B2541" s="21" t="str">
        <x:v>Synthetic Supplier 0726 LLC</x:v>
      </x:c>
      <x:c r="C2541" s="38" t="str">
        <x:f>"900 000 000 000 726"</x:f>
        <x:v>900 000 000 000 726</x:v>
      </x:c>
      <x:c r="D2541" s="21" t="str">
        <x:v>SYN-0726-INV-03</x:v>
      </x:c>
      <x:c r="E2541" s="39" t="n">
        <x:v>46151</x:v>
      </x:c>
      <x:c r="F2541" s="42" t="n">
        <x:v>201592.02</x:v>
      </x:c>
      <x:c r="G2541" s="42" t="n">
        <x:v>10079.6</x:v>
      </x:c>
      <x:c r="H2541" s="42" t="n">
        <x:v>679743.36</x:v>
      </x:c>
      <x:c r="I2541" s="39" t="n">
        <x:v>45840</x:v>
      </x:c>
    </x:row>
    <x:row r="2542">
      <x:c r="A2542" s="21" t="str">
        <x:v>SYN-0726</x:v>
      </x:c>
      <x:c r="B2542" s="21" t="str">
        <x:v>Synthetic Supplier 0726 LLC</x:v>
      </x:c>
      <x:c r="C2542" s="38" t="str">
        <x:f>"900 000 000 000 726"</x:f>
        <x:v>900 000 000 000 726</x:v>
      </x:c>
      <x:c r="D2542" s="21" t="str">
        <x:v>SYN-0726-INV-04</x:v>
      </x:c>
      <x:c r="E2542" s="39" t="n">
        <x:v>46198</x:v>
      </x:c>
      <x:c r="F2542" s="42" t="n">
        <x:v>129373.68</x:v>
      </x:c>
      <x:c r="G2542" s="42" t="n">
        <x:v>6468.68</x:v>
      </x:c>
      <x:c r="H2542" s="42" t="n">
        <x:v>679743.36</x:v>
      </x:c>
      <x:c r="I2542" s="39" t="n">
        <x:v>45840</x:v>
      </x:c>
    </x:row>
    <x:row r="2543">
      <x:c r="A2543" s="21" t="str">
        <x:v>SYN-0727</x:v>
      </x:c>
      <x:c r="B2543" s="21" t="str">
        <x:v>Synthetic Supplier 0727 LLC</x:v>
      </x:c>
      <x:c r="C2543" s="38" t="str">
        <x:f>"900 000 000 000 727"</x:f>
        <x:v>900 000 000 000 727</x:v>
      </x:c>
      <x:c r="D2543" s="21" t="str">
        <x:v>SYN-0727-INV-01</x:v>
      </x:c>
      <x:c r="E2543" s="39" t="n">
        <x:v>46070</x:v>
      </x:c>
      <x:c r="F2543" s="42" t="n">
        <x:v>95032.55</x:v>
      </x:c>
      <x:c r="G2543" s="42" t="n">
        <x:v>4751.63</x:v>
      </x:c>
      <x:c r="H2543" s="42" t="n">
        <x:v>497249.92</x:v>
      </x:c>
      <x:c r="I2543" s="39" t="n">
        <x:v>46237</x:v>
      </x:c>
    </x:row>
    <x:row r="2544">
      <x:c r="A2544" s="21" t="str">
        <x:v>SYN-0727</x:v>
      </x:c>
      <x:c r="B2544" s="21" t="str">
        <x:v>Synthetic Supplier 0727 LLC</x:v>
      </x:c>
      <x:c r="C2544" s="38" t="str">
        <x:f>"900 000 000 000 727"</x:f>
        <x:v>900 000 000 000 727</x:v>
      </x:c>
      <x:c r="D2544" s="21" t="str">
        <x:v>SYN-0727-INV-02</x:v>
      </x:c>
      <x:c r="E2544" s="39" t="n">
        <x:v>46117</x:v>
      </x:c>
      <x:c r="F2544" s="42" t="n">
        <x:v>113734.67</x:v>
      </x:c>
      <x:c r="G2544" s="42" t="n">
        <x:v>5686.73</x:v>
      </x:c>
      <x:c r="H2544" s="42" t="n">
        <x:v>497249.92</x:v>
      </x:c>
      <x:c r="I2544" s="39" t="n">
        <x:v>46237</x:v>
      </x:c>
    </x:row>
    <x:row r="2545">
      <x:c r="A2545" s="21" t="str">
        <x:v>SYN-0727</x:v>
      </x:c>
      <x:c r="B2545" s="21" t="str">
        <x:v>Synthetic Supplier 0727 LLC</x:v>
      </x:c>
      <x:c r="C2545" s="38" t="str">
        <x:f>"900 000 000 000 727"</x:f>
        <x:v>900 000 000 000 727</x:v>
      </x:c>
      <x:c r="D2545" s="21" t="str">
        <x:v>SYN-0727-INV-03</x:v>
      </x:c>
      <x:c r="E2545" s="39" t="n">
        <x:v>46164</x:v>
      </x:c>
      <x:c r="F2545" s="42" t="n">
        <x:v>101389.26</x:v>
      </x:c>
      <x:c r="G2545" s="42" t="n">
        <x:v>5069.46</x:v>
      </x:c>
      <x:c r="H2545" s="42" t="n">
        <x:v>497249.92</x:v>
      </x:c>
      <x:c r="I2545" s="39" t="n">
        <x:v>46237</x:v>
      </x:c>
    </x:row>
    <x:row r="2546">
      <x:c r="A2546" s="21" t="str">
        <x:v>SYN-0727</x:v>
      </x:c>
      <x:c r="B2546" s="21" t="str">
        <x:v>Synthetic Supplier 0727 LLC</x:v>
      </x:c>
      <x:c r="C2546" s="38" t="str">
        <x:f>"900 000 000 000 727"</x:f>
        <x:v>900 000 000 000 727</x:v>
      </x:c>
      <x:c r="D2546" s="21" t="str">
        <x:v>SYN-0727-INV-04</x:v>
      </x:c>
      <x:c r="E2546" s="39" t="n">
        <x:v>46211</x:v>
      </x:c>
      <x:c r="F2546" s="42" t="n">
        <x:v>107835.66</x:v>
      </x:c>
      <x:c r="G2546" s="42" t="n">
        <x:v>5391.78</x:v>
      </x:c>
      <x:c r="H2546" s="42" t="n">
        <x:v>497249.92</x:v>
      </x:c>
      <x:c r="I2546" s="39" t="n">
        <x:v>46237</x:v>
      </x:c>
    </x:row>
    <x:row r="2547">
      <x:c r="A2547" s="21" t="str">
        <x:v>SYN-0727</x:v>
      </x:c>
      <x:c r="B2547" s="21" t="str">
        <x:v>Synthetic Supplier 0727 LLC</x:v>
      </x:c>
      <x:c r="C2547" s="38" t="str">
        <x:f>"900 000 000 000 727"</x:f>
        <x:v>900 000 000 000 727</x:v>
      </x:c>
      <x:c r="D2547" s="21" t="str">
        <x:v>SYN-0727-INV-05</x:v>
      </x:c>
      <x:c r="E2547" s="39" t="n">
        <x:v>46258</x:v>
      </x:c>
      <x:c r="F2547" s="42" t="n">
        <x:v>134507.78</x:v>
      </x:c>
      <x:c r="G2547" s="42" t="n">
        <x:v>6725.39</x:v>
      </x:c>
      <x:c r="H2547" s="42" t="n">
        <x:v>497249.92</x:v>
      </x:c>
      <x:c r="I2547" s="39" t="n">
        <x:v>46237</x:v>
      </x:c>
    </x:row>
    <x:row r="2548">
      <x:c r="A2548" s="21" t="str">
        <x:v>SYN-0728</x:v>
      </x:c>
      <x:c r="B2548" s="21" t="str">
        <x:v>Synthetic Supplier 0728 LLC</x:v>
      </x:c>
      <x:c r="C2548" s="38" t="str">
        <x:f>"900 000 000 000 728"</x:f>
        <x:v>900 000 000 000 728</x:v>
      </x:c>
      <x:c r="D2548" s="21" t="str">
        <x:v>SYN-0728-INV-01</x:v>
      </x:c>
      <x:c r="E2548" s="39" t="n">
        <x:v>46083</x:v>
      </x:c>
      <x:c r="F2548" s="42" t="n">
        <x:v>327043.17</x:v>
      </x:c>
      <x:c r="G2548" s="42" t="n">
        <x:v>16352.16</x:v>
      </x:c>
      <x:c r="H2548" s="42" t="n">
        <x:v>766572.44</x:v>
      </x:c>
      <x:c r="I2548" s="39" t="n">
        <x:v>45904</x:v>
      </x:c>
    </x:row>
    <x:row r="2549">
      <x:c r="A2549" s="21" t="str">
        <x:v>SYN-0728</x:v>
      </x:c>
      <x:c r="B2549" s="21" t="str">
        <x:v>Synthetic Supplier 0728 LLC</x:v>
      </x:c>
      <x:c r="C2549" s="38" t="str">
        <x:f>"900 000 000 000 728"</x:f>
        <x:v>900 000 000 000 728</x:v>
      </x:c>
      <x:c r="D2549" s="21" t="str">
        <x:v>SYN-0728-INV-02</x:v>
      </x:c>
      <x:c r="E2549" s="39" t="n">
        <x:v>46130</x:v>
      </x:c>
      <x:c r="F2549" s="42" t="n">
        <x:v>339541.56</x:v>
      </x:c>
      <x:c r="G2549" s="42" t="n">
        <x:v>16977.08</x:v>
      </x:c>
      <x:c r="H2549" s="42" t="n">
        <x:v>766572.44</x:v>
      </x:c>
      <x:c r="I2549" s="39" t="n">
        <x:v>45904</x:v>
      </x:c>
    </x:row>
    <x:row r="2550">
      <x:c r="A2550" s="21" t="str">
        <x:v>SYN-0729</x:v>
      </x:c>
      <x:c r="B2550" s="21" t="str">
        <x:v>Synthetic Supplier 0729 LLC</x:v>
      </x:c>
      <x:c r="C2550" s="38" t="str">
        <x:f>"900 000 000 000 729"</x:f>
        <x:v>900 000 000 000 729</x:v>
      </x:c>
      <x:c r="D2550" s="21" t="str">
        <x:v>SYN-0729-INV-01</x:v>
      </x:c>
      <x:c r="E2550" s="39" t="n">
        <x:v>46096</x:v>
      </x:c>
      <x:c r="F2550" s="42" t="n">
        <x:v>176028.77</x:v>
      </x:c>
      <x:c r="G2550" s="42" t="n">
        <x:v>8801.44</x:v>
      </x:c>
      <x:c r="H2550" s="42" t="n">
        <x:v>430352.62</x:v>
      </x:c>
      <x:c r="I2550" s="39" t="n">
        <x:v>46027</x:v>
      </x:c>
    </x:row>
    <x:row r="2551">
      <x:c r="A2551" s="21" t="str">
        <x:v>SYN-0729</x:v>
      </x:c>
      <x:c r="B2551" s="21" t="str">
        <x:v>Synthetic Supplier 0729 LLC</x:v>
      </x:c>
      <x:c r="C2551" s="38" t="str">
        <x:f>"900 000 000 000 729"</x:f>
        <x:v>900 000 000 000 729</x:v>
      </x:c>
      <x:c r="D2551" s="21" t="str">
        <x:v>SYN-0729-INV-02</x:v>
      </x:c>
      <x:c r="E2551" s="39" t="n">
        <x:v>46143</x:v>
      </x:c>
      <x:c r="F2551" s="42" t="n">
        <x:v>130381.53</x:v>
      </x:c>
      <x:c r="G2551" s="42" t="n">
        <x:v>6519.08</x:v>
      </x:c>
      <x:c r="H2551" s="42" t="n">
        <x:v>430352.62</x:v>
      </x:c>
      <x:c r="I2551" s="39" t="n">
        <x:v>46027</x:v>
      </x:c>
    </x:row>
    <x:row r="2552">
      <x:c r="A2552" s="21" t="str">
        <x:v>SYN-0729</x:v>
      </x:c>
      <x:c r="B2552" s="21" t="str">
        <x:v>Synthetic Supplier 0729 LLC</x:v>
      </x:c>
      <x:c r="C2552" s="38" t="str">
        <x:f>"900 000 000 000 729"</x:f>
        <x:v>900 000 000 000 729</x:v>
      </x:c>
      <x:c r="D2552" s="21" t="str">
        <x:v>SYN-0729-INV-03</x:v>
      </x:c>
      <x:c r="E2552" s="39" t="n">
        <x:v>46190</x:v>
      </x:c>
      <x:c r="F2552" s="42" t="n">
        <x:v>171759.27</x:v>
      </x:c>
      <x:c r="G2552" s="42" t="n">
        <x:v>8587.96</x:v>
      </x:c>
      <x:c r="H2552" s="42" t="n">
        <x:v>430352.62</x:v>
      </x:c>
      <x:c r="I2552" s="39" t="n">
        <x:v>46027</x:v>
      </x:c>
    </x:row>
    <x:row r="2553">
      <x:c r="A2553" s="21" t="str">
        <x:v>SYN-0730</x:v>
      </x:c>
      <x:c r="B2553" s="21" t="str">
        <x:v>Synthetic Supplier 0730 LLC</x:v>
      </x:c>
      <x:c r="C2553" s="38" t="str">
        <x:f>"900 000 000 000 730"</x:f>
        <x:v>900 000 000 000 730</x:v>
      </x:c>
      <x:c r="D2553" s="21" t="str">
        <x:v>SYN-0730-INV-01</x:v>
      </x:c>
      <x:c r="E2553" s="39" t="n">
        <x:v>46109</x:v>
      </x:c>
      <x:c r="F2553" s="42" t="n">
        <x:v>116072.98</x:v>
      </x:c>
      <x:c r="G2553" s="42" t="n">
        <x:v>5803.65</x:v>
      </x:c>
      <x:c r="H2553" s="42" t="n">
        <x:v>492445.38</x:v>
      </x:c>
      <x:c r="I2553" s="39"/>
    </x:row>
    <x:row r="2554">
      <x:c r="A2554" s="21" t="str">
        <x:v>SYN-0730</x:v>
      </x:c>
      <x:c r="B2554" s="21" t="str">
        <x:v>Synthetic Supplier 0730 LLC</x:v>
      </x:c>
      <x:c r="C2554" s="38" t="str">
        <x:f>"900 000 000 000 730"</x:f>
        <x:v>900 000 000 000 730</x:v>
      </x:c>
      <x:c r="D2554" s="21" t="str">
        <x:v>SYN-0730-INV-02</x:v>
      </x:c>
      <x:c r="E2554" s="39" t="n">
        <x:v>46156</x:v>
      </x:c>
      <x:c r="F2554" s="42" t="n">
        <x:v>143372.22</x:v>
      </x:c>
      <x:c r="G2554" s="42" t="n">
        <x:v>7168.61</x:v>
      </x:c>
      <x:c r="H2554" s="42" t="n">
        <x:v>492445.38</x:v>
      </x:c>
      <x:c r="I2554" s="39"/>
    </x:row>
    <x:row r="2555">
      <x:c r="A2555" s="21" t="str">
        <x:v>SYN-0730</x:v>
      </x:c>
      <x:c r="B2555" s="21" t="str">
        <x:v>Synthetic Supplier 0730 LLC</x:v>
      </x:c>
      <x:c r="C2555" s="38" t="str">
        <x:f>"900 000 000 000 730"</x:f>
        <x:v>900 000 000 000 730</x:v>
      </x:c>
      <x:c r="D2555" s="21" t="str">
        <x:v>SYN-0730-INV-03</x:v>
      </x:c>
      <x:c r="E2555" s="39" t="n">
        <x:v>46203</x:v>
      </x:c>
      <x:c r="F2555" s="42" t="n">
        <x:v>194582.86</x:v>
      </x:c>
      <x:c r="G2555" s="42" t="n">
        <x:v>9729.14</x:v>
      </x:c>
      <x:c r="H2555" s="42" t="n">
        <x:v>492445.38</x:v>
      </x:c>
      <x:c r="I2555" s="39"/>
    </x:row>
    <x:row r="2556">
      <x:c r="A2556" s="21" t="str">
        <x:v>SYN-0730</x:v>
      </x:c>
      <x:c r="B2556" s="21" t="str">
        <x:v>Synthetic Supplier 0730 LLC</x:v>
      </x:c>
      <x:c r="C2556" s="38" t="str">
        <x:f>"900 000 000 000 730"</x:f>
        <x:v>900 000 000 000 730</x:v>
      </x:c>
      <x:c r="D2556" s="21" t="str">
        <x:v>SYN-0730-INV-04</x:v>
      </x:c>
      <x:c r="E2556" s="39" t="n">
        <x:v>46250</x:v>
      </x:c>
      <x:c r="F2556" s="42" t="n">
        <x:v>93133.47</x:v>
      </x:c>
      <x:c r="G2556" s="42" t="n">
        <x:v>4656.67</x:v>
      </x:c>
      <x:c r="H2556" s="42" t="n">
        <x:v>492445.38</x:v>
      </x:c>
      <x:c r="I2556" s="39"/>
    </x:row>
    <x:row r="2557">
      <x:c r="A2557" s="21" t="str">
        <x:v>SYN-0731</x:v>
      </x:c>
      <x:c r="B2557" s="21" t="str">
        <x:v>Synthetic Supplier 0731 LLC</x:v>
      </x:c>
      <x:c r="C2557" s="38" t="str">
        <x:f>"900 000 000 000 731"</x:f>
        <x:v>900 000 000 000 731</x:v>
      </x:c>
      <x:c r="D2557" s="21" t="str">
        <x:v>SYN-0731-INV-01</x:v>
      </x:c>
      <x:c r="E2557" s="39" t="n">
        <x:v>46122</x:v>
      </x:c>
      <x:c r="F2557" s="42" t="n">
        <x:v>154498.23</x:v>
      </x:c>
      <x:c r="G2557" s="42" t="n">
        <x:v>7724.91</x:v>
      </x:c>
      <x:c r="H2557" s="42" t="n">
        <x:v>673013.42</x:v>
      </x:c>
      <x:c r="I2557" s="39" t="n">
        <x:v>46088</x:v>
      </x:c>
    </x:row>
    <x:row r="2558">
      <x:c r="A2558" s="21" t="str">
        <x:v>SYN-0731</x:v>
      </x:c>
      <x:c r="B2558" s="21" t="str">
        <x:v>Synthetic Supplier 0731 LLC</x:v>
      </x:c>
      <x:c r="C2558" s="38" t="str">
        <x:f>"900 000 000 000 731"</x:f>
        <x:v>900 000 000 000 731</x:v>
      </x:c>
      <x:c r="D2558" s="21" t="str">
        <x:v>SYN-0731-INV-02</x:v>
      </x:c>
      <x:c r="E2558" s="39" t="n">
        <x:v>46169</x:v>
      </x:c>
      <x:c r="F2558" s="42" t="n">
        <x:v>197433.85</x:v>
      </x:c>
      <x:c r="G2558" s="42" t="n">
        <x:v>9871.69</x:v>
      </x:c>
      <x:c r="H2558" s="42" t="n">
        <x:v>673013.42</x:v>
      </x:c>
      <x:c r="I2558" s="39" t="n">
        <x:v>46088</x:v>
      </x:c>
    </x:row>
    <x:row r="2559">
      <x:c r="A2559" s="21" t="str">
        <x:v>SYN-0731</x:v>
      </x:c>
      <x:c r="B2559" s="21" t="str">
        <x:v>Synthetic Supplier 0731 LLC</x:v>
      </x:c>
      <x:c r="C2559" s="38" t="str">
        <x:f>"900 000 000 000 731"</x:f>
        <x:v>900 000 000 000 731</x:v>
      </x:c>
      <x:c r="D2559" s="21" t="str">
        <x:v>SYN-0731-INV-03</x:v>
      </x:c>
      <x:c r="E2559" s="39" t="n">
        <x:v>46216</x:v>
      </x:c>
      <x:c r="F2559" s="42" t="n">
        <x:v>114856.18</x:v>
      </x:c>
      <x:c r="G2559" s="42" t="n">
        <x:v>5742.81</x:v>
      </x:c>
      <x:c r="H2559" s="42" t="n">
        <x:v>673013.42</x:v>
      </x:c>
      <x:c r="I2559" s="39" t="n">
        <x:v>46088</x:v>
      </x:c>
    </x:row>
    <x:row r="2560">
      <x:c r="A2560" s="21" t="str">
        <x:v>SYN-0731</x:v>
      </x:c>
      <x:c r="B2560" s="21" t="str">
        <x:v>Synthetic Supplier 0731 LLC</x:v>
      </x:c>
      <x:c r="C2560" s="38" t="str">
        <x:f>"900 000 000 000 731"</x:f>
        <x:v>900 000 000 000 731</x:v>
      </x:c>
      <x:c r="D2560" s="21" t="str">
        <x:v>SYN-0731-INV-04</x:v>
      </x:c>
      <x:c r="E2560" s="39" t="n">
        <x:v>46263</x:v>
      </x:c>
      <x:c r="F2560" s="42" t="n">
        <x:v>128261.38</x:v>
      </x:c>
      <x:c r="G2560" s="42" t="n">
        <x:v>6413.07</x:v>
      </x:c>
      <x:c r="H2560" s="42" t="n">
        <x:v>673013.42</x:v>
      </x:c>
      <x:c r="I2560" s="39" t="n">
        <x:v>46088</x:v>
      </x:c>
    </x:row>
    <x:row r="2561">
      <x:c r="A2561" s="21" t="str">
        <x:v>SYN-0731</x:v>
      </x:c>
      <x:c r="B2561" s="21" t="str">
        <x:v>Synthetic Supplier 0731 LLC</x:v>
      </x:c>
      <x:c r="C2561" s="38" t="str">
        <x:f>"900 000 000 000 731"</x:f>
        <x:v>900 000 000 000 731</x:v>
      </x:c>
      <x:c r="D2561" s="21" t="str">
        <x:v>SYN-0731-INV-05</x:v>
      </x:c>
      <x:c r="E2561" s="39" t="n">
        <x:v>45950</x:v>
      </x:c>
      <x:c r="F2561" s="42" t="n">
        <x:v>152743.06</x:v>
      </x:c>
      <x:c r="G2561" s="42" t="n">
        <x:v>7637.15</x:v>
      </x:c>
      <x:c r="H2561" s="42" t="n">
        <x:v>673013.42</x:v>
      </x:c>
      <x:c r="I2561" s="39" t="n">
        <x:v>46088</x:v>
      </x:c>
    </x:row>
    <x:row r="2562">
      <x:c r="A2562" s="21" t="str">
        <x:v>SYN-0732</x:v>
      </x:c>
      <x:c r="B2562" s="21" t="str">
        <x:v>Synthetic Supplier 0732 LLC</x:v>
      </x:c>
      <x:c r="C2562" s="38" t="str">
        <x:f>"900 000 000 000 732"</x:f>
        <x:v>900 000 000 000 732</x:v>
      </x:c>
      <x:c r="D2562" s="21" t="str">
        <x:v>SYN-0732-INV-01</x:v>
      </x:c>
      <x:c r="E2562" s="39" t="n">
        <x:v>46135</x:v>
      </x:c>
      <x:c r="F2562" s="42" t="n">
        <x:v>340258.39</x:v>
      </x:c>
      <x:c r="G2562" s="42" t="n">
        <x:v>17012.92</x:v>
      </x:c>
      <x:c r="H2562" s="42" t="n">
        <x:v>676124.53</x:v>
      </x:c>
      <x:c r="I2562" s="39" t="n">
        <x:v>45755</x:v>
      </x:c>
    </x:row>
    <x:row r="2563">
      <x:c r="A2563" s="21" t="str">
        <x:v>SYN-0732</x:v>
      </x:c>
      <x:c r="B2563" s="21" t="str">
        <x:v>Synthetic Supplier 0732 LLC</x:v>
      </x:c>
      <x:c r="C2563" s="38" t="str">
        <x:f>"900 000 000 000 732"</x:f>
        <x:v>900 000 000 000 732</x:v>
      </x:c>
      <x:c r="D2563" s="21" t="str">
        <x:v>SYN-0732-INV-02</x:v>
      </x:c>
      <x:c r="E2563" s="39" t="n">
        <x:v>46182</x:v>
      </x:c>
      <x:c r="F2563" s="42" t="n">
        <x:v>410991.1</x:v>
      </x:c>
      <x:c r="G2563" s="42" t="n">
        <x:v>20549.55</x:v>
      </x:c>
      <x:c r="H2563" s="42" t="n">
        <x:v>676124.53</x:v>
      </x:c>
      <x:c r="I2563" s="39" t="n">
        <x:v>45755</x:v>
      </x:c>
    </x:row>
    <x:row r="2564">
      <x:c r="A2564" s="21" t="str">
        <x:v>SYN-0733</x:v>
      </x:c>
      <x:c r="B2564" s="21" t="str">
        <x:v>Synthetic Supplier 0733 LLC</x:v>
      </x:c>
      <x:c r="C2564" s="38" t="str">
        <x:f>"900 000 000 000 733"</x:f>
        <x:v>900 000 000 000 733</x:v>
      </x:c>
      <x:c r="D2564" s="21" t="str">
        <x:v>SYN-0733-INV-01</x:v>
      </x:c>
      <x:c r="E2564" s="39" t="n">
        <x:v>46148</x:v>
      </x:c>
      <x:c r="F2564" s="42" t="n">
        <x:v>179274.82</x:v>
      </x:c>
      <x:c r="G2564" s="42" t="n">
        <x:v>8963.74</x:v>
      </x:c>
      <x:c r="H2564" s="42" t="n">
        <x:v>411349.65</x:v>
      </x:c>
      <x:c r="I2564" s="39" t="n">
        <x:v>46151</x:v>
      </x:c>
    </x:row>
    <x:row r="2565">
      <x:c r="A2565" s="21" t="str">
        <x:v>SYN-0733</x:v>
      </x:c>
      <x:c r="B2565" s="21" t="str">
        <x:v>Synthetic Supplier 0733 LLC</x:v>
      </x:c>
      <x:c r="C2565" s="38" t="str">
        <x:f>"900 000 000 000 733"</x:f>
        <x:v>900 000 000 000 733</x:v>
      </x:c>
      <x:c r="D2565" s="21" t="str">
        <x:v>SYN-0733-INV-02</x:v>
      </x:c>
      <x:c r="E2565" s="39" t="n">
        <x:v>46195</x:v>
      </x:c>
      <x:c r="F2565" s="42" t="n">
        <x:v>112569.51</x:v>
      </x:c>
      <x:c r="G2565" s="42" t="n">
        <x:v>5628.48</x:v>
      </x:c>
      <x:c r="H2565" s="42" t="n">
        <x:v>411349.65</x:v>
      </x:c>
      <x:c r="I2565" s="39" t="n">
        <x:v>46151</x:v>
      </x:c>
    </x:row>
    <x:row r="2566">
      <x:c r="A2566" s="21" t="str">
        <x:v>SYN-0733</x:v>
      </x:c>
      <x:c r="B2566" s="21" t="str">
        <x:v>Synthetic Supplier 0733 LLC</x:v>
      </x:c>
      <x:c r="C2566" s="38" t="str">
        <x:f>"900 000 000 000 733"</x:f>
        <x:v>900 000 000 000 733</x:v>
      </x:c>
      <x:c r="D2566" s="21" t="str">
        <x:v>SYN-0733-INV-03</x:v>
      </x:c>
      <x:c r="E2566" s="39" t="n">
        <x:v>46242</x:v>
      </x:c>
      <x:c r="F2566" s="42" t="n">
        <x:v>165210.83</x:v>
      </x:c>
      <x:c r="G2566" s="42" t="n">
        <x:v>8260.54</x:v>
      </x:c>
      <x:c r="H2566" s="42" t="n">
        <x:v>411349.65</x:v>
      </x:c>
      <x:c r="I2566" s="39" t="n">
        <x:v>46151</x:v>
      </x:c>
    </x:row>
    <x:row r="2567">
      <x:c r="A2567" s="21" t="str">
        <x:v>SYN-0734</x:v>
      </x:c>
      <x:c r="B2567" s="21" t="str">
        <x:v>Synthetic Supplier 0734 LLC</x:v>
      </x:c>
      <x:c r="C2567" s="38" t="str">
        <x:f>"900 000 000 000 734"</x:f>
        <x:v>900 000 000 000 734</x:v>
      </x:c>
      <x:c r="D2567" s="21" t="str">
        <x:v>SYN-0734-INV-01</x:v>
      </x:c>
      <x:c r="E2567" s="39" t="n">
        <x:v>46161</x:v>
      </x:c>
      <x:c r="F2567" s="42" t="n">
        <x:v>130491.29</x:v>
      </x:c>
      <x:c r="G2567" s="42" t="n">
        <x:v>6524.56</x:v>
      </x:c>
      <x:c r="H2567" s="42" t="n">
        <x:v>442954.95</x:v>
      </x:c>
      <x:c r="I2567" s="39" t="n">
        <x:v>45818</x:v>
      </x:c>
    </x:row>
    <x:row r="2568">
      <x:c r="A2568" s="21" t="str">
        <x:v>SYN-0734</x:v>
      </x:c>
      <x:c r="B2568" s="21" t="str">
        <x:v>Synthetic Supplier 0734 LLC</x:v>
      </x:c>
      <x:c r="C2568" s="38" t="str">
        <x:f>"900 000 000 000 734"</x:f>
        <x:v>900 000 000 000 734</x:v>
      </x:c>
      <x:c r="D2568" s="21" t="str">
        <x:v>SYN-0734-INV-02</x:v>
      </x:c>
      <x:c r="E2568" s="39" t="n">
        <x:v>46208</x:v>
      </x:c>
      <x:c r="F2568" s="42" t="n">
        <x:v>129310.18</x:v>
      </x:c>
      <x:c r="G2568" s="42" t="n">
        <x:v>6465.51</x:v>
      </x:c>
      <x:c r="H2568" s="42" t="n">
        <x:v>442954.95</x:v>
      </x:c>
      <x:c r="I2568" s="39" t="n">
        <x:v>45818</x:v>
      </x:c>
    </x:row>
    <x:row r="2569">
      <x:c r="A2569" s="21" t="str">
        <x:v>SYN-0734</x:v>
      </x:c>
      <x:c r="B2569" s="21" t="str">
        <x:v>Synthetic Supplier 0734 LLC</x:v>
      </x:c>
      <x:c r="C2569" s="38" t="str">
        <x:f>"900 000 000 000 734"</x:f>
        <x:v>900 000 000 000 734</x:v>
      </x:c>
      <x:c r="D2569" s="21" t="str">
        <x:v>SYN-0734-INV-03</x:v>
      </x:c>
      <x:c r="E2569" s="39" t="n">
        <x:v>46255</x:v>
      </x:c>
      <x:c r="F2569" s="42" t="n">
        <x:v>128537.48</x:v>
      </x:c>
      <x:c r="G2569" s="42" t="n">
        <x:v>6426.87</x:v>
      </x:c>
      <x:c r="H2569" s="42" t="n">
        <x:v>442954.95</x:v>
      </x:c>
      <x:c r="I2569" s="39" t="n">
        <x:v>45818</x:v>
      </x:c>
    </x:row>
    <x:row r="2570">
      <x:c r="A2570" s="21" t="str">
        <x:v>SYN-0734</x:v>
      </x:c>
      <x:c r="B2570" s="21" t="str">
        <x:v>Synthetic Supplier 0734 LLC</x:v>
      </x:c>
      <x:c r="C2570" s="38" t="str">
        <x:f>"900 000 000 000 734"</x:f>
        <x:v>900 000 000 000 734</x:v>
      </x:c>
      <x:c r="D2570" s="21" t="str">
        <x:v>SYN-0734-INV-04</x:v>
      </x:c>
      <x:c r="E2570" s="39" t="n">
        <x:v>45942</x:v>
      </x:c>
      <x:c r="F2570" s="42" t="n">
        <x:v>103833.23</x:v>
      </x:c>
      <x:c r="G2570" s="42" t="n">
        <x:v>5191.66</x:v>
      </x:c>
      <x:c r="H2570" s="42" t="n">
        <x:v>442954.95</x:v>
      </x:c>
      <x:c r="I2570" s="39" t="n">
        <x:v>45818</x:v>
      </x:c>
    </x:row>
    <x:row r="2571">
      <x:c r="A2571" s="21" t="str">
        <x:v>SYN-0735</x:v>
      </x:c>
      <x:c r="B2571" s="21" t="str">
        <x:v>Synthetic Supplier 0735 LLC</x:v>
      </x:c>
      <x:c r="C2571" s="38" t="str">
        <x:f>"900 000 000 000 735"</x:f>
        <x:v>900 000 000 000 735</x:v>
      </x:c>
      <x:c r="D2571" s="21" t="str">
        <x:v>SYN-0735-INV-01</x:v>
      </x:c>
      <x:c r="E2571" s="39" t="n">
        <x:v>46174</x:v>
      </x:c>
      <x:c r="F2571" s="42" t="n">
        <x:v>89016.33</x:v>
      </x:c>
      <x:c r="G2571" s="42" t="n">
        <x:v>4450.82</x:v>
      </x:c>
      <x:c r="H2571" s="42" t="n">
        <x:v>581890.03</x:v>
      </x:c>
      <x:c r="I2571" s="39"/>
    </x:row>
    <x:row r="2572">
      <x:c r="A2572" s="21" t="str">
        <x:v>SYN-0735</x:v>
      </x:c>
      <x:c r="B2572" s="21" t="str">
        <x:v>Synthetic Supplier 0735 LLC</x:v>
      </x:c>
      <x:c r="C2572" s="38" t="str">
        <x:f>"900 000 000 000 735"</x:f>
        <x:v>900 000 000 000 735</x:v>
      </x:c>
      <x:c r="D2572" s="21" t="str">
        <x:v>SYN-0735-INV-02</x:v>
      </x:c>
      <x:c r="E2572" s="39" t="n">
        <x:v>46221</x:v>
      </x:c>
      <x:c r="F2572" s="42" t="n">
        <x:v>97644.82</x:v>
      </x:c>
      <x:c r="G2572" s="42" t="n">
        <x:v>4882.24</x:v>
      </x:c>
      <x:c r="H2572" s="42" t="n">
        <x:v>581890.03</x:v>
      </x:c>
      <x:c r="I2572" s="39"/>
    </x:row>
    <x:row r="2573">
      <x:c r="A2573" s="21" t="str">
        <x:v>SYN-0735</x:v>
      </x:c>
      <x:c r="B2573" s="21" t="str">
        <x:v>Synthetic Supplier 0735 LLC</x:v>
      </x:c>
      <x:c r="C2573" s="38" t="str">
        <x:f>"900 000 000 000 735"</x:f>
        <x:v>900 000 000 000 735</x:v>
      </x:c>
      <x:c r="D2573" s="21" t="str">
        <x:v>SYN-0735-INV-03</x:v>
      </x:c>
      <x:c r="E2573" s="39" t="n">
        <x:v>46268</x:v>
      </x:c>
      <x:c r="F2573" s="42" t="n">
        <x:v>68604.68</x:v>
      </x:c>
      <x:c r="G2573" s="42" t="n">
        <x:v>3430.23</x:v>
      </x:c>
      <x:c r="H2573" s="42" t="n">
        <x:v>581890.03</x:v>
      </x:c>
      <x:c r="I2573" s="39"/>
    </x:row>
    <x:row r="2574">
      <x:c r="A2574" s="21" t="str">
        <x:v>SYN-0735</x:v>
      </x:c>
      <x:c r="B2574" s="21" t="str">
        <x:v>Synthetic Supplier 0735 LLC</x:v>
      </x:c>
      <x:c r="C2574" s="38" t="str">
        <x:f>"900 000 000 000 735"</x:f>
        <x:v>900 000 000 000 735</x:v>
      </x:c>
      <x:c r="D2574" s="21" t="str">
        <x:v>SYN-0735-INV-04</x:v>
      </x:c>
      <x:c r="E2574" s="39" t="n">
        <x:v>45955</x:v>
      </x:c>
      <x:c r="F2574" s="42" t="n">
        <x:v>114194.4</x:v>
      </x:c>
      <x:c r="G2574" s="42" t="n">
        <x:v>5709.72</x:v>
      </x:c>
      <x:c r="H2574" s="42" t="n">
        <x:v>581890.03</x:v>
      </x:c>
      <x:c r="I2574" s="39"/>
    </x:row>
    <x:row r="2575">
      <x:c r="A2575" s="21" t="str">
        <x:v>SYN-0735</x:v>
      </x:c>
      <x:c r="B2575" s="21" t="str">
        <x:v>Synthetic Supplier 0735 LLC</x:v>
      </x:c>
      <x:c r="C2575" s="38" t="str">
        <x:f>"900 000 000 000 735"</x:f>
        <x:v>900 000 000 000 735</x:v>
      </x:c>
      <x:c r="D2575" s="21" t="str">
        <x:v>SYN-0735-INV-05</x:v>
      </x:c>
      <x:c r="E2575" s="39" t="n">
        <x:v>46002</x:v>
      </x:c>
      <x:c r="F2575" s="42" t="n">
        <x:v>136531.1</x:v>
      </x:c>
      <x:c r="G2575" s="42" t="n">
        <x:v>6826.55</x:v>
      </x:c>
      <x:c r="H2575" s="42" t="n">
        <x:v>581890.03</x:v>
      </x:c>
      <x:c r="I2575" s="39"/>
    </x:row>
    <x:row r="2576">
      <x:c r="A2576" s="21" t="str">
        <x:v>SYN-0736</x:v>
      </x:c>
      <x:c r="B2576" s="21" t="str">
        <x:v>Synthetic Supplier 0736 LLC</x:v>
      </x:c>
      <x:c r="C2576" s="38" t="str">
        <x:f>"900 000 000 000 736"</x:f>
        <x:v>900 000 000 000 736</x:v>
      </x:c>
      <x:c r="D2576" s="21" t="str">
        <x:v>SYN-0736-INV-01</x:v>
      </x:c>
      <x:c r="E2576" s="39" t="n">
        <x:v>46187</x:v>
      </x:c>
      <x:c r="F2576" s="42" t="n">
        <x:v>408813.89</x:v>
      </x:c>
      <x:c r="G2576" s="42" t="n">
        <x:v>20440.69</x:v>
      </x:c>
      <x:c r="H2576" s="42" t="n">
        <x:v>669026.69</x:v>
      </x:c>
      <x:c r="I2576" s="39" t="n">
        <x:v>45881</x:v>
      </x:c>
    </x:row>
    <x:row r="2577">
      <x:c r="A2577" s="21" t="str">
        <x:v>SYN-0736</x:v>
      </x:c>
      <x:c r="B2577" s="21" t="str">
        <x:v>Synthetic Supplier 0736 LLC</x:v>
      </x:c>
      <x:c r="C2577" s="38" t="str">
        <x:f>"900 000 000 000 736"</x:f>
        <x:v>900 000 000 000 736</x:v>
      </x:c>
      <x:c r="D2577" s="21" t="str">
        <x:v>SYN-0736-INV-02</x:v>
      </x:c>
      <x:c r="E2577" s="39" t="n">
        <x:v>46234</x:v>
      </x:c>
      <x:c r="F2577" s="42" t="n">
        <x:v>334549.09</x:v>
      </x:c>
      <x:c r="G2577" s="42" t="n">
        <x:v>16727.45</x:v>
      </x:c>
      <x:c r="H2577" s="42" t="n">
        <x:v>669026.69</x:v>
      </x:c>
      <x:c r="I2577" s="39" t="n">
        <x:v>45881</x:v>
      </x:c>
    </x:row>
    <x:row r="2578">
      <x:c r="A2578" s="21" t="str">
        <x:v>SYN-0737</x:v>
      </x:c>
      <x:c r="B2578" s="21" t="str">
        <x:v>Synthetic Supplier 0737 LLC</x:v>
      </x:c>
      <x:c r="C2578" s="38" t="str">
        <x:f>"900 000 000 000 737"</x:f>
        <x:v>900 000 000 000 737</x:v>
      </x:c>
      <x:c r="D2578" s="21" t="str">
        <x:v>SYN-0737-INV-01</x:v>
      </x:c>
      <x:c r="E2578" s="39" t="n">
        <x:v>46200</x:v>
      </x:c>
      <x:c r="F2578" s="42" t="n">
        <x:v>166002.32</x:v>
      </x:c>
      <x:c r="G2578" s="42" t="n">
        <x:v>8300.12</x:v>
      </x:c>
      <x:c r="H2578" s="42" t="n">
        <x:v>487871.07</x:v>
      </x:c>
      <x:c r="I2578" s="39" t="n">
        <x:v>46278</x:v>
      </x:c>
    </x:row>
    <x:row r="2579">
      <x:c r="A2579" s="21" t="str">
        <x:v>SYN-0737</x:v>
      </x:c>
      <x:c r="B2579" s="21" t="str">
        <x:v>Synthetic Supplier 0737 LLC</x:v>
      </x:c>
      <x:c r="C2579" s="38" t="str">
        <x:f>"900 000 000 000 737"</x:f>
        <x:v>900 000 000 000 737</x:v>
      </x:c>
      <x:c r="D2579" s="21" t="str">
        <x:v>SYN-0737-INV-02</x:v>
      </x:c>
      <x:c r="E2579" s="39" t="n">
        <x:v>46247</x:v>
      </x:c>
      <x:c r="F2579" s="42" t="n">
        <x:v>150047</x:v>
      </x:c>
      <x:c r="G2579" s="42" t="n">
        <x:v>7502.35</x:v>
      </x:c>
      <x:c r="H2579" s="42" t="n">
        <x:v>487871.07</x:v>
      </x:c>
      <x:c r="I2579" s="39" t="n">
        <x:v>46278</x:v>
      </x:c>
    </x:row>
    <x:row r="2580">
      <x:c r="A2580" s="21" t="str">
        <x:v>SYN-0737</x:v>
      </x:c>
      <x:c r="B2580" s="21" t="str">
        <x:v>Synthetic Supplier 0737 LLC</x:v>
      </x:c>
      <x:c r="C2580" s="38" t="str">
        <x:f>"900 000 000 000 737"</x:f>
        <x:v>900 000 000 000 737</x:v>
      </x:c>
      <x:c r="D2580" s="21" t="str">
        <x:v>SYN-0737-INV-03</x:v>
      </x:c>
      <x:c r="E2580" s="39" t="n">
        <x:v>45934</x:v>
      </x:c>
      <x:c r="F2580" s="42" t="n">
        <x:v>226029.65</x:v>
      </x:c>
      <x:c r="G2580" s="42" t="n">
        <x:v>11301.48</x:v>
      </x:c>
      <x:c r="H2580" s="42" t="n">
        <x:v>487871.07</x:v>
      </x:c>
      <x:c r="I2580" s="39" t="n">
        <x:v>46278</x:v>
      </x:c>
    </x:row>
    <x:row r="2581">
      <x:c r="A2581" s="21" t="str">
        <x:v>SYN-0738</x:v>
      </x:c>
      <x:c r="B2581" s="21" t="str">
        <x:v>Synthetic Supplier 0738 LLC</x:v>
      </x:c>
      <x:c r="C2581" s="38" t="str">
        <x:f>"900 000 000 000 738"</x:f>
        <x:v>900 000 000 000 738</x:v>
      </x:c>
      <x:c r="D2581" s="21" t="str">
        <x:v>SYN-0738-INV-01</x:v>
      </x:c>
      <x:c r="E2581" s="39" t="n">
        <x:v>46213</x:v>
      </x:c>
      <x:c r="F2581" s="42" t="n">
        <x:v>157865.48</x:v>
      </x:c>
      <x:c r="G2581" s="42" t="n">
        <x:v>7893.27</x:v>
      </x:c>
      <x:c r="H2581" s="42" t="n">
        <x:v>680034.54</x:v>
      </x:c>
      <x:c r="I2581" s="39" t="n">
        <x:v>45671</x:v>
      </x:c>
    </x:row>
    <x:row r="2582">
      <x:c r="A2582" s="21" t="str">
        <x:v>SYN-0738</x:v>
      </x:c>
      <x:c r="B2582" s="21" t="str">
        <x:v>Synthetic Supplier 0738 LLC</x:v>
      </x:c>
      <x:c r="C2582" s="38" t="str">
        <x:f>"900 000 000 000 738"</x:f>
        <x:v>900 000 000 000 738</x:v>
      </x:c>
      <x:c r="D2582" s="21" t="str">
        <x:v>SYN-0738-INV-02</x:v>
      </x:c>
      <x:c r="E2582" s="39" t="n">
        <x:v>46260</x:v>
      </x:c>
      <x:c r="F2582" s="42" t="n">
        <x:v>138255.4</x:v>
      </x:c>
      <x:c r="G2582" s="42" t="n">
        <x:v>6912.77</x:v>
      </x:c>
      <x:c r="H2582" s="42" t="n">
        <x:v>680034.54</x:v>
      </x:c>
      <x:c r="I2582" s="39" t="n">
        <x:v>45671</x:v>
      </x:c>
    </x:row>
    <x:row r="2583">
      <x:c r="A2583" s="21" t="str">
        <x:v>SYN-0738</x:v>
      </x:c>
      <x:c r="B2583" s="21" t="str">
        <x:v>Synthetic Supplier 0738 LLC</x:v>
      </x:c>
      <x:c r="C2583" s="38" t="str">
        <x:f>"900 000 000 000 738"</x:f>
        <x:v>900 000 000 000 738</x:v>
      </x:c>
      <x:c r="D2583" s="21" t="str">
        <x:v>SYN-0738-INV-03</x:v>
      </x:c>
      <x:c r="E2583" s="39" t="n">
        <x:v>45947</x:v>
      </x:c>
      <x:c r="F2583" s="42" t="n">
        <x:v>319526.73</x:v>
      </x:c>
      <x:c r="G2583" s="42" t="n">
        <x:v>15976.34</x:v>
      </x:c>
      <x:c r="H2583" s="42" t="n">
        <x:v>680034.54</x:v>
      </x:c>
      <x:c r="I2583" s="39" t="n">
        <x:v>45671</x:v>
      </x:c>
    </x:row>
    <x:row r="2584">
      <x:c r="A2584" s="21" t="str">
        <x:v>SYN-0738</x:v>
      </x:c>
      <x:c r="B2584" s="21" t="str">
        <x:v>Synthetic Supplier 0738 LLC</x:v>
      </x:c>
      <x:c r="C2584" s="38" t="str">
        <x:f>"900 000 000 000 738"</x:f>
        <x:v>900 000 000 000 738</x:v>
      </x:c>
      <x:c r="D2584" s="21" t="str">
        <x:v>SYN-0738-INV-04</x:v>
      </x:c>
      <x:c r="E2584" s="39" t="n">
        <x:v>45994</x:v>
      </x:c>
      <x:c r="F2584" s="42" t="n">
        <x:v>139946.31</x:v>
      </x:c>
      <x:c r="G2584" s="42" t="n">
        <x:v>6997.32</x:v>
      </x:c>
      <x:c r="H2584" s="42" t="n">
        <x:v>680034.54</x:v>
      </x:c>
      <x:c r="I2584" s="39" t="n">
        <x:v>45671</x:v>
      </x:c>
    </x:row>
    <x:row r="2585">
      <x:c r="A2585" s="21" t="str">
        <x:v>SYN-0739</x:v>
      </x:c>
      <x:c r="B2585" s="21" t="str">
        <x:v>Synthetic Supplier 0739 LLC</x:v>
      </x:c>
      <x:c r="C2585" s="38" t="str">
        <x:f>"900 000 000 000 739"</x:f>
        <x:v>900 000 000 000 739</x:v>
      </x:c>
      <x:c r="D2585" s="21" t="str">
        <x:v>SYN-0739-INV-01</x:v>
      </x:c>
      <x:c r="E2585" s="39" t="n">
        <x:v>46226</x:v>
      </x:c>
      <x:c r="F2585" s="42" t="n">
        <x:v>66491.96</x:v>
      </x:c>
      <x:c r="G2585" s="42" t="n">
        <x:v>3324.6</x:v>
      </x:c>
      <x:c r="H2585" s="42" t="n">
        <x:v>478942.22</x:v>
      </x:c>
      <x:c r="I2585" s="39" t="n">
        <x:v>46068</x:v>
      </x:c>
    </x:row>
    <x:row r="2586">
      <x:c r="A2586" s="21" t="str">
        <x:v>SYN-0739</x:v>
      </x:c>
      <x:c r="B2586" s="21" t="str">
        <x:v>Synthetic Supplier 0739 LLC</x:v>
      </x:c>
      <x:c r="C2586" s="38" t="str">
        <x:f>"900 000 000 000 739"</x:f>
        <x:v>900 000 000 000 739</x:v>
      </x:c>
      <x:c r="D2586" s="21" t="str">
        <x:v>SYN-0739-INV-02</x:v>
      </x:c>
      <x:c r="E2586" s="39" t="n">
        <x:v>46273</x:v>
      </x:c>
      <x:c r="F2586" s="42" t="n">
        <x:v>134176.39</x:v>
      </x:c>
      <x:c r="G2586" s="42" t="n">
        <x:v>6708.82</x:v>
      </x:c>
      <x:c r="H2586" s="42" t="n">
        <x:v>478942.22</x:v>
      </x:c>
      <x:c r="I2586" s="39" t="n">
        <x:v>46068</x:v>
      </x:c>
    </x:row>
    <x:row r="2587">
      <x:c r="A2587" s="21" t="str">
        <x:v>SYN-0739</x:v>
      </x:c>
      <x:c r="B2587" s="21" t="str">
        <x:v>Synthetic Supplier 0739 LLC</x:v>
      </x:c>
      <x:c r="C2587" s="38" t="str">
        <x:f>"900 000 000 000 739"</x:f>
        <x:v>900 000 000 000 739</x:v>
      </x:c>
      <x:c r="D2587" s="21" t="str">
        <x:v>SYN-0739-INV-03</x:v>
      </x:c>
      <x:c r="E2587" s="39" t="n">
        <x:v>45960</x:v>
      </x:c>
      <x:c r="F2587" s="42" t="n">
        <x:v>67963.31</x:v>
      </x:c>
      <x:c r="G2587" s="42" t="n">
        <x:v>3398.17</x:v>
      </x:c>
      <x:c r="H2587" s="42" t="n">
        <x:v>478942.22</x:v>
      </x:c>
      <x:c r="I2587" s="39" t="n">
        <x:v>46068</x:v>
      </x:c>
    </x:row>
    <x:row r="2588">
      <x:c r="A2588" s="21" t="str">
        <x:v>SYN-0739</x:v>
      </x:c>
      <x:c r="B2588" s="21" t="str">
        <x:v>Synthetic Supplier 0739 LLC</x:v>
      </x:c>
      <x:c r="C2588" s="38" t="str">
        <x:f>"900 000 000 000 739"</x:f>
        <x:v>900 000 000 000 739</x:v>
      </x:c>
      <x:c r="D2588" s="21" t="str">
        <x:v>SYN-0739-INV-04</x:v>
      </x:c>
      <x:c r="E2588" s="39" t="n">
        <x:v>46007</x:v>
      </x:c>
      <x:c r="F2588" s="42" t="n">
        <x:v>156350.24</x:v>
      </x:c>
      <x:c r="G2588" s="42" t="n">
        <x:v>7817.51</x:v>
      </x:c>
      <x:c r="H2588" s="42" t="n">
        <x:v>478942.22</x:v>
      </x:c>
      <x:c r="I2588" s="39" t="n">
        <x:v>46068</x:v>
      </x:c>
    </x:row>
    <x:row r="2589">
      <x:c r="A2589" s="21" t="str">
        <x:v>SYN-0739</x:v>
      </x:c>
      <x:c r="B2589" s="21" t="str">
        <x:v>Synthetic Supplier 0739 LLC</x:v>
      </x:c>
      <x:c r="C2589" s="38" t="str">
        <x:f>"900 000 000 000 739"</x:f>
        <x:v>900 000 000 000 739</x:v>
      </x:c>
      <x:c r="D2589" s="21" t="str">
        <x:v>SYN-0739-INV-05</x:v>
      </x:c>
      <x:c r="E2589" s="39" t="n">
        <x:v>46054</x:v>
      </x:c>
      <x:c r="F2589" s="42" t="n">
        <x:v>107176.12</x:v>
      </x:c>
      <x:c r="G2589" s="42" t="n">
        <x:v>5358.81</x:v>
      </x:c>
      <x:c r="H2589" s="42" t="n">
        <x:v>478942.22</x:v>
      </x:c>
      <x:c r="I2589" s="39" t="n">
        <x:v>46068</x:v>
      </x:c>
    </x:row>
    <x:row r="2590">
      <x:c r="A2590" s="21" t="str">
        <x:v>SYN-0740</x:v>
      </x:c>
      <x:c r="B2590" s="21" t="str">
        <x:v>Synthetic Supplier 0740 LLC</x:v>
      </x:c>
      <x:c r="C2590" s="38" t="str">
        <x:f>"900 000 000 000 740"</x:f>
        <x:v>900 000 000 000 740</x:v>
      </x:c>
      <x:c r="D2590" s="21" t="str">
        <x:v>SYN-0740-INV-01</x:v>
      </x:c>
      <x:c r="E2590" s="39" t="n">
        <x:v>46239</x:v>
      </x:c>
      <x:c r="F2590" s="42" t="n">
        <x:v>193088.63</x:v>
      </x:c>
      <x:c r="G2590" s="42" t="n">
        <x:v>9654.43</x:v>
      </x:c>
      <x:c r="H2590" s="42" t="n">
        <x:v>344997.98</x:v>
      </x:c>
      <x:c r="I2590" s="39"/>
    </x:row>
    <x:row r="2591">
      <x:c r="A2591" s="21" t="str">
        <x:v>SYN-0740</x:v>
      </x:c>
      <x:c r="B2591" s="21" t="str">
        <x:v>Synthetic Supplier 0740 LLC</x:v>
      </x:c>
      <x:c r="C2591" s="38" t="str">
        <x:f>"900 000 000 000 740"</x:f>
        <x:v>900 000 000 000 740</x:v>
      </x:c>
      <x:c r="D2591" s="21" t="str">
        <x:v>SYN-0740-INV-02</x:v>
      </x:c>
      <x:c r="E2591" s="39" t="n">
        <x:v>46286</x:v>
      </x:c>
      <x:c r="F2591" s="42" t="n">
        <x:v>190242.46</x:v>
      </x:c>
      <x:c r="G2591" s="42" t="n">
        <x:v>9512.12</x:v>
      </x:c>
      <x:c r="H2591" s="42" t="n">
        <x:v>344997.98</x:v>
      </x:c>
      <x:c r="I2591" s="39"/>
    </x:row>
    <x:row r="2592">
      <x:c r="A2592" s="21" t="str">
        <x:v>SYN-0741</x:v>
      </x:c>
      <x:c r="B2592" s="21" t="str">
        <x:v>Synthetic Supplier 0741 LLC</x:v>
      </x:c>
      <x:c r="C2592" s="38" t="str">
        <x:f>"900 000 000 000 741"</x:f>
        <x:v>900 000 000 000 741</x:v>
      </x:c>
      <x:c r="D2592" s="21" t="str">
        <x:v>SYN-0741-INV-01</x:v>
      </x:c>
      <x:c r="E2592" s="39" t="n">
        <x:v>46252</x:v>
      </x:c>
      <x:c r="F2592" s="42" t="n">
        <x:v>177799.27</x:v>
      </x:c>
      <x:c r="G2592" s="42" t="n">
        <x:v>8889.96</x:v>
      </x:c>
      <x:c r="H2592" s="42" t="n">
        <x:v>681541.33</x:v>
      </x:c>
      <x:c r="I2592" s="39" t="n">
        <x:v>46129</x:v>
      </x:c>
    </x:row>
    <x:row r="2593">
      <x:c r="A2593" s="21" t="str">
        <x:v>SYN-0741</x:v>
      </x:c>
      <x:c r="B2593" s="21" t="str">
        <x:v>Synthetic Supplier 0741 LLC</x:v>
      </x:c>
      <x:c r="C2593" s="38" t="str">
        <x:f>"900 000 000 000 741"</x:f>
        <x:v>900 000 000 000 741</x:v>
      </x:c>
      <x:c r="D2593" s="21" t="str">
        <x:v>SYN-0741-INV-02</x:v>
      </x:c>
      <x:c r="E2593" s="39" t="n">
        <x:v>45939</x:v>
      </x:c>
      <x:c r="F2593" s="42" t="n">
        <x:v>306204.22</x:v>
      </x:c>
      <x:c r="G2593" s="42" t="n">
        <x:v>15310.21</x:v>
      </x:c>
      <x:c r="H2593" s="42" t="n">
        <x:v>681541.33</x:v>
      </x:c>
      <x:c r="I2593" s="39" t="n">
        <x:v>46129</x:v>
      </x:c>
    </x:row>
    <x:row r="2594">
      <x:c r="A2594" s="21" t="str">
        <x:v>SYN-0741</x:v>
      </x:c>
      <x:c r="B2594" s="21" t="str">
        <x:v>Synthetic Supplier 0741 LLC</x:v>
      </x:c>
      <x:c r="C2594" s="38" t="str">
        <x:f>"900 000 000 000 741"</x:f>
        <x:v>900 000 000 000 741</x:v>
      </x:c>
      <x:c r="D2594" s="21" t="str">
        <x:v>SYN-0741-INV-03</x:v>
      </x:c>
      <x:c r="E2594" s="39" t="n">
        <x:v>45986</x:v>
      </x:c>
      <x:c r="F2594" s="42" t="n">
        <x:v>273264.65</x:v>
      </x:c>
      <x:c r="G2594" s="42" t="n">
        <x:v>13663.23</x:v>
      </x:c>
      <x:c r="H2594" s="42" t="n">
        <x:v>681541.33</x:v>
      </x:c>
      <x:c r="I2594" s="39" t="n">
        <x:v>46129</x:v>
      </x:c>
    </x:row>
    <x:row r="2595">
      <x:c r="A2595" s="21" t="str">
        <x:v>SYN-0742</x:v>
      </x:c>
      <x:c r="B2595" s="21" t="str">
        <x:v>Synthetic Supplier 0742 LLC</x:v>
      </x:c>
      <x:c r="C2595" s="38" t="str">
        <x:f>"900 000 000 000 742"</x:f>
        <x:v>900 000 000 000 742</x:v>
      </x:c>
      <x:c r="D2595" s="21" t="str">
        <x:v>SYN-0742-INV-01</x:v>
      </x:c>
      <x:c r="E2595" s="39" t="n">
        <x:v>46265</x:v>
      </x:c>
      <x:c r="F2595" s="42" t="n">
        <x:v>120478.27</x:v>
      </x:c>
      <x:c r="G2595" s="42" t="n">
        <x:v>6023.91</x:v>
      </x:c>
      <x:c r="H2595" s="42" t="n">
        <x:v>579177.26</x:v>
      </x:c>
      <x:c r="I2595" s="39" t="n">
        <x:v>45795</x:v>
      </x:c>
    </x:row>
    <x:row r="2596">
      <x:c r="A2596" s="21" t="str">
        <x:v>SYN-0742</x:v>
      </x:c>
      <x:c r="B2596" s="21" t="str">
        <x:v>Synthetic Supplier 0742 LLC</x:v>
      </x:c>
      <x:c r="C2596" s="38" t="str">
        <x:f>"900 000 000 000 742"</x:f>
        <x:v>900 000 000 000 742</x:v>
      </x:c>
      <x:c r="D2596" s="21" t="str">
        <x:v>SYN-0742-INV-02</x:v>
      </x:c>
      <x:c r="E2596" s="39" t="n">
        <x:v>45952</x:v>
      </x:c>
      <x:c r="F2596" s="42" t="n">
        <x:v>68412.63</x:v>
      </x:c>
      <x:c r="G2596" s="42" t="n">
        <x:v>3420.63</x:v>
      </x:c>
      <x:c r="H2596" s="42" t="n">
        <x:v>579177.26</x:v>
      </x:c>
      <x:c r="I2596" s="39" t="n">
        <x:v>45795</x:v>
      </x:c>
    </x:row>
    <x:row r="2597">
      <x:c r="A2597" s="21" t="str">
        <x:v>SYN-0742</x:v>
      </x:c>
      <x:c r="B2597" s="21" t="str">
        <x:v>Synthetic Supplier 0742 LLC</x:v>
      </x:c>
      <x:c r="C2597" s="38" t="str">
        <x:f>"900 000 000 000 742"</x:f>
        <x:v>900 000 000 000 742</x:v>
      </x:c>
      <x:c r="D2597" s="21" t="str">
        <x:v>SYN-0742-INV-03</x:v>
      </x:c>
      <x:c r="E2597" s="39" t="n">
        <x:v>45999</x:v>
      </x:c>
      <x:c r="F2597" s="42" t="n">
        <x:v>162051.58</x:v>
      </x:c>
      <x:c r="G2597" s="42" t="n">
        <x:v>8102.58</x:v>
      </x:c>
      <x:c r="H2597" s="42" t="n">
        <x:v>579177.26</x:v>
      </x:c>
      <x:c r="I2597" s="39" t="n">
        <x:v>45795</x:v>
      </x:c>
    </x:row>
    <x:row r="2598">
      <x:c r="A2598" s="21" t="str">
        <x:v>SYN-0742</x:v>
      </x:c>
      <x:c r="B2598" s="21" t="str">
        <x:v>Synthetic Supplier 0742 LLC</x:v>
      </x:c>
      <x:c r="C2598" s="38" t="str">
        <x:f>"900 000 000 000 742"</x:f>
        <x:v>900 000 000 000 742</x:v>
      </x:c>
      <x:c r="D2598" s="21" t="str">
        <x:v>SYN-0742-INV-04</x:v>
      </x:c>
      <x:c r="E2598" s="39" t="n">
        <x:v>46046</x:v>
      </x:c>
      <x:c r="F2598" s="42" t="n">
        <x:v>152689.91</x:v>
      </x:c>
      <x:c r="G2598" s="42" t="n">
        <x:v>7634.5</x:v>
      </x:c>
      <x:c r="H2598" s="42" t="n">
        <x:v>579177.26</x:v>
      </x:c>
      <x:c r="I2598" s="39" t="n">
        <x:v>45795</x:v>
      </x:c>
    </x:row>
    <x:row r="2599">
      <x:c r="A2599" s="21" t="str">
        <x:v>SYN-0743</x:v>
      </x:c>
      <x:c r="B2599" s="21" t="str">
        <x:v>Synthetic Supplier 0743 LLC</x:v>
      </x:c>
      <x:c r="C2599" s="38" t="str">
        <x:f>"900 000 000 000 743"</x:f>
        <x:v>900 000 000 000 743</x:v>
      </x:c>
      <x:c r="D2599" s="21" t="str">
        <x:v>SYN-0743-INV-01</x:v>
      </x:c>
      <x:c r="E2599" s="39" t="n">
        <x:v>46278</x:v>
      </x:c>
      <x:c r="F2599" s="42" t="n">
        <x:v>153653.19</x:v>
      </x:c>
      <x:c r="G2599" s="42" t="n">
        <x:v>7682.66</x:v>
      </x:c>
      <x:c r="H2599" s="42" t="n">
        <x:v>717042.22</x:v>
      </x:c>
      <x:c r="I2599" s="39" t="n">
        <x:v>46192</x:v>
      </x:c>
    </x:row>
    <x:row r="2600">
      <x:c r="A2600" s="21" t="str">
        <x:v>SYN-0743</x:v>
      </x:c>
      <x:c r="B2600" s="21" t="str">
        <x:v>Synthetic Supplier 0743 LLC</x:v>
      </x:c>
      <x:c r="C2600" s="38" t="str">
        <x:f>"900 000 000 000 743"</x:f>
        <x:v>900 000 000 000 743</x:v>
      </x:c>
      <x:c r="D2600" s="21" t="str">
        <x:v>SYN-0743-INV-02</x:v>
      </x:c>
      <x:c r="E2600" s="39" t="n">
        <x:v>45965</x:v>
      </x:c>
      <x:c r="F2600" s="42" t="n">
        <x:v>166314.6</x:v>
      </x:c>
      <x:c r="G2600" s="42" t="n">
        <x:v>8315.73</x:v>
      </x:c>
      <x:c r="H2600" s="42" t="n">
        <x:v>717042.22</x:v>
      </x:c>
      <x:c r="I2600" s="39" t="n">
        <x:v>46192</x:v>
      </x:c>
    </x:row>
    <x:row r="2601">
      <x:c r="A2601" s="21" t="str">
        <x:v>SYN-0743</x:v>
      </x:c>
      <x:c r="B2601" s="21" t="str">
        <x:v>Synthetic Supplier 0743 LLC</x:v>
      </x:c>
      <x:c r="C2601" s="38" t="str">
        <x:f>"900 000 000 000 743"</x:f>
        <x:v>900 000 000 000 743</x:v>
      </x:c>
      <x:c r="D2601" s="21" t="str">
        <x:v>SYN-0743-INV-03</x:v>
      </x:c>
      <x:c r="E2601" s="39" t="n">
        <x:v>46012</x:v>
      </x:c>
      <x:c r="F2601" s="42" t="n">
        <x:v>142031.84</x:v>
      </x:c>
      <x:c r="G2601" s="42" t="n">
        <x:v>7101.59</x:v>
      </x:c>
      <x:c r="H2601" s="42" t="n">
        <x:v>717042.22</x:v>
      </x:c>
      <x:c r="I2601" s="39" t="n">
        <x:v>46192</x:v>
      </x:c>
    </x:row>
    <x:row r="2602">
      <x:c r="A2602" s="21" t="str">
        <x:v>SYN-0743</x:v>
      </x:c>
      <x:c r="B2602" s="21" t="str">
        <x:v>Synthetic Supplier 0743 LLC</x:v>
      </x:c>
      <x:c r="C2602" s="38" t="str">
        <x:f>"900 000 000 000 743"</x:f>
        <x:v>900 000 000 000 743</x:v>
      </x:c>
      <x:c r="D2602" s="21" t="str">
        <x:v>SYN-0743-INV-04</x:v>
      </x:c>
      <x:c r="E2602" s="39" t="n">
        <x:v>46059</x:v>
      </x:c>
      <x:c r="F2602" s="42" t="n">
        <x:v>145588.22</x:v>
      </x:c>
      <x:c r="G2602" s="42" t="n">
        <x:v>7279.41</x:v>
      </x:c>
      <x:c r="H2602" s="42" t="n">
        <x:v>717042.22</x:v>
      </x:c>
      <x:c r="I2602" s="39" t="n">
        <x:v>46192</x:v>
      </x:c>
    </x:row>
    <x:row r="2603">
      <x:c r="A2603" s="21" t="str">
        <x:v>SYN-0743</x:v>
      </x:c>
      <x:c r="B2603" s="21" t="str">
        <x:v>Synthetic Supplier 0743 LLC</x:v>
      </x:c>
      <x:c r="C2603" s="38" t="str">
        <x:f>"900 000 000 000 743"</x:f>
        <x:v>900 000 000 000 743</x:v>
      </x:c>
      <x:c r="D2603" s="21" t="str">
        <x:v>SYN-0743-INV-05</x:v>
      </x:c>
      <x:c r="E2603" s="39" t="n">
        <x:v>46106</x:v>
      </x:c>
      <x:c r="F2603" s="42" t="n">
        <x:v>189125.73</x:v>
      </x:c>
      <x:c r="G2603" s="42" t="n">
        <x:v>9456.29</x:v>
      </x:c>
      <x:c r="H2603" s="42" t="n">
        <x:v>717042.22</x:v>
      </x:c>
      <x:c r="I2603" s="39" t="n">
        <x:v>46192</x:v>
      </x:c>
    </x:row>
    <x:row r="2604">
      <x:c r="A2604" s="21" t="str">
        <x:v>SYN-0744</x:v>
      </x:c>
      <x:c r="B2604" s="21" t="str">
        <x:v>Synthetic Supplier 0744 LLC</x:v>
      </x:c>
      <x:c r="C2604" s="38" t="str">
        <x:f>"900 000 000 000 744"</x:f>
        <x:v>900 000 000 000 744</x:v>
      </x:c>
      <x:c r="D2604" s="21" t="str">
        <x:v>SYN-0744-INV-01</x:v>
      </x:c>
      <x:c r="E2604" s="39" t="n">
        <x:v>46291</x:v>
      </x:c>
      <x:c r="F2604" s="42" t="n">
        <x:v>281949.8</x:v>
      </x:c>
      <x:c r="G2604" s="42" t="n">
        <x:v>14097.49</x:v>
      </x:c>
      <x:c r="H2604" s="42" t="n">
        <x:v>652711.1</x:v>
      </x:c>
      <x:c r="I2604" s="39" t="n">
        <x:v>45858</x:v>
      </x:c>
    </x:row>
    <x:row r="2605">
      <x:c r="A2605" s="21" t="str">
        <x:v>SYN-0744</x:v>
      </x:c>
      <x:c r="B2605" s="21" t="str">
        <x:v>Synthetic Supplier 0744 LLC</x:v>
      </x:c>
      <x:c r="C2605" s="38" t="str">
        <x:f>"900 000 000 000 744"</x:f>
        <x:v>900 000 000 000 744</x:v>
      </x:c>
      <x:c r="D2605" s="21" t="str">
        <x:v>SYN-0744-INV-02</x:v>
      </x:c>
      <x:c r="E2605" s="39" t="n">
        <x:v>45978</x:v>
      </x:c>
      <x:c r="F2605" s="42" t="n">
        <x:v>443284.75</x:v>
      </x:c>
      <x:c r="G2605" s="42" t="n">
        <x:v>22164.24</x:v>
      </x:c>
      <x:c r="H2605" s="42" t="n">
        <x:v>652711.1</x:v>
      </x:c>
      <x:c r="I2605" s="39" t="n">
        <x:v>45858</x:v>
      </x:c>
    </x:row>
    <x:row r="2606">
      <x:c r="A2606" s="21" t="str">
        <x:v>SYN-0745</x:v>
      </x:c>
      <x:c r="B2606" s="21" t="str">
        <x:v>Synthetic Supplier 0745 LLC</x:v>
      </x:c>
      <x:c r="C2606" s="38" t="str">
        <x:f>"900 000 000 000 745"</x:f>
        <x:v>900 000 000 000 745</x:v>
      </x:c>
      <x:c r="D2606" s="21" t="str">
        <x:v>SYN-0745-INV-01</x:v>
      </x:c>
      <x:c r="E2606" s="39" t="n">
        <x:v>45944</x:v>
      </x:c>
      <x:c r="F2606" s="42" t="n">
        <x:v>284456.47</x:v>
      </x:c>
      <x:c r="G2606" s="42" t="n">
        <x:v>14222.82</x:v>
      </x:c>
      <x:c r="H2606" s="42" t="n">
        <x:v>695023.64</x:v>
      </x:c>
      <x:c r="I2606" s="39"/>
    </x:row>
    <x:row r="2607">
      <x:c r="A2607" s="21" t="str">
        <x:v>SYN-0745</x:v>
      </x:c>
      <x:c r="B2607" s="21" t="str">
        <x:v>Synthetic Supplier 0745 LLC</x:v>
      </x:c>
      <x:c r="C2607" s="38" t="str">
        <x:f>"900 000 000 000 745"</x:f>
        <x:v>900 000 000 000 745</x:v>
      </x:c>
      <x:c r="D2607" s="21" t="str">
        <x:v>SYN-0745-INV-02</x:v>
      </x:c>
      <x:c r="E2607" s="39" t="n">
        <x:v>45991</x:v>
      </x:c>
      <x:c r="F2607" s="42" t="n">
        <x:v>202776.39</x:v>
      </x:c>
      <x:c r="G2607" s="42" t="n">
        <x:v>10138.82</x:v>
      </x:c>
      <x:c r="H2607" s="42" t="n">
        <x:v>695023.64</x:v>
      </x:c>
      <x:c r="I2607" s="39"/>
    </x:row>
    <x:row r="2608">
      <x:c r="A2608" s="21" t="str">
        <x:v>SYN-0745</x:v>
      </x:c>
      <x:c r="B2608" s="21" t="str">
        <x:v>Synthetic Supplier 0745 LLC</x:v>
      </x:c>
      <x:c r="C2608" s="38" t="str">
        <x:f>"900 000 000 000 745"</x:f>
        <x:v>900 000 000 000 745</x:v>
      </x:c>
      <x:c r="D2608" s="21" t="str">
        <x:v>SYN-0745-INV-03</x:v>
      </x:c>
      <x:c r="E2608" s="39" t="n">
        <x:v>46038</x:v>
      </x:c>
      <x:c r="F2608" s="42" t="n">
        <x:v>285015.64</x:v>
      </x:c>
      <x:c r="G2608" s="42" t="n">
        <x:v>14250.78</x:v>
      </x:c>
      <x:c r="H2608" s="42" t="n">
        <x:v>695023.64</x:v>
      </x:c>
      <x:c r="I2608" s="39"/>
    </x:row>
    <x:row r="2609">
      <x:c r="A2609" s="21" t="str">
        <x:v>SYN-0746</x:v>
      </x:c>
      <x:c r="B2609" s="21" t="str">
        <x:v>Synthetic Supplier 0746 LLC</x:v>
      </x:c>
      <x:c r="C2609" s="38" t="str">
        <x:f>"900 000 000 000 746"</x:f>
        <x:v>900 000 000 000 746</x:v>
      </x:c>
      <x:c r="D2609" s="21" t="str">
        <x:v>SYN-0746-INV-01</x:v>
      </x:c>
      <x:c r="E2609" s="39" t="n">
        <x:v>45957</x:v>
      </x:c>
      <x:c r="F2609" s="42" t="n">
        <x:v>80275.51</x:v>
      </x:c>
      <x:c r="G2609" s="42" t="n">
        <x:v>4013.78</x:v>
      </x:c>
      <x:c r="H2609" s="42" t="n">
        <x:v>412625.75</x:v>
      </x:c>
      <x:c r="I2609" s="39" t="n">
        <x:v>45922</x:v>
      </x:c>
    </x:row>
    <x:row r="2610">
      <x:c r="A2610" s="21" t="str">
        <x:v>SYN-0746</x:v>
      </x:c>
      <x:c r="B2610" s="21" t="str">
        <x:v>Synthetic Supplier 0746 LLC</x:v>
      </x:c>
      <x:c r="C2610" s="38" t="str">
        <x:f>"900 000 000 000 746"</x:f>
        <x:v>900 000 000 000 746</x:v>
      </x:c>
      <x:c r="D2610" s="21" t="str">
        <x:v>SYN-0746-INV-02</x:v>
      </x:c>
      <x:c r="E2610" s="39" t="n">
        <x:v>46004</x:v>
      </x:c>
      <x:c r="F2610" s="42" t="n">
        <x:v>117070.73</x:v>
      </x:c>
      <x:c r="G2610" s="42" t="n">
        <x:v>5853.54</x:v>
      </x:c>
      <x:c r="H2610" s="42" t="n">
        <x:v>412625.75</x:v>
      </x:c>
      <x:c r="I2610" s="39" t="n">
        <x:v>45922</x:v>
      </x:c>
    </x:row>
    <x:row r="2611">
      <x:c r="A2611" s="21" t="str">
        <x:v>SYN-0746</x:v>
      </x:c>
      <x:c r="B2611" s="21" t="str">
        <x:v>Synthetic Supplier 0746 LLC</x:v>
      </x:c>
      <x:c r="C2611" s="38" t="str">
        <x:f>"900 000 000 000 746"</x:f>
        <x:v>900 000 000 000 746</x:v>
      </x:c>
      <x:c r="D2611" s="21" t="str">
        <x:v>SYN-0746-INV-03</x:v>
      </x:c>
      <x:c r="E2611" s="39" t="n">
        <x:v>46051</x:v>
      </x:c>
      <x:c r="F2611" s="42" t="n">
        <x:v>102207.15</x:v>
      </x:c>
      <x:c r="G2611" s="42" t="n">
        <x:v>5110.36</x:v>
      </x:c>
      <x:c r="H2611" s="42" t="n">
        <x:v>412625.75</x:v>
      </x:c>
      <x:c r="I2611" s="39" t="n">
        <x:v>45922</x:v>
      </x:c>
    </x:row>
    <x:row r="2612">
      <x:c r="A2612" s="21" t="str">
        <x:v>SYN-0746</x:v>
      </x:c>
      <x:c r="B2612" s="21" t="str">
        <x:v>Synthetic Supplier 0746 LLC</x:v>
      </x:c>
      <x:c r="C2612" s="38" t="str">
        <x:f>"900 000 000 000 746"</x:f>
        <x:v>900 000 000 000 746</x:v>
      </x:c>
      <x:c r="D2612" s="21" t="str">
        <x:v>SYN-0746-INV-04</x:v>
      </x:c>
      <x:c r="E2612" s="39" t="n">
        <x:v>46098</x:v>
      </x:c>
      <x:c r="F2612" s="42" t="n">
        <x:v>158919.67</x:v>
      </x:c>
      <x:c r="G2612" s="42" t="n">
        <x:v>7945.98</x:v>
      </x:c>
      <x:c r="H2612" s="42" t="n">
        <x:v>412625.75</x:v>
      </x:c>
      <x:c r="I2612" s="39" t="n">
        <x:v>45922</x:v>
      </x:c>
    </x:row>
    <x:row r="2613">
      <x:c r="A2613" s="21" t="str">
        <x:v>SYN-0747</x:v>
      </x:c>
      <x:c r="B2613" s="21" t="str">
        <x:v>Synthetic Supplier 0747 LLC</x:v>
      </x:c>
      <x:c r="C2613" s="38" t="str">
        <x:f>"900 000 000 000 747"</x:f>
        <x:v>900 000 000 000 747</x:v>
      </x:c>
      <x:c r="D2613" s="21" t="str">
        <x:v>SYN-0747-INV-01</x:v>
      </x:c>
      <x:c r="E2613" s="39" t="n">
        <x:v>45970</x:v>
      </x:c>
      <x:c r="F2613" s="42" t="n">
        <x:v>54345.81</x:v>
      </x:c>
      <x:c r="G2613" s="42" t="n">
        <x:v>2717.29</x:v>
      </x:c>
      <x:c r="H2613" s="42" t="n">
        <x:v>364859.47</x:v>
      </x:c>
      <x:c r="I2613" s="39" t="n">
        <x:v>46045</x:v>
      </x:c>
    </x:row>
    <x:row r="2614">
      <x:c r="A2614" s="21" t="str">
        <x:v>SYN-0747</x:v>
      </x:c>
      <x:c r="B2614" s="21" t="str">
        <x:v>Synthetic Supplier 0747 LLC</x:v>
      </x:c>
      <x:c r="C2614" s="38" t="str">
        <x:f>"900 000 000 000 747"</x:f>
        <x:v>900 000 000 000 747</x:v>
      </x:c>
      <x:c r="D2614" s="21" t="str">
        <x:v>SYN-0747-INV-02</x:v>
      </x:c>
      <x:c r="E2614" s="39" t="n">
        <x:v>46017</x:v>
      </x:c>
      <x:c r="F2614" s="42" t="n">
        <x:v>109397.32</x:v>
      </x:c>
      <x:c r="G2614" s="42" t="n">
        <x:v>5469.87</x:v>
      </x:c>
      <x:c r="H2614" s="42" t="n">
        <x:v>364859.47</x:v>
      </x:c>
      <x:c r="I2614" s="39" t="n">
        <x:v>46045</x:v>
      </x:c>
    </x:row>
    <x:row r="2615">
      <x:c r="A2615" s="21" t="str">
        <x:v>SYN-0747</x:v>
      </x:c>
      <x:c r="B2615" s="21" t="str">
        <x:v>Synthetic Supplier 0747 LLC</x:v>
      </x:c>
      <x:c r="C2615" s="38" t="str">
        <x:f>"900 000 000 000 747"</x:f>
        <x:v>900 000 000 000 747</x:v>
      </x:c>
      <x:c r="D2615" s="21" t="str">
        <x:v>SYN-0747-INV-03</x:v>
      </x:c>
      <x:c r="E2615" s="39" t="n">
        <x:v>46064</x:v>
      </x:c>
      <x:c r="F2615" s="42" t="n">
        <x:v>94156.08</x:v>
      </x:c>
      <x:c r="G2615" s="42" t="n">
        <x:v>4707.8</x:v>
      </x:c>
      <x:c r="H2615" s="42" t="n">
        <x:v>364859.47</x:v>
      </x:c>
      <x:c r="I2615" s="39" t="n">
        <x:v>46045</x:v>
      </x:c>
    </x:row>
    <x:row r="2616">
      <x:c r="A2616" s="21" t="str">
        <x:v>SYN-0747</x:v>
      </x:c>
      <x:c r="B2616" s="21" t="str">
        <x:v>Synthetic Supplier 0747 LLC</x:v>
      </x:c>
      <x:c r="C2616" s="38" t="str">
        <x:f>"900 000 000 000 747"</x:f>
        <x:v>900 000 000 000 747</x:v>
      </x:c>
      <x:c r="D2616" s="21" t="str">
        <x:v>SYN-0747-INV-04</x:v>
      </x:c>
      <x:c r="E2616" s="39" t="n">
        <x:v>46111</x:v>
      </x:c>
      <x:c r="F2616" s="42" t="n">
        <x:v>92391.56</x:v>
      </x:c>
      <x:c r="G2616" s="42" t="n">
        <x:v>4619.58</x:v>
      </x:c>
      <x:c r="H2616" s="42" t="n">
        <x:v>364859.47</x:v>
      </x:c>
      <x:c r="I2616" s="39" t="n">
        <x:v>46045</x:v>
      </x:c>
    </x:row>
    <x:row r="2617">
      <x:c r="A2617" s="21" t="str">
        <x:v>SYN-0747</x:v>
      </x:c>
      <x:c r="B2617" s="21" t="str">
        <x:v>Synthetic Supplier 0747 LLC</x:v>
      </x:c>
      <x:c r="C2617" s="38" t="str">
        <x:f>"900 000 000 000 747"</x:f>
        <x:v>900 000 000 000 747</x:v>
      </x:c>
      <x:c r="D2617" s="21" t="str">
        <x:v>SYN-0747-INV-05</x:v>
      </x:c>
      <x:c r="E2617" s="39" t="n">
        <x:v>46158</x:v>
      </x:c>
      <x:c r="F2617" s="42" t="n">
        <x:v>55108.65</x:v>
      </x:c>
      <x:c r="G2617" s="42" t="n">
        <x:v>2755.43</x:v>
      </x:c>
      <x:c r="H2617" s="42" t="n">
        <x:v>364859.47</x:v>
      </x:c>
      <x:c r="I2617" s="39" t="n">
        <x:v>46045</x:v>
      </x:c>
    </x:row>
    <x:row r="2618">
      <x:c r="A2618" s="21" t="str">
        <x:v>SYN-0748</x:v>
      </x:c>
      <x:c r="B2618" s="21" t="str">
        <x:v>Synthetic Supplier 0748 LLC</x:v>
      </x:c>
      <x:c r="C2618" s="38" t="str">
        <x:f>"900 000 000 000 748"</x:f>
        <x:v>900 000 000 000 748</x:v>
      </x:c>
      <x:c r="D2618" s="21" t="str">
        <x:v>SYN-0748-INV-01</x:v>
      </x:c>
      <x:c r="E2618" s="39" t="n">
        <x:v>45983</x:v>
      </x:c>
      <x:c r="F2618" s="42" t="n">
        <x:v>237205.48</x:v>
      </x:c>
      <x:c r="G2618" s="42" t="n">
        <x:v>11860.27</x:v>
      </x:c>
      <x:c r="H2618" s="42" t="n">
        <x:v>524797.1</x:v>
      </x:c>
      <x:c r="I2618" s="39" t="n">
        <x:v>45712</x:v>
      </x:c>
    </x:row>
    <x:row r="2619">
      <x:c r="A2619" s="21" t="str">
        <x:v>SYN-0748</x:v>
      </x:c>
      <x:c r="B2619" s="21" t="str">
        <x:v>Synthetic Supplier 0748 LLC</x:v>
      </x:c>
      <x:c r="C2619" s="38" t="str">
        <x:f>"900 000 000 000 748"</x:f>
        <x:v>900 000 000 000 748</x:v>
      </x:c>
      <x:c r="D2619" s="21" t="str">
        <x:v>SYN-0748-INV-02</x:v>
      </x:c>
      <x:c r="E2619" s="39" t="n">
        <x:v>46030</x:v>
      </x:c>
      <x:c r="F2619" s="42" t="n">
        <x:v>345902.41</x:v>
      </x:c>
      <x:c r="G2619" s="42" t="n">
        <x:v>17295.12</x:v>
      </x:c>
      <x:c r="H2619" s="42" t="n">
        <x:v>524797.1</x:v>
      </x:c>
      <x:c r="I2619" s="39" t="n">
        <x:v>45712</x:v>
      </x:c>
    </x:row>
    <x:row r="2620">
      <x:c r="A2620" s="21" t="str">
        <x:v>SYN-0749</x:v>
      </x:c>
      <x:c r="B2620" s="21" t="str">
        <x:v>Synthetic Supplier 0749 LLC</x:v>
      </x:c>
      <x:c r="C2620" s="38" t="str">
        <x:f>"900 000 000 000 749"</x:f>
        <x:v>900 000 000 000 749</x:v>
      </x:c>
      <x:c r="D2620" s="21" t="str">
        <x:v>SYN-0749-INV-01</x:v>
      </x:c>
      <x:c r="E2620" s="39" t="n">
        <x:v>45996</x:v>
      </x:c>
      <x:c r="F2620" s="42" t="n">
        <x:v>179608.77</x:v>
      </x:c>
      <x:c r="G2620" s="42" t="n">
        <x:v>8980.44</x:v>
      </x:c>
      <x:c r="H2620" s="42" t="n">
        <x:v>671856.45</x:v>
      </x:c>
      <x:c r="I2620" s="39" t="n">
        <x:v>46106</x:v>
      </x:c>
    </x:row>
    <x:row r="2621">
      <x:c r="A2621" s="21" t="str">
        <x:v>SYN-0749</x:v>
      </x:c>
      <x:c r="B2621" s="21" t="str">
        <x:v>Synthetic Supplier 0749 LLC</x:v>
      </x:c>
      <x:c r="C2621" s="38" t="str">
        <x:f>"900 000 000 000 749"</x:f>
        <x:v>900 000 000 000 749</x:v>
      </x:c>
      <x:c r="D2621" s="21" t="str">
        <x:v>SYN-0749-INV-02</x:v>
      </x:c>
      <x:c r="E2621" s="39" t="n">
        <x:v>46043</x:v>
      </x:c>
      <x:c r="F2621" s="42" t="n">
        <x:v>229897.95</x:v>
      </x:c>
      <x:c r="G2621" s="42" t="n">
        <x:v>11494.9</x:v>
      </x:c>
      <x:c r="H2621" s="42" t="n">
        <x:v>671856.45</x:v>
      </x:c>
      <x:c r="I2621" s="39" t="n">
        <x:v>46106</x:v>
      </x:c>
    </x:row>
    <x:row r="2622">
      <x:c r="A2622" s="21" t="str">
        <x:v>SYN-0749</x:v>
      </x:c>
      <x:c r="B2622" s="21" t="str">
        <x:v>Synthetic Supplier 0749 LLC</x:v>
      </x:c>
      <x:c r="C2622" s="38" t="str">
        <x:f>"900 000 000 000 749"</x:f>
        <x:v>900 000 000 000 749</x:v>
      </x:c>
      <x:c r="D2622" s="21" t="str">
        <x:v>SYN-0749-INV-03</x:v>
      </x:c>
      <x:c r="E2622" s="39" t="n">
        <x:v>46090</x:v>
      </x:c>
      <x:c r="F2622" s="42" t="n">
        <x:v>174716.28</x:v>
      </x:c>
      <x:c r="G2622" s="42" t="n">
        <x:v>8735.81</x:v>
      </x:c>
      <x:c r="H2622" s="42" t="n">
        <x:v>671856.45</x:v>
      </x:c>
      <x:c r="I2622" s="39" t="n">
        <x:v>46106</x:v>
      </x:c>
    </x:row>
    <x:row r="2623">
      <x:c r="A2623" s="21" t="str">
        <x:v>SYN-0750</x:v>
      </x:c>
      <x:c r="B2623" s="21" t="str">
        <x:v>Synthetic Supplier 0750 LLC</x:v>
      </x:c>
      <x:c r="C2623" s="38" t="str">
        <x:f>"900 000 000 000 750"</x:f>
        <x:v>900 000 000 000 750</x:v>
      </x:c>
      <x:c r="D2623" s="21" t="str">
        <x:v>SYN-0750-INV-01</x:v>
      </x:c>
      <x:c r="E2623" s="39" t="n">
        <x:v>46009</x:v>
      </x:c>
      <x:c r="F2623" s="42" t="n">
        <x:v>178302.94</x:v>
      </x:c>
      <x:c r="G2623" s="42" t="n">
        <x:v>8915.15</x:v>
      </x:c>
      <x:c r="H2623" s="42" t="n">
        <x:v>583028.3</x:v>
      </x:c>
      <x:c r="I2623" s="39"/>
    </x:row>
    <x:row r="2624">
      <x:c r="A2624" s="21" t="str">
        <x:v>SYN-0750</x:v>
      </x:c>
      <x:c r="B2624" s="21" t="str">
        <x:v>Synthetic Supplier 0750 LLC</x:v>
      </x:c>
      <x:c r="C2624" s="38" t="str">
        <x:f>"900 000 000 000 750"</x:f>
        <x:v>900 000 000 000 750</x:v>
      </x:c>
      <x:c r="D2624" s="21" t="str">
        <x:v>SYN-0750-INV-02</x:v>
      </x:c>
      <x:c r="E2624" s="39" t="n">
        <x:v>46056</x:v>
      </x:c>
      <x:c r="F2624" s="42" t="n">
        <x:v>207487.27</x:v>
      </x:c>
      <x:c r="G2624" s="42" t="n">
        <x:v>10374.36</x:v>
      </x:c>
      <x:c r="H2624" s="42" t="n">
        <x:v>583028.3</x:v>
      </x:c>
      <x:c r="I2624" s="39"/>
    </x:row>
    <x:row r="2625">
      <x:c r="A2625" s="21" t="str">
        <x:v>SYN-0750</x:v>
      </x:c>
      <x:c r="B2625" s="21" t="str">
        <x:v>Synthetic Supplier 0750 LLC</x:v>
      </x:c>
      <x:c r="C2625" s="38" t="str">
        <x:f>"900 000 000 000 750"</x:f>
        <x:v>900 000 000 000 750</x:v>
      </x:c>
      <x:c r="D2625" s="21" t="str">
        <x:v>SYN-0750-INV-03</x:v>
      </x:c>
      <x:c r="E2625" s="39" t="n">
        <x:v>46103</x:v>
      </x:c>
      <x:c r="F2625" s="42" t="n">
        <x:v>168086.7</x:v>
      </x:c>
      <x:c r="G2625" s="42" t="n">
        <x:v>8404.33</x:v>
      </x:c>
      <x:c r="H2625" s="42" t="n">
        <x:v>583028.3</x:v>
      </x:c>
      <x:c r="I2625" s="39"/>
    </x:row>
    <x:row r="2626">
      <x:c r="A2626" s="21" t="str">
        <x:v>SYN-0750</x:v>
      </x:c>
      <x:c r="B2626" s="21" t="str">
        <x:v>Synthetic Supplier 0750 LLC</x:v>
      </x:c>
      <x:c r="C2626" s="38" t="str">
        <x:f>"900 000 000 000 750"</x:f>
        <x:v>900 000 000 000 750</x:v>
      </x:c>
      <x:c r="D2626" s="21" t="str">
        <x:v>SYN-0750-INV-04</x:v>
      </x:c>
      <x:c r="E2626" s="39" t="n">
        <x:v>46150</x:v>
      </x:c>
      <x:c r="F2626" s="42" t="n">
        <x:v>93932.31</x:v>
      </x:c>
      <x:c r="G2626" s="42" t="n">
        <x:v>4696.62</x:v>
      </x:c>
      <x:c r="H2626" s="42" t="n">
        <x:v>583028.3</x:v>
      </x:c>
      <x:c r="I2626" s="39"/>
    </x:row>
    <x:row r="2627">
      <x:c r="A2627" s="21" t="str">
        <x:v>SYN-0751</x:v>
      </x:c>
      <x:c r="B2627" s="21" t="str">
        <x:v>Synthetic Supplier 0751 LLC</x:v>
      </x:c>
      <x:c r="C2627" s="38" t="str">
        <x:f>"900 000 000 000 751"</x:f>
        <x:v>900 000 000 000 751</x:v>
      </x:c>
      <x:c r="D2627" s="21" t="str">
        <x:v>SYN-0751-INV-01</x:v>
      </x:c>
      <x:c r="E2627" s="39" t="n">
        <x:v>46022</x:v>
      </x:c>
      <x:c r="F2627" s="42" t="n">
        <x:v>116338.53</x:v>
      </x:c>
      <x:c r="G2627" s="42" t="n">
        <x:v>5816.93</x:v>
      </x:c>
      <x:c r="H2627" s="42" t="n">
        <x:v>632095.49</x:v>
      </x:c>
      <x:c r="I2627" s="39" t="n">
        <x:v>46144</x:v>
      </x:c>
    </x:row>
    <x:row r="2628">
      <x:c r="A2628" s="21" t="str">
        <x:v>SYN-0751</x:v>
      </x:c>
      <x:c r="B2628" s="21" t="str">
        <x:v>Synthetic Supplier 0751 LLC</x:v>
      </x:c>
      <x:c r="C2628" s="38" t="str">
        <x:f>"900 000 000 000 751"</x:f>
        <x:v>900 000 000 000 751</x:v>
      </x:c>
      <x:c r="D2628" s="21" t="str">
        <x:v>SYN-0751-INV-02</x:v>
      </x:c>
      <x:c r="E2628" s="39" t="n">
        <x:v>46069</x:v>
      </x:c>
      <x:c r="F2628" s="42" t="n">
        <x:v>175342.33</x:v>
      </x:c>
      <x:c r="G2628" s="42" t="n">
        <x:v>8767.12</x:v>
      </x:c>
      <x:c r="H2628" s="42" t="n">
        <x:v>632095.49</x:v>
      </x:c>
      <x:c r="I2628" s="39" t="n">
        <x:v>46144</x:v>
      </x:c>
    </x:row>
    <x:row r="2629">
      <x:c r="A2629" s="21" t="str">
        <x:v>SYN-0751</x:v>
      </x:c>
      <x:c r="B2629" s="21" t="str">
        <x:v>Synthetic Supplier 0751 LLC</x:v>
      </x:c>
      <x:c r="C2629" s="38" t="str">
        <x:f>"900 000 000 000 751"</x:f>
        <x:v>900 000 000 000 751</x:v>
      </x:c>
      <x:c r="D2629" s="21" t="str">
        <x:v>SYN-0751-INV-03</x:v>
      </x:c>
      <x:c r="E2629" s="39" t="n">
        <x:v>46116</x:v>
      </x:c>
      <x:c r="F2629" s="42" t="n">
        <x:v>153615.06</x:v>
      </x:c>
      <x:c r="G2629" s="42" t="n">
        <x:v>7680.75</x:v>
      </x:c>
      <x:c r="H2629" s="42" t="n">
        <x:v>632095.49</x:v>
      </x:c>
      <x:c r="I2629" s="39" t="n">
        <x:v>46144</x:v>
      </x:c>
    </x:row>
    <x:row r="2630">
      <x:c r="A2630" s="21" t="str">
        <x:v>SYN-0751</x:v>
      </x:c>
      <x:c r="B2630" s="21" t="str">
        <x:v>Synthetic Supplier 0751 LLC</x:v>
      </x:c>
      <x:c r="C2630" s="38" t="str">
        <x:f>"900 000 000 000 751"</x:f>
        <x:v>900 000 000 000 751</x:v>
      </x:c>
      <x:c r="D2630" s="21" t="str">
        <x:v>SYN-0751-INV-04</x:v>
      </x:c>
      <x:c r="E2630" s="39" t="n">
        <x:v>46163</x:v>
      </x:c>
      <x:c r="F2630" s="42" t="n">
        <x:v>121536.24</x:v>
      </x:c>
      <x:c r="G2630" s="42" t="n">
        <x:v>6076.81</x:v>
      </x:c>
      <x:c r="H2630" s="42" t="n">
        <x:v>632095.49</x:v>
      </x:c>
      <x:c r="I2630" s="39" t="n">
        <x:v>46144</x:v>
      </x:c>
    </x:row>
    <x:row r="2631">
      <x:c r="A2631" s="21" t="str">
        <x:v>SYN-0751</x:v>
      </x:c>
      <x:c r="B2631" s="21" t="str">
        <x:v>Synthetic Supplier 0751 LLC</x:v>
      </x:c>
      <x:c r="C2631" s="38" t="str">
        <x:f>"900 000 000 000 751"</x:f>
        <x:v>900 000 000 000 751</x:v>
      </x:c>
      <x:c r="D2631" s="21" t="str">
        <x:v>SYN-0751-INV-05</x:v>
      </x:c>
      <x:c r="E2631" s="39" t="n">
        <x:v>46210</x:v>
      </x:c>
      <x:c r="F2631" s="42" t="n">
        <x:v>135496.16</x:v>
      </x:c>
      <x:c r="G2631" s="42" t="n">
        <x:v>6774.81</x:v>
      </x:c>
      <x:c r="H2631" s="42" t="n">
        <x:v>632095.49</x:v>
      </x:c>
      <x:c r="I2631" s="39" t="n">
        <x:v>46144</x:v>
      </x:c>
    </x:row>
    <x:row r="2632">
      <x:c r="A2632" s="21" t="str">
        <x:v>SYN-0752</x:v>
      </x:c>
      <x:c r="B2632" s="21" t="str">
        <x:v>Synthetic Supplier 0752 LLC</x:v>
      </x:c>
      <x:c r="C2632" s="38" t="str">
        <x:f>"900 000 000 000 752"</x:f>
        <x:v>900 000 000 000 752</x:v>
      </x:c>
      <x:c r="D2632" s="21" t="str">
        <x:v>SYN-0752-INV-01</x:v>
      </x:c>
      <x:c r="E2632" s="39" t="n">
        <x:v>46035</x:v>
      </x:c>
      <x:c r="F2632" s="42" t="n">
        <x:v>332680.22</x:v>
      </x:c>
      <x:c r="G2632" s="42" t="n">
        <x:v>16634.01</x:v>
      </x:c>
      <x:c r="H2632" s="42" t="n">
        <x:v>570965.46</x:v>
      </x:c>
      <x:c r="I2632" s="39" t="n">
        <x:v>45811</x:v>
      </x:c>
    </x:row>
    <x:row r="2633">
      <x:c r="A2633" s="21" t="str">
        <x:v>SYN-0752</x:v>
      </x:c>
      <x:c r="B2633" s="21" t="str">
        <x:v>Synthetic Supplier 0752 LLC</x:v>
      </x:c>
      <x:c r="C2633" s="38" t="str">
        <x:f>"900 000 000 000 752"</x:f>
        <x:v>900 000 000 000 752</x:v>
      </x:c>
      <x:c r="D2633" s="21" t="str">
        <x:v>SYN-0752-INV-02</x:v>
      </x:c>
      <x:c r="E2633" s="39" t="n">
        <x:v>46082</x:v>
      </x:c>
      <x:c r="F2633" s="42" t="n">
        <x:v>301725.84</x:v>
      </x:c>
      <x:c r="G2633" s="42" t="n">
        <x:v>15086.29</x:v>
      </x:c>
      <x:c r="H2633" s="42" t="n">
        <x:v>570965.46</x:v>
      </x:c>
      <x:c r="I2633" s="39" t="n">
        <x:v>45811</x:v>
      </x:c>
    </x:row>
    <x:row r="2634">
      <x:c r="A2634" s="21" t="str">
        <x:v>SYN-0753</x:v>
      </x:c>
      <x:c r="B2634" s="21" t="str">
        <x:v>Synthetic Supplier 0753 LLC</x:v>
      </x:c>
      <x:c r="C2634" s="38" t="str">
        <x:f>"900 000 000 000 753"</x:f>
        <x:v>900 000 000 000 753</x:v>
      </x:c>
      <x:c r="D2634" s="21" t="str">
        <x:v>SYN-0753-INV-01</x:v>
      </x:c>
      <x:c r="E2634" s="39" t="n">
        <x:v>46048</x:v>
      </x:c>
      <x:c r="F2634" s="42" t="n">
        <x:v>245920.58</x:v>
      </x:c>
      <x:c r="G2634" s="42" t="n">
        <x:v>12296.03</x:v>
      </x:c>
      <x:c r="H2634" s="42" t="n">
        <x:v>649543.04</x:v>
      </x:c>
      <x:c r="I2634" s="39" t="n">
        <x:v>46207</x:v>
      </x:c>
    </x:row>
    <x:row r="2635">
      <x:c r="A2635" s="21" t="str">
        <x:v>SYN-0753</x:v>
      </x:c>
      <x:c r="B2635" s="21" t="str">
        <x:v>Synthetic Supplier 0753 LLC</x:v>
      </x:c>
      <x:c r="C2635" s="38" t="str">
        <x:f>"900 000 000 000 753"</x:f>
        <x:v>900 000 000 000 753</x:v>
      </x:c>
      <x:c r="D2635" s="21" t="str">
        <x:v>SYN-0753-INV-02</x:v>
      </x:c>
      <x:c r="E2635" s="39" t="n">
        <x:v>46095</x:v>
      </x:c>
      <x:c r="F2635" s="42" t="n">
        <x:v>235907.42</x:v>
      </x:c>
      <x:c r="G2635" s="42" t="n">
        <x:v>11795.37</x:v>
      </x:c>
      <x:c r="H2635" s="42" t="n">
        <x:v>649543.04</x:v>
      </x:c>
      <x:c r="I2635" s="39" t="n">
        <x:v>46207</x:v>
      </x:c>
    </x:row>
    <x:row r="2636">
      <x:c r="A2636" s="21" t="str">
        <x:v>SYN-0753</x:v>
      </x:c>
      <x:c r="B2636" s="21" t="str">
        <x:v>Synthetic Supplier 0753 LLC</x:v>
      </x:c>
      <x:c r="C2636" s="38" t="str">
        <x:f>"900 000 000 000 753"</x:f>
        <x:v>900 000 000 000 753</x:v>
      </x:c>
      <x:c r="D2636" s="21" t="str">
        <x:v>SYN-0753-INV-03</x:v>
      </x:c>
      <x:c r="E2636" s="39" t="n">
        <x:v>46142</x:v>
      </x:c>
      <x:c r="F2636" s="42" t="n">
        <x:v>239886.49</x:v>
      </x:c>
      <x:c r="G2636" s="42" t="n">
        <x:v>11994.32</x:v>
      </x:c>
      <x:c r="H2636" s="42" t="n">
        <x:v>649543.04</x:v>
      </x:c>
      <x:c r="I2636" s="39" t="n">
        <x:v>46207</x:v>
      </x:c>
    </x:row>
    <x:row r="2637">
      <x:c r="A2637" s="21" t="str">
        <x:v>SYN-0754</x:v>
      </x:c>
      <x:c r="B2637" s="21" t="str">
        <x:v>Synthetic Supplier 0754 LLC</x:v>
      </x:c>
      <x:c r="C2637" s="38" t="str">
        <x:f>"900 000 000 000 754"</x:f>
        <x:v>900 000 000 000 754</x:v>
      </x:c>
      <x:c r="D2637" s="21" t="str">
        <x:v>SYN-0754-INV-01</x:v>
      </x:c>
      <x:c r="E2637" s="39" t="n">
        <x:v>46061</x:v>
      </x:c>
      <x:c r="F2637" s="42" t="n">
        <x:v>216900.88</x:v>
      </x:c>
      <x:c r="G2637" s="42" t="n">
        <x:v>10845.04</x:v>
      </x:c>
      <x:c r="H2637" s="42" t="n">
        <x:v>719249.79</x:v>
      </x:c>
      <x:c r="I2637" s="39" t="n">
        <x:v>45874</x:v>
      </x:c>
    </x:row>
    <x:row r="2638">
      <x:c r="A2638" s="21" t="str">
        <x:v>SYN-0754</x:v>
      </x:c>
      <x:c r="B2638" s="21" t="str">
        <x:v>Synthetic Supplier 0754 LLC</x:v>
      </x:c>
      <x:c r="C2638" s="38" t="str">
        <x:f>"900 000 000 000 754"</x:f>
        <x:v>900 000 000 000 754</x:v>
      </x:c>
      <x:c r="D2638" s="21" t="str">
        <x:v>SYN-0754-INV-02</x:v>
      </x:c>
      <x:c r="E2638" s="39" t="n">
        <x:v>46108</x:v>
      </x:c>
      <x:c r="F2638" s="42" t="n">
        <x:v>187798.62</x:v>
      </x:c>
      <x:c r="G2638" s="42" t="n">
        <x:v>9389.93</x:v>
      </x:c>
      <x:c r="H2638" s="42" t="n">
        <x:v>719249.79</x:v>
      </x:c>
      <x:c r="I2638" s="39" t="n">
        <x:v>45874</x:v>
      </x:c>
    </x:row>
    <x:row r="2639">
      <x:c r="A2639" s="21" t="str">
        <x:v>SYN-0754</x:v>
      </x:c>
      <x:c r="B2639" s="21" t="str">
        <x:v>Synthetic Supplier 0754 LLC</x:v>
      </x:c>
      <x:c r="C2639" s="38" t="str">
        <x:f>"900 000 000 000 754"</x:f>
        <x:v>900 000 000 000 754</x:v>
      </x:c>
      <x:c r="D2639" s="21" t="str">
        <x:v>SYN-0754-INV-03</x:v>
      </x:c>
      <x:c r="E2639" s="39" t="n">
        <x:v>46155</x:v>
      </x:c>
      <x:c r="F2639" s="42" t="n">
        <x:v>235790.69</x:v>
      </x:c>
      <x:c r="G2639" s="42" t="n">
        <x:v>11789.53</x:v>
      </x:c>
      <x:c r="H2639" s="42" t="n">
        <x:v>719249.79</x:v>
      </x:c>
      <x:c r="I2639" s="39" t="n">
        <x:v>45874</x:v>
      </x:c>
    </x:row>
    <x:row r="2640">
      <x:c r="A2640" s="21" t="str">
        <x:v>SYN-0754</x:v>
      </x:c>
      <x:c r="B2640" s="21" t="str">
        <x:v>Synthetic Supplier 0754 LLC</x:v>
      </x:c>
      <x:c r="C2640" s="38" t="str">
        <x:f>"900 000 000 000 754"</x:f>
        <x:v>900 000 000 000 754</x:v>
      </x:c>
      <x:c r="D2640" s="21" t="str">
        <x:v>SYN-0754-INV-04</x:v>
      </x:c>
      <x:c r="E2640" s="39" t="n">
        <x:v>46202</x:v>
      </x:c>
      <x:c r="F2640" s="42" t="n">
        <x:v>158676.24</x:v>
      </x:c>
      <x:c r="G2640" s="42" t="n">
        <x:v>7933.81</x:v>
      </x:c>
      <x:c r="H2640" s="42" t="n">
        <x:v>719249.79</x:v>
      </x:c>
      <x:c r="I2640" s="39" t="n">
        <x:v>45874</x:v>
      </x:c>
    </x:row>
    <x:row r="2641">
      <x:c r="A2641" s="21" t="str">
        <x:v>SYN-0755</x:v>
      </x:c>
      <x:c r="B2641" s="21" t="str">
        <x:v>Synthetic Supplier 0755 LLC</x:v>
      </x:c>
      <x:c r="C2641" s="38" t="str">
        <x:f>"900 000 000 000 755"</x:f>
        <x:v>900 000 000 000 755</x:v>
      </x:c>
      <x:c r="D2641" s="21" t="str">
        <x:v>SYN-0755-INV-01</x:v>
      </x:c>
      <x:c r="E2641" s="39" t="n">
        <x:v>46074</x:v>
      </x:c>
      <x:c r="F2641" s="42" t="n">
        <x:v>129072.24</x:v>
      </x:c>
      <x:c r="G2641" s="42" t="n">
        <x:v>6453.61</x:v>
      </x:c>
      <x:c r="H2641" s="42" t="n">
        <x:v>605006.84</x:v>
      </x:c>
      <x:c r="I2641" s="39"/>
    </x:row>
    <x:row r="2642">
      <x:c r="A2642" s="21" t="str">
        <x:v>SYN-0755</x:v>
      </x:c>
      <x:c r="B2642" s="21" t="str">
        <x:v>Synthetic Supplier 0755 LLC</x:v>
      </x:c>
      <x:c r="C2642" s="38" t="str">
        <x:f>"900 000 000 000 755"</x:f>
        <x:v>900 000 000 000 755</x:v>
      </x:c>
      <x:c r="D2642" s="21" t="str">
        <x:v>SYN-0755-INV-02</x:v>
      </x:c>
      <x:c r="E2642" s="39" t="n">
        <x:v>46121</x:v>
      </x:c>
      <x:c r="F2642" s="42" t="n">
        <x:v>125517.71</x:v>
      </x:c>
      <x:c r="G2642" s="42" t="n">
        <x:v>6275.89</x:v>
      </x:c>
      <x:c r="H2642" s="42" t="n">
        <x:v>605006.84</x:v>
      </x:c>
      <x:c r="I2642" s="39"/>
    </x:row>
    <x:row r="2643">
      <x:c r="A2643" s="21" t="str">
        <x:v>SYN-0755</x:v>
      </x:c>
      <x:c r="B2643" s="21" t="str">
        <x:v>Synthetic Supplier 0755 LLC</x:v>
      </x:c>
      <x:c r="C2643" s="38" t="str">
        <x:f>"900 000 000 000 755"</x:f>
        <x:v>900 000 000 000 755</x:v>
      </x:c>
      <x:c r="D2643" s="21" t="str">
        <x:v>SYN-0755-INV-03</x:v>
      </x:c>
      <x:c r="E2643" s="39" t="n">
        <x:v>46168</x:v>
      </x:c>
      <x:c r="F2643" s="42" t="n">
        <x:v>202772.26</x:v>
      </x:c>
      <x:c r="G2643" s="42" t="n">
        <x:v>10138.61</x:v>
      </x:c>
      <x:c r="H2643" s="42" t="n">
        <x:v>605006.84</x:v>
      </x:c>
      <x:c r="I2643" s="39"/>
    </x:row>
    <x:row r="2644">
      <x:c r="A2644" s="21" t="str">
        <x:v>SYN-0755</x:v>
      </x:c>
      <x:c r="B2644" s="21" t="str">
        <x:v>Synthetic Supplier 0755 LLC</x:v>
      </x:c>
      <x:c r="C2644" s="38" t="str">
        <x:f>"900 000 000 000 755"</x:f>
        <x:v>900 000 000 000 755</x:v>
      </x:c>
      <x:c r="D2644" s="21" t="str">
        <x:v>SYN-0755-INV-04</x:v>
      </x:c>
      <x:c r="E2644" s="39" t="n">
        <x:v>46215</x:v>
      </x:c>
      <x:c r="F2644" s="42" t="n">
        <x:v>105501.33</x:v>
      </x:c>
      <x:c r="G2644" s="42" t="n">
        <x:v>5275.07</x:v>
      </x:c>
      <x:c r="H2644" s="42" t="n">
        <x:v>605006.84</x:v>
      </x:c>
      <x:c r="I2644" s="39"/>
    </x:row>
    <x:row r="2645">
      <x:c r="A2645" s="21" t="str">
        <x:v>SYN-0755</x:v>
      </x:c>
      <x:c r="B2645" s="21" t="str">
        <x:v>Synthetic Supplier 0755 LLC</x:v>
      </x:c>
      <x:c r="C2645" s="38" t="str">
        <x:f>"900 000 000 000 755"</x:f>
        <x:v>900 000 000 000 755</x:v>
      </x:c>
      <x:c r="D2645" s="21" t="str">
        <x:v>SYN-0755-INV-05</x:v>
      </x:c>
      <x:c r="E2645" s="39" t="n">
        <x:v>46262</x:v>
      </x:c>
      <x:c r="F2645" s="42" t="n">
        <x:v>109366.27</x:v>
      </x:c>
      <x:c r="G2645" s="42" t="n">
        <x:v>5468.31</x:v>
      </x:c>
      <x:c r="H2645" s="42" t="n">
        <x:v>605006.84</x:v>
      </x:c>
      <x:c r="I2645" s="39"/>
    </x:row>
    <x:row r="2646">
      <x:c r="A2646" s="21" t="str">
        <x:v>SYN-0756</x:v>
      </x:c>
      <x:c r="B2646" s="21" t="str">
        <x:v>Synthetic Supplier 0756 LLC</x:v>
      </x:c>
      <x:c r="C2646" s="38" t="str">
        <x:f>"900 000 000 000 756"</x:f>
        <x:v>900 000 000 000 756</x:v>
      </x:c>
      <x:c r="D2646" s="21" t="str">
        <x:v>SYN-0756-INV-01</x:v>
      </x:c>
      <x:c r="E2646" s="39" t="n">
        <x:v>46087</x:v>
      </x:c>
      <x:c r="F2646" s="42" t="n">
        <x:v>314012.87</x:v>
      </x:c>
      <x:c r="G2646" s="42" t="n">
        <x:v>15700.64</x:v>
      </x:c>
      <x:c r="H2646" s="42" t="n">
        <x:v>887237.7</x:v>
      </x:c>
      <x:c r="I2646" s="39" t="n">
        <x:v>45664</x:v>
      </x:c>
    </x:row>
    <x:row r="2647">
      <x:c r="A2647" s="21" t="str">
        <x:v>SYN-0756</x:v>
      </x:c>
      <x:c r="B2647" s="21" t="str">
        <x:v>Synthetic Supplier 0756 LLC</x:v>
      </x:c>
      <x:c r="C2647" s="38" t="str">
        <x:f>"900 000 000 000 756"</x:f>
        <x:v>900 000 000 000 756</x:v>
      </x:c>
      <x:c r="D2647" s="21" t="str">
        <x:v>SYN-0756-INV-02</x:v>
      </x:c>
      <x:c r="E2647" s="39" t="n">
        <x:v>46134</x:v>
      </x:c>
      <x:c r="F2647" s="42" t="n">
        <x:v>457498.17</x:v>
      </x:c>
      <x:c r="G2647" s="42" t="n">
        <x:v>22874.91</x:v>
      </x:c>
      <x:c r="H2647" s="42" t="n">
        <x:v>887237.7</x:v>
      </x:c>
      <x:c r="I2647" s="39" t="n">
        <x:v>45664</x:v>
      </x:c>
    </x:row>
    <x:row r="2648">
      <x:c r="A2648" s="21" t="str">
        <x:v>SYN-0757</x:v>
      </x:c>
      <x:c r="B2648" s="21" t="str">
        <x:v>Synthetic Supplier 0757 LLC</x:v>
      </x:c>
      <x:c r="C2648" s="38" t="str">
        <x:f>"900 000 000 000 757"</x:f>
        <x:v>900 000 000 000 757</x:v>
      </x:c>
      <x:c r="D2648" s="21" t="str">
        <x:v>SYN-0757-INV-01</x:v>
      </x:c>
      <x:c r="E2648" s="39" t="n">
        <x:v>46100</x:v>
      </x:c>
      <x:c r="F2648" s="42" t="n">
        <x:v>239959.2</x:v>
      </x:c>
      <x:c r="G2648" s="42" t="n">
        <x:v>11997.96</x:v>
      </x:c>
      <x:c r="H2648" s="42" t="n">
        <x:v>637450.36</x:v>
      </x:c>
      <x:c r="I2648" s="39" t="n">
        <x:v>46061</x:v>
      </x:c>
    </x:row>
    <x:row r="2649">
      <x:c r="A2649" s="21" t="str">
        <x:v>SYN-0757</x:v>
      </x:c>
      <x:c r="B2649" s="21" t="str">
        <x:v>Synthetic Supplier 0757 LLC</x:v>
      </x:c>
      <x:c r="C2649" s="38" t="str">
        <x:f>"900 000 000 000 757"</x:f>
        <x:v>900 000 000 000 757</x:v>
      </x:c>
      <x:c r="D2649" s="21" t="str">
        <x:v>SYN-0757-INV-02</x:v>
      </x:c>
      <x:c r="E2649" s="39" t="n">
        <x:v>46147</x:v>
      </x:c>
      <x:c r="F2649" s="42" t="n">
        <x:v>297756.27</x:v>
      </x:c>
      <x:c r="G2649" s="42" t="n">
        <x:v>14887.81</x:v>
      </x:c>
      <x:c r="H2649" s="42" t="n">
        <x:v>637450.36</x:v>
      </x:c>
      <x:c r="I2649" s="39" t="n">
        <x:v>46061</x:v>
      </x:c>
    </x:row>
    <x:row r="2650">
      <x:c r="A2650" s="21" t="str">
        <x:v>SYN-0757</x:v>
      </x:c>
      <x:c r="B2650" s="21" t="str">
        <x:v>Synthetic Supplier 0757 LLC</x:v>
      </x:c>
      <x:c r="C2650" s="38" t="str">
        <x:f>"900 000 000 000 757"</x:f>
        <x:v>900 000 000 000 757</x:v>
      </x:c>
      <x:c r="D2650" s="21" t="str">
        <x:v>SYN-0757-INV-03</x:v>
      </x:c>
      <x:c r="E2650" s="39" t="n">
        <x:v>46194</x:v>
      </x:c>
      <x:c r="F2650" s="42" t="n">
        <x:v>170562.71</x:v>
      </x:c>
      <x:c r="G2650" s="42" t="n">
        <x:v>8528.14</x:v>
      </x:c>
      <x:c r="H2650" s="42" t="n">
        <x:v>637450.36</x:v>
      </x:c>
      <x:c r="I2650" s="39" t="n">
        <x:v>46061</x:v>
      </x:c>
    </x:row>
    <x:row r="2651">
      <x:c r="A2651" s="21" t="str">
        <x:v>SYN-0758</x:v>
      </x:c>
      <x:c r="B2651" s="21" t="str">
        <x:v>Synthetic Supplier 0758 LLC</x:v>
      </x:c>
      <x:c r="C2651" s="38" t="str">
        <x:f>"900 000 000 000 758"</x:f>
        <x:v>900 000 000 000 758</x:v>
      </x:c>
      <x:c r="D2651" s="21" t="str">
        <x:v>SYN-0758-INV-01</x:v>
      </x:c>
      <x:c r="E2651" s="39" t="n">
        <x:v>46113</x:v>
      </x:c>
      <x:c r="F2651" s="42" t="n">
        <x:v>165075.89</x:v>
      </x:c>
      <x:c r="G2651" s="42" t="n">
        <x:v>8253.79</x:v>
      </x:c>
      <x:c r="H2651" s="42" t="n">
        <x:v>668884.86</x:v>
      </x:c>
      <x:c r="I2651" s="39" t="n">
        <x:v>45725</x:v>
      </x:c>
    </x:row>
    <x:row r="2652">
      <x:c r="A2652" s="21" t="str">
        <x:v>SYN-0758</x:v>
      </x:c>
      <x:c r="B2652" s="21" t="str">
        <x:v>Synthetic Supplier 0758 LLC</x:v>
      </x:c>
      <x:c r="C2652" s="38" t="str">
        <x:f>"900 000 000 000 758"</x:f>
        <x:v>900 000 000 000 758</x:v>
      </x:c>
      <x:c r="D2652" s="21" t="str">
        <x:v>SYN-0758-INV-02</x:v>
      </x:c>
      <x:c r="E2652" s="39" t="n">
        <x:v>46160</x:v>
      </x:c>
      <x:c r="F2652" s="42" t="n">
        <x:v>181320.21</x:v>
      </x:c>
      <x:c r="G2652" s="42" t="n">
        <x:v>9066.01</x:v>
      </x:c>
      <x:c r="H2652" s="42" t="n">
        <x:v>668884.86</x:v>
      </x:c>
      <x:c r="I2652" s="39" t="n">
        <x:v>45725</x:v>
      </x:c>
    </x:row>
    <x:row r="2653">
      <x:c r="A2653" s="21" t="str">
        <x:v>SYN-0758</x:v>
      </x:c>
      <x:c r="B2653" s="21" t="str">
        <x:v>Synthetic Supplier 0758 LLC</x:v>
      </x:c>
      <x:c r="C2653" s="38" t="str">
        <x:f>"900 000 000 000 758"</x:f>
        <x:v>900 000 000 000 758</x:v>
      </x:c>
      <x:c r="D2653" s="21" t="str">
        <x:v>SYN-0758-INV-03</x:v>
      </x:c>
      <x:c r="E2653" s="39" t="n">
        <x:v>46207</x:v>
      </x:c>
      <x:c r="F2653" s="42" t="n">
        <x:v>179137.22</x:v>
      </x:c>
      <x:c r="G2653" s="42" t="n">
        <x:v>8956.86</x:v>
      </x:c>
      <x:c r="H2653" s="42" t="n">
        <x:v>668884.86</x:v>
      </x:c>
      <x:c r="I2653" s="39" t="n">
        <x:v>45725</x:v>
      </x:c>
    </x:row>
    <x:row r="2654">
      <x:c r="A2654" s="21" t="str">
        <x:v>SYN-0758</x:v>
      </x:c>
      <x:c r="B2654" s="21" t="str">
        <x:v>Synthetic Supplier 0758 LLC</x:v>
      </x:c>
      <x:c r="C2654" s="38" t="str">
        <x:f>"900 000 000 000 758"</x:f>
        <x:v>900 000 000 000 758</x:v>
      </x:c>
      <x:c r="D2654" s="21" t="str">
        <x:v>SYN-0758-INV-04</x:v>
      </x:c>
      <x:c r="E2654" s="39" t="n">
        <x:v>46254</x:v>
      </x:c>
      <x:c r="F2654" s="42" t="n">
        <x:v>217672.07</x:v>
      </x:c>
      <x:c r="G2654" s="42" t="n">
        <x:v>10883.6</x:v>
      </x:c>
      <x:c r="H2654" s="42" t="n">
        <x:v>668884.86</x:v>
      </x:c>
      <x:c r="I2654" s="39" t="n">
        <x:v>45725</x:v>
      </x:c>
    </x:row>
    <x:row r="2655">
      <x:c r="A2655" s="21" t="str">
        <x:v>SYN-0759</x:v>
      </x:c>
      <x:c r="B2655" s="21" t="str">
        <x:v>Synthetic Supplier 0759 LLC</x:v>
      </x:c>
      <x:c r="C2655" s="38" t="str">
        <x:f>"900 000 000 000 759"</x:f>
        <x:v>900 000 000 000 759</x:v>
      </x:c>
      <x:c r="D2655" s="21" t="str">
        <x:v>SYN-0759-INV-01</x:v>
      </x:c>
      <x:c r="E2655" s="39" t="n">
        <x:v>46126</x:v>
      </x:c>
      <x:c r="F2655" s="42" t="n">
        <x:v>109514.56</x:v>
      </x:c>
      <x:c r="G2655" s="42" t="n">
        <x:v>5475.73</x:v>
      </x:c>
      <x:c r="H2655" s="42" t="n">
        <x:v>392245.32</x:v>
      </x:c>
      <x:c r="I2655" s="39" t="n">
        <x:v>46122</x:v>
      </x:c>
    </x:row>
    <x:row r="2656">
      <x:c r="A2656" s="21" t="str">
        <x:v>SYN-0759</x:v>
      </x:c>
      <x:c r="B2656" s="21" t="str">
        <x:v>Synthetic Supplier 0759 LLC</x:v>
      </x:c>
      <x:c r="C2656" s="38" t="str">
        <x:f>"900 000 000 000 759"</x:f>
        <x:v>900 000 000 000 759</x:v>
      </x:c>
      <x:c r="D2656" s="21" t="str">
        <x:v>SYN-0759-INV-02</x:v>
      </x:c>
      <x:c r="E2656" s="39" t="n">
        <x:v>46173</x:v>
      </x:c>
      <x:c r="F2656" s="42" t="n">
        <x:v>85561.42</x:v>
      </x:c>
      <x:c r="G2656" s="42" t="n">
        <x:v>4278.07</x:v>
      </x:c>
      <x:c r="H2656" s="42" t="n">
        <x:v>392245.32</x:v>
      </x:c>
      <x:c r="I2656" s="39" t="n">
        <x:v>46122</x:v>
      </x:c>
    </x:row>
    <x:row r="2657">
      <x:c r="A2657" s="21" t="str">
        <x:v>SYN-0759</x:v>
      </x:c>
      <x:c r="B2657" s="21" t="str">
        <x:v>Synthetic Supplier 0759 LLC</x:v>
      </x:c>
      <x:c r="C2657" s="38" t="str">
        <x:f>"900 000 000 000 759"</x:f>
        <x:v>900 000 000 000 759</x:v>
      </x:c>
      <x:c r="D2657" s="21" t="str">
        <x:v>SYN-0759-INV-03</x:v>
      </x:c>
      <x:c r="E2657" s="39" t="n">
        <x:v>46220</x:v>
      </x:c>
      <x:c r="F2657" s="42" t="n">
        <x:v>102240.81</x:v>
      </x:c>
      <x:c r="G2657" s="42" t="n">
        <x:v>5112.04</x:v>
      </x:c>
      <x:c r="H2657" s="42" t="n">
        <x:v>392245.32</x:v>
      </x:c>
      <x:c r="I2657" s="39" t="n">
        <x:v>46122</x:v>
      </x:c>
    </x:row>
    <x:row r="2658">
      <x:c r="A2658" s="21" t="str">
        <x:v>SYN-0759</x:v>
      </x:c>
      <x:c r="B2658" s="21" t="str">
        <x:v>Synthetic Supplier 0759 LLC</x:v>
      </x:c>
      <x:c r="C2658" s="38" t="str">
        <x:f>"900 000 000 000 759"</x:f>
        <x:v>900 000 000 000 759</x:v>
      </x:c>
      <x:c r="D2658" s="21" t="str">
        <x:v>SYN-0759-INV-04</x:v>
      </x:c>
      <x:c r="E2658" s="39" t="n">
        <x:v>46267</x:v>
      </x:c>
      <x:c r="F2658" s="42" t="n">
        <x:v>63729.33</x:v>
      </x:c>
      <x:c r="G2658" s="42" t="n">
        <x:v>3186.47</x:v>
      </x:c>
      <x:c r="H2658" s="42" t="n">
        <x:v>392245.32</x:v>
      </x:c>
      <x:c r="I2658" s="39" t="n">
        <x:v>46122</x:v>
      </x:c>
    </x:row>
    <x:row r="2659">
      <x:c r="A2659" s="21" t="str">
        <x:v>SYN-0759</x:v>
      </x:c>
      <x:c r="B2659" s="21" t="str">
        <x:v>Synthetic Supplier 0759 LLC</x:v>
      </x:c>
      <x:c r="C2659" s="38" t="str">
        <x:f>"900 000 000 000 759"</x:f>
        <x:v>900 000 000 000 759</x:v>
      </x:c>
      <x:c r="D2659" s="21" t="str">
        <x:v>SYN-0759-INV-05</x:v>
      </x:c>
      <x:c r="E2659" s="39" t="n">
        <x:v>45954</x:v>
      </x:c>
      <x:c r="F2659" s="42" t="n">
        <x:v>74782.01</x:v>
      </x:c>
      <x:c r="G2659" s="42" t="n">
        <x:v>3739.1</x:v>
      </x:c>
      <x:c r="H2659" s="42" t="n">
        <x:v>392245.32</x:v>
      </x:c>
      <x:c r="I2659" s="39" t="n">
        <x:v>46122</x:v>
      </x:c>
    </x:row>
    <x:row r="2660">
      <x:c r="A2660" s="21" t="str">
        <x:v>SYN-0760</x:v>
      </x:c>
      <x:c r="B2660" s="21" t="str">
        <x:v>Synthetic Supplier 0760 LLC</x:v>
      </x:c>
      <x:c r="C2660" s="38" t="str">
        <x:f>"900 000 000 000 760"</x:f>
        <x:v>900 000 000 000 760</x:v>
      </x:c>
      <x:c r="D2660" s="21" t="str">
        <x:v>SYN-0760-INV-01</x:v>
      </x:c>
      <x:c r="E2660" s="39" t="n">
        <x:v>46139</x:v>
      </x:c>
      <x:c r="F2660" s="42" t="n">
        <x:v>142706.5</x:v>
      </x:c>
      <x:c r="G2660" s="42" t="n">
        <x:v>7135.33</x:v>
      </x:c>
      <x:c r="H2660" s="42" t="n">
        <x:v>387950.4</x:v>
      </x:c>
      <x:c r="I2660" s="39"/>
    </x:row>
    <x:row r="2661">
      <x:c r="A2661" s="21" t="str">
        <x:v>SYN-0760</x:v>
      </x:c>
      <x:c r="B2661" s="21" t="str">
        <x:v>Synthetic Supplier 0760 LLC</x:v>
      </x:c>
      <x:c r="C2661" s="38" t="str">
        <x:f>"900 000 000 000 760"</x:f>
        <x:v>900 000 000 000 760</x:v>
      </x:c>
      <x:c r="D2661" s="21" t="str">
        <x:v>SYN-0760-INV-02</x:v>
      </x:c>
      <x:c r="E2661" s="39" t="n">
        <x:v>46186</x:v>
      </x:c>
      <x:c r="F2661" s="42" t="n">
        <x:v>288349.5</x:v>
      </x:c>
      <x:c r="G2661" s="42" t="n">
        <x:v>14417.48</x:v>
      </x:c>
      <x:c r="H2661" s="42" t="n">
        <x:v>387950.4</x:v>
      </x:c>
      <x:c r="I2661" s="39"/>
    </x:row>
    <x:row r="2662">
      <x:c r="A2662" s="21" t="str">
        <x:v>SYN-0761</x:v>
      </x:c>
      <x:c r="B2662" s="21" t="str">
        <x:v>Synthetic Supplier 0761 LLC</x:v>
      </x:c>
      <x:c r="C2662" s="38" t="str">
        <x:f>"900 000 000 000 761"</x:f>
        <x:v>900 000 000 000 761</x:v>
      </x:c>
      <x:c r="D2662" s="21" t="str">
        <x:v>SYN-0761-INV-01</x:v>
      </x:c>
      <x:c r="E2662" s="39" t="n">
        <x:v>46152</x:v>
      </x:c>
      <x:c r="F2662" s="42" t="n">
        <x:v>116149.94</x:v>
      </x:c>
      <x:c r="G2662" s="42" t="n">
        <x:v>5807.5</x:v>
      </x:c>
      <x:c r="H2662" s="42" t="n">
        <x:v>390897.83</x:v>
      </x:c>
      <x:c r="I2662" s="39" t="n">
        <x:v>46185</x:v>
      </x:c>
    </x:row>
    <x:row r="2663">
      <x:c r="A2663" s="21" t="str">
        <x:v>SYN-0761</x:v>
      </x:c>
      <x:c r="B2663" s="21" t="str">
        <x:v>Synthetic Supplier 0761 LLC</x:v>
      </x:c>
      <x:c r="C2663" s="38" t="str">
        <x:f>"900 000 000 000 761"</x:f>
        <x:v>900 000 000 000 761</x:v>
      </x:c>
      <x:c r="D2663" s="21" t="str">
        <x:v>SYN-0761-INV-02</x:v>
      </x:c>
      <x:c r="E2663" s="39" t="n">
        <x:v>46199</x:v>
      </x:c>
      <x:c r="F2663" s="42" t="n">
        <x:v>197695.37</x:v>
      </x:c>
      <x:c r="G2663" s="42" t="n">
        <x:v>9884.77</x:v>
      </x:c>
      <x:c r="H2663" s="42" t="n">
        <x:v>390897.83</x:v>
      </x:c>
      <x:c r="I2663" s="39" t="n">
        <x:v>46185</x:v>
      </x:c>
    </x:row>
    <x:row r="2664">
      <x:c r="A2664" s="21" t="str">
        <x:v>SYN-0761</x:v>
      </x:c>
      <x:c r="B2664" s="21" t="str">
        <x:v>Synthetic Supplier 0761 LLC</x:v>
      </x:c>
      <x:c r="C2664" s="38" t="str">
        <x:f>"900 000 000 000 761"</x:f>
        <x:v>900 000 000 000 761</x:v>
      </x:c>
      <x:c r="D2664" s="21" t="str">
        <x:v>SYN-0761-INV-03</x:v>
      </x:c>
      <x:c r="E2664" s="39" t="n">
        <x:v>46246</x:v>
      </x:c>
      <x:c r="F2664" s="42" t="n">
        <x:v>120485.61</x:v>
      </x:c>
      <x:c r="G2664" s="42" t="n">
        <x:v>6024.28</x:v>
      </x:c>
      <x:c r="H2664" s="42" t="n">
        <x:v>390897.83</x:v>
      </x:c>
      <x:c r="I2664" s="39" t="n">
        <x:v>46185</x:v>
      </x:c>
    </x:row>
    <x:row r="2665">
      <x:c r="A2665" s="21" t="str">
        <x:v>SYN-0762</x:v>
      </x:c>
      <x:c r="B2665" s="21" t="str">
        <x:v>Synthetic Supplier 0762 LLC</x:v>
      </x:c>
      <x:c r="C2665" s="38" t="str">
        <x:f>"900 000 000 000 762"</x:f>
        <x:v>900 000 000 000 762</x:v>
      </x:c>
      <x:c r="D2665" s="21" t="str">
        <x:v>SYN-0762-INV-01</x:v>
      </x:c>
      <x:c r="E2665" s="39" t="n">
        <x:v>46165</x:v>
      </x:c>
      <x:c r="F2665" s="42" t="n">
        <x:v>187672.74</x:v>
      </x:c>
      <x:c r="G2665" s="42" t="n">
        <x:v>9383.64</x:v>
      </x:c>
      <x:c r="H2665" s="42" t="n">
        <x:v>672020.6</x:v>
      </x:c>
      <x:c r="I2665" s="39" t="n">
        <x:v>45851</x:v>
      </x:c>
    </x:row>
    <x:row r="2666">
      <x:c r="A2666" s="21" t="str">
        <x:v>SYN-0762</x:v>
      </x:c>
      <x:c r="B2666" s="21" t="str">
        <x:v>Synthetic Supplier 0762 LLC</x:v>
      </x:c>
      <x:c r="C2666" s="38" t="str">
        <x:f>"900 000 000 000 762"</x:f>
        <x:v>900 000 000 000 762</x:v>
      </x:c>
      <x:c r="D2666" s="21" t="str">
        <x:v>SYN-0762-INV-02</x:v>
      </x:c>
      <x:c r="E2666" s="39" t="n">
        <x:v>46212</x:v>
      </x:c>
      <x:c r="F2666" s="42" t="n">
        <x:v>155903.57</x:v>
      </x:c>
      <x:c r="G2666" s="42" t="n">
        <x:v>7795.18</x:v>
      </x:c>
      <x:c r="H2666" s="42" t="n">
        <x:v>672020.6</x:v>
      </x:c>
      <x:c r="I2666" s="39" t="n">
        <x:v>45851</x:v>
      </x:c>
    </x:row>
    <x:row r="2667">
      <x:c r="A2667" s="21" t="str">
        <x:v>SYN-0762</x:v>
      </x:c>
      <x:c r="B2667" s="21" t="str">
        <x:v>Synthetic Supplier 0762 LLC</x:v>
      </x:c>
      <x:c r="C2667" s="38" t="str">
        <x:f>"900 000 000 000 762"</x:f>
        <x:v>900 000 000 000 762</x:v>
      </x:c>
      <x:c r="D2667" s="21" t="str">
        <x:v>SYN-0762-INV-03</x:v>
      </x:c>
      <x:c r="E2667" s="39" t="n">
        <x:v>46259</x:v>
      </x:c>
      <x:c r="F2667" s="42" t="n">
        <x:v>204254.48</x:v>
      </x:c>
      <x:c r="G2667" s="42" t="n">
        <x:v>10212.72</x:v>
      </x:c>
      <x:c r="H2667" s="42" t="n">
        <x:v>672020.6</x:v>
      </x:c>
      <x:c r="I2667" s="39" t="n">
        <x:v>45851</x:v>
      </x:c>
    </x:row>
    <x:row r="2668">
      <x:c r="A2668" s="21" t="str">
        <x:v>SYN-0762</x:v>
      </x:c>
      <x:c r="B2668" s="21" t="str">
        <x:v>Synthetic Supplier 0762 LLC</x:v>
      </x:c>
      <x:c r="C2668" s="38" t="str">
        <x:f>"900 000 000 000 762"</x:f>
        <x:v>900 000 000 000 762</x:v>
      </x:c>
      <x:c r="D2668" s="21" t="str">
        <x:v>SYN-0762-INV-04</x:v>
      </x:c>
      <x:c r="E2668" s="39" t="n">
        <x:v>45946</x:v>
      </x:c>
      <x:c r="F2668" s="42" t="n">
        <x:v>198858.76</x:v>
      </x:c>
      <x:c r="G2668" s="42" t="n">
        <x:v>9942.94</x:v>
      </x:c>
      <x:c r="H2668" s="42" t="n">
        <x:v>672020.6</x:v>
      </x:c>
      <x:c r="I2668" s="39" t="n">
        <x:v>45851</x:v>
      </x:c>
    </x:row>
    <x:row r="2669">
      <x:c r="A2669" s="21" t="str">
        <x:v>SYN-0763</x:v>
      </x:c>
      <x:c r="B2669" s="21" t="str">
        <x:v>Synthetic Supplier 0763 LLC</x:v>
      </x:c>
      <x:c r="C2669" s="38" t="str">
        <x:f>"900 000 000 000 763"</x:f>
        <x:v>900 000 000 000 763</x:v>
      </x:c>
      <x:c r="D2669" s="21" t="str">
        <x:v>SYN-0763-INV-01</x:v>
      </x:c>
      <x:c r="E2669" s="39" t="n">
        <x:v>46178</x:v>
      </x:c>
      <x:c r="F2669" s="42" t="n">
        <x:v>129443.19</x:v>
      </x:c>
      <x:c r="G2669" s="42" t="n">
        <x:v>6472.16</x:v>
      </x:c>
      <x:c r="H2669" s="42" t="n">
        <x:v>606227.25</x:v>
      </x:c>
      <x:c r="I2669" s="39" t="n">
        <x:v>46248</x:v>
      </x:c>
    </x:row>
    <x:row r="2670">
      <x:c r="A2670" s="21" t="str">
        <x:v>SYN-0763</x:v>
      </x:c>
      <x:c r="B2670" s="21" t="str">
        <x:v>Synthetic Supplier 0763 LLC</x:v>
      </x:c>
      <x:c r="C2670" s="38" t="str">
        <x:f>"900 000 000 000 763"</x:f>
        <x:v>900 000 000 000 763</x:v>
      </x:c>
      <x:c r="D2670" s="21" t="str">
        <x:v>SYN-0763-INV-02</x:v>
      </x:c>
      <x:c r="E2670" s="39" t="n">
        <x:v>46225</x:v>
      </x:c>
      <x:c r="F2670" s="42" t="n">
        <x:v>71865.45</x:v>
      </x:c>
      <x:c r="G2670" s="42" t="n">
        <x:v>3593.27</x:v>
      </x:c>
      <x:c r="H2670" s="42" t="n">
        <x:v>606227.25</x:v>
      </x:c>
      <x:c r="I2670" s="39" t="n">
        <x:v>46248</x:v>
      </x:c>
    </x:row>
    <x:row r="2671">
      <x:c r="A2671" s="21" t="str">
        <x:v>SYN-0763</x:v>
      </x:c>
      <x:c r="B2671" s="21" t="str">
        <x:v>Synthetic Supplier 0763 LLC</x:v>
      </x:c>
      <x:c r="C2671" s="38" t="str">
        <x:f>"900 000 000 000 763"</x:f>
        <x:v>900 000 000 000 763</x:v>
      </x:c>
      <x:c r="D2671" s="21" t="str">
        <x:v>SYN-0763-INV-03</x:v>
      </x:c>
      <x:c r="E2671" s="39" t="n">
        <x:v>46272</x:v>
      </x:c>
      <x:c r="F2671" s="42" t="n">
        <x:v>130052.81</x:v>
      </x:c>
      <x:c r="G2671" s="42" t="n">
        <x:v>6502.64</x:v>
      </x:c>
      <x:c r="H2671" s="42" t="n">
        <x:v>606227.25</x:v>
      </x:c>
      <x:c r="I2671" s="39" t="n">
        <x:v>46248</x:v>
      </x:c>
    </x:row>
    <x:row r="2672">
      <x:c r="A2672" s="21" t="str">
        <x:v>SYN-0763</x:v>
      </x:c>
      <x:c r="B2672" s="21" t="str">
        <x:v>Synthetic Supplier 0763 LLC</x:v>
      </x:c>
      <x:c r="C2672" s="38" t="str">
        <x:f>"900 000 000 000 763"</x:f>
        <x:v>900 000 000 000 763</x:v>
      </x:c>
      <x:c r="D2672" s="21" t="str">
        <x:v>SYN-0763-INV-04</x:v>
      </x:c>
      <x:c r="E2672" s="39" t="n">
        <x:v>45959</x:v>
      </x:c>
      <x:c r="F2672" s="42" t="n">
        <x:v>71572.06</x:v>
      </x:c>
      <x:c r="G2672" s="42" t="n">
        <x:v>3578.6</x:v>
      </x:c>
      <x:c r="H2672" s="42" t="n">
        <x:v>606227.25</x:v>
      </x:c>
      <x:c r="I2672" s="39" t="n">
        <x:v>46248</x:v>
      </x:c>
    </x:row>
    <x:row r="2673">
      <x:c r="A2673" s="21" t="str">
        <x:v>SYN-0763</x:v>
      </x:c>
      <x:c r="B2673" s="21" t="str">
        <x:v>Synthetic Supplier 0763 LLC</x:v>
      </x:c>
      <x:c r="C2673" s="38" t="str">
        <x:f>"900 000 000 000 763"</x:f>
        <x:v>900 000 000 000 763</x:v>
      </x:c>
      <x:c r="D2673" s="21" t="str">
        <x:v>SYN-0763-INV-05</x:v>
      </x:c>
      <x:c r="E2673" s="39" t="n">
        <x:v>46006</x:v>
      </x:c>
      <x:c r="F2673" s="42" t="n">
        <x:v>124220.63</x:v>
      </x:c>
      <x:c r="G2673" s="42" t="n">
        <x:v>6211.03</x:v>
      </x:c>
      <x:c r="H2673" s="42" t="n">
        <x:v>606227.25</x:v>
      </x:c>
      <x:c r="I2673" s="39" t="n">
        <x:v>46248</x:v>
      </x:c>
    </x:row>
    <x:row r="2674">
      <x:c r="A2674" s="21" t="str">
        <x:v>SYN-0764</x:v>
      </x:c>
      <x:c r="B2674" s="21" t="str">
        <x:v>Synthetic Supplier 0764 LLC</x:v>
      </x:c>
      <x:c r="C2674" s="38" t="str">
        <x:f>"900 000 000 000 764"</x:f>
        <x:v>900 000 000 000 764</x:v>
      </x:c>
      <x:c r="D2674" s="21" t="str">
        <x:v>SYN-0764-INV-01</x:v>
      </x:c>
      <x:c r="E2674" s="39" t="n">
        <x:v>46191</x:v>
      </x:c>
      <x:c r="F2674" s="42" t="n">
        <x:v>258913.07</x:v>
      </x:c>
      <x:c r="G2674" s="42" t="n">
        <x:v>12945.65</x:v>
      </x:c>
      <x:c r="H2674" s="42" t="n">
        <x:v>585496.91</x:v>
      </x:c>
      <x:c r="I2674" s="39" t="n">
        <x:v>45915</x:v>
      </x:c>
    </x:row>
    <x:row r="2675">
      <x:c r="A2675" s="21" t="str">
        <x:v>SYN-0764</x:v>
      </x:c>
      <x:c r="B2675" s="21" t="str">
        <x:v>Synthetic Supplier 0764 LLC</x:v>
      </x:c>
      <x:c r="C2675" s="38" t="str">
        <x:f>"900 000 000 000 764"</x:f>
        <x:v>900 000 000 000 764</x:v>
      </x:c>
      <x:c r="D2675" s="21" t="str">
        <x:v>SYN-0764-INV-02</x:v>
      </x:c>
      <x:c r="E2675" s="39" t="n">
        <x:v>46238</x:v>
      </x:c>
      <x:c r="F2675" s="42" t="n">
        <x:v>391639.05</x:v>
      </x:c>
      <x:c r="G2675" s="42" t="n">
        <x:v>19581.95</x:v>
      </x:c>
      <x:c r="H2675" s="42" t="n">
        <x:v>585496.91</x:v>
      </x:c>
      <x:c r="I2675" s="39" t="n">
        <x:v>45915</x:v>
      </x:c>
    </x:row>
    <x:row r="2676">
      <x:c r="A2676" s="21" t="str">
        <x:v>SYN-0765</x:v>
      </x:c>
      <x:c r="B2676" s="21" t="str">
        <x:v>Synthetic Supplier 0765 LLC</x:v>
      </x:c>
      <x:c r="C2676" s="38" t="str">
        <x:f>"900 000 000 000 765"</x:f>
        <x:v>900 000 000 000 765</x:v>
      </x:c>
      <x:c r="D2676" s="21" t="str">
        <x:v>SYN-0765-INV-01</x:v>
      </x:c>
      <x:c r="E2676" s="39" t="n">
        <x:v>46204</x:v>
      </x:c>
      <x:c r="F2676" s="42" t="n">
        <x:v>196986.54</x:v>
      </x:c>
      <x:c r="G2676" s="42" t="n">
        <x:v>9849.33</x:v>
      </x:c>
      <x:c r="H2676" s="42" t="n">
        <x:v>658432.67</x:v>
      </x:c>
      <x:c r="I2676" s="39"/>
    </x:row>
    <x:row r="2677">
      <x:c r="A2677" s="21" t="str">
        <x:v>SYN-0765</x:v>
      </x:c>
      <x:c r="B2677" s="21" t="str">
        <x:v>Synthetic Supplier 0765 LLC</x:v>
      </x:c>
      <x:c r="C2677" s="38" t="str">
        <x:f>"900 000 000 000 765"</x:f>
        <x:v>900 000 000 000 765</x:v>
      </x:c>
      <x:c r="D2677" s="21" t="str">
        <x:v>SYN-0765-INV-02</x:v>
      </x:c>
      <x:c r="E2677" s="39" t="n">
        <x:v>46251</x:v>
      </x:c>
      <x:c r="F2677" s="42" t="n">
        <x:v>342588.05</x:v>
      </x:c>
      <x:c r="G2677" s="42" t="n">
        <x:v>17129.4</x:v>
      </x:c>
      <x:c r="H2677" s="42" t="n">
        <x:v>658432.67</x:v>
      </x:c>
      <x:c r="I2677" s="39"/>
    </x:row>
    <x:row r="2678">
      <x:c r="A2678" s="21" t="str">
        <x:v>SYN-0765</x:v>
      </x:c>
      <x:c r="B2678" s="21" t="str">
        <x:v>Synthetic Supplier 0765 LLC</x:v>
      </x:c>
      <x:c r="C2678" s="38" t="str">
        <x:f>"900 000 000 000 765"</x:f>
        <x:v>900 000 000 000 765</x:v>
      </x:c>
      <x:c r="D2678" s="21" t="str">
        <x:v>SYN-0765-INV-03</x:v>
      </x:c>
      <x:c r="E2678" s="39" t="n">
        <x:v>45938</x:v>
      </x:c>
      <x:c r="F2678" s="42" t="n">
        <x:v>192017.26</x:v>
      </x:c>
      <x:c r="G2678" s="42" t="n">
        <x:v>9600.86</x:v>
      </x:c>
      <x:c r="H2678" s="42" t="n">
        <x:v>658432.67</x:v>
      </x:c>
      <x:c r="I2678" s="39"/>
    </x:row>
    <x:row r="2679">
      <x:c r="A2679" s="21" t="str">
        <x:v>SYN-0766</x:v>
      </x:c>
      <x:c r="B2679" s="21" t="str">
        <x:v>Synthetic Supplier 0766 LLC</x:v>
      </x:c>
      <x:c r="C2679" s="38" t="str">
        <x:f>"900 000 000 000 766"</x:f>
        <x:v>900 000 000 000 766</x:v>
      </x:c>
      <x:c r="D2679" s="21" t="str">
        <x:v>SYN-0766-INV-01</x:v>
      </x:c>
      <x:c r="E2679" s="39" t="n">
        <x:v>46217</x:v>
      </x:c>
      <x:c r="F2679" s="42" t="n">
        <x:v>186076.67</x:v>
      </x:c>
      <x:c r="G2679" s="42" t="n">
        <x:v>9303.83</x:v>
      </x:c>
      <x:c r="H2679" s="42" t="n">
        <x:v>676092.12</x:v>
      </x:c>
      <x:c r="I2679" s="39" t="n">
        <x:v>45705</x:v>
      </x:c>
    </x:row>
    <x:row r="2680">
      <x:c r="A2680" s="21" t="str">
        <x:v>SYN-0766</x:v>
      </x:c>
      <x:c r="B2680" s="21" t="str">
        <x:v>Synthetic Supplier 0766 LLC</x:v>
      </x:c>
      <x:c r="C2680" s="38" t="str">
        <x:f>"900 000 000 000 766"</x:f>
        <x:v>900 000 000 000 766</x:v>
      </x:c>
      <x:c r="D2680" s="21" t="str">
        <x:v>SYN-0766-INV-02</x:v>
      </x:c>
      <x:c r="E2680" s="39" t="n">
        <x:v>46264</x:v>
      </x:c>
      <x:c r="F2680" s="42" t="n">
        <x:v>166013.36</x:v>
      </x:c>
      <x:c r="G2680" s="42" t="n">
        <x:v>8300.67</x:v>
      </x:c>
      <x:c r="H2680" s="42" t="n">
        <x:v>676092.12</x:v>
      </x:c>
      <x:c r="I2680" s="39" t="n">
        <x:v>45705</x:v>
      </x:c>
    </x:row>
    <x:row r="2681">
      <x:c r="A2681" s="21" t="str">
        <x:v>SYN-0766</x:v>
      </x:c>
      <x:c r="B2681" s="21" t="str">
        <x:v>Synthetic Supplier 0766 LLC</x:v>
      </x:c>
      <x:c r="C2681" s="38" t="str">
        <x:f>"900 000 000 000 766"</x:f>
        <x:v>900 000 000 000 766</x:v>
      </x:c>
      <x:c r="D2681" s="21" t="str">
        <x:v>SYN-0766-INV-03</x:v>
      </x:c>
      <x:c r="E2681" s="39" t="n">
        <x:v>45951</x:v>
      </x:c>
      <x:c r="F2681" s="42" t="n">
        <x:v>208485</x:v>
      </x:c>
      <x:c r="G2681" s="42" t="n">
        <x:v>10424.25</x:v>
      </x:c>
      <x:c r="H2681" s="42" t="n">
        <x:v>676092.12</x:v>
      </x:c>
      <x:c r="I2681" s="39" t="n">
        <x:v>45705</x:v>
      </x:c>
    </x:row>
    <x:row r="2682">
      <x:c r="A2682" s="21" t="str">
        <x:v>SYN-0766</x:v>
      </x:c>
      <x:c r="B2682" s="21" t="str">
        <x:v>Synthetic Supplier 0766 LLC</x:v>
      </x:c>
      <x:c r="C2682" s="38" t="str">
        <x:f>"900 000 000 000 766"</x:f>
        <x:v>900 000 000 000 766</x:v>
      </x:c>
      <x:c r="D2682" s="21" t="str">
        <x:v>SYN-0766-INV-04</x:v>
      </x:c>
      <x:c r="E2682" s="39" t="n">
        <x:v>45998</x:v>
      </x:c>
      <x:c r="F2682" s="42" t="n">
        <x:v>190638.44</x:v>
      </x:c>
      <x:c r="G2682" s="42" t="n">
        <x:v>9531.92</x:v>
      </x:c>
      <x:c r="H2682" s="42" t="n">
        <x:v>676092.12</x:v>
      </x:c>
      <x:c r="I2682" s="39" t="n">
        <x:v>45705</x:v>
      </x:c>
    </x:row>
    <x:row r="2683">
      <x:c r="A2683" s="21" t="str">
        <x:v>SYN-0767</x:v>
      </x:c>
      <x:c r="B2683" s="21" t="str">
        <x:v>Synthetic Supplier 0767 LLC</x:v>
      </x:c>
      <x:c r="C2683" s="38" t="str">
        <x:f>"900 000 000 000 767"</x:f>
        <x:v>900 000 000 000 767</x:v>
      </x:c>
      <x:c r="D2683" s="21" t="str">
        <x:v>SYN-0767-INV-01</x:v>
      </x:c>
      <x:c r="E2683" s="39" t="n">
        <x:v>46230</x:v>
      </x:c>
      <x:c r="F2683" s="42" t="n">
        <x:v>95498.82</x:v>
      </x:c>
      <x:c r="G2683" s="42" t="n">
        <x:v>4774.94</x:v>
      </x:c>
      <x:c r="H2683" s="42" t="n">
        <x:v>481263.2</x:v>
      </x:c>
      <x:c r="I2683" s="39" t="n">
        <x:v>46099</x:v>
      </x:c>
    </x:row>
    <x:row r="2684">
      <x:c r="A2684" s="21" t="str">
        <x:v>SYN-0767</x:v>
      </x:c>
      <x:c r="B2684" s="21" t="str">
        <x:v>Synthetic Supplier 0767 LLC</x:v>
      </x:c>
      <x:c r="C2684" s="38" t="str">
        <x:f>"900 000 000 000 767"</x:f>
        <x:v>900 000 000 000 767</x:v>
      </x:c>
      <x:c r="D2684" s="21" t="str">
        <x:v>SYN-0767-INV-02</x:v>
      </x:c>
      <x:c r="E2684" s="39" t="n">
        <x:v>46277</x:v>
      </x:c>
      <x:c r="F2684" s="42" t="n">
        <x:v>116853.85</x:v>
      </x:c>
      <x:c r="G2684" s="42" t="n">
        <x:v>5842.69</x:v>
      </x:c>
      <x:c r="H2684" s="42" t="n">
        <x:v>481263.2</x:v>
      </x:c>
      <x:c r="I2684" s="39" t="n">
        <x:v>46099</x:v>
      </x:c>
    </x:row>
    <x:row r="2685">
      <x:c r="A2685" s="21" t="str">
        <x:v>SYN-0767</x:v>
      </x:c>
      <x:c r="B2685" s="21" t="str">
        <x:v>Synthetic Supplier 0767 LLC</x:v>
      </x:c>
      <x:c r="C2685" s="38" t="str">
        <x:f>"900 000 000 000 767"</x:f>
        <x:v>900 000 000 000 767</x:v>
      </x:c>
      <x:c r="D2685" s="21" t="str">
        <x:v>SYN-0767-INV-03</x:v>
      </x:c>
      <x:c r="E2685" s="39" t="n">
        <x:v>45964</x:v>
      </x:c>
      <x:c r="F2685" s="42" t="n">
        <x:v>110039.88</x:v>
      </x:c>
      <x:c r="G2685" s="42" t="n">
        <x:v>5501.99</x:v>
      </x:c>
      <x:c r="H2685" s="42" t="n">
        <x:v>481263.2</x:v>
      </x:c>
      <x:c r="I2685" s="39" t="n">
        <x:v>46099</x:v>
      </x:c>
    </x:row>
    <x:row r="2686">
      <x:c r="A2686" s="21" t="str">
        <x:v>SYN-0767</x:v>
      </x:c>
      <x:c r="B2686" s="21" t="str">
        <x:v>Synthetic Supplier 0767 LLC</x:v>
      </x:c>
      <x:c r="C2686" s="38" t="str">
        <x:f>"900 000 000 000 767"</x:f>
        <x:v>900 000 000 000 767</x:v>
      </x:c>
      <x:c r="D2686" s="21" t="str">
        <x:v>SYN-0767-INV-04</x:v>
      </x:c>
      <x:c r="E2686" s="39" t="n">
        <x:v>46011</x:v>
      </x:c>
      <x:c r="F2686" s="42" t="n">
        <x:v>104460.01</x:v>
      </x:c>
      <x:c r="G2686" s="42" t="n">
        <x:v>5223</x:v>
      </x:c>
      <x:c r="H2686" s="42" t="n">
        <x:v>481263.2</x:v>
      </x:c>
      <x:c r="I2686" s="39" t="n">
        <x:v>46099</x:v>
      </x:c>
    </x:row>
    <x:row r="2687">
      <x:c r="A2687" s="21" t="str">
        <x:v>SYN-0767</x:v>
      </x:c>
      <x:c r="B2687" s="21" t="str">
        <x:v>Synthetic Supplier 0767 LLC</x:v>
      </x:c>
      <x:c r="C2687" s="38" t="str">
        <x:f>"900 000 000 000 767"</x:f>
        <x:v>900 000 000 000 767</x:v>
      </x:c>
      <x:c r="D2687" s="21" t="str">
        <x:v>SYN-0767-INV-05</x:v>
      </x:c>
      <x:c r="E2687" s="39" t="n">
        <x:v>46058</x:v>
      </x:c>
      <x:c r="F2687" s="42" t="n">
        <x:v>107884.34</x:v>
      </x:c>
      <x:c r="G2687" s="42" t="n">
        <x:v>5394.22</x:v>
      </x:c>
      <x:c r="H2687" s="42" t="n">
        <x:v>481263.2</x:v>
      </x:c>
      <x:c r="I2687" s="39" t="n">
        <x:v>46099</x:v>
      </x:c>
    </x:row>
    <x:row r="2688">
      <x:c r="A2688" s="21" t="str">
        <x:v>SYN-0768</x:v>
      </x:c>
      <x:c r="B2688" s="21" t="str">
        <x:v>Synthetic Supplier 0768 LLC</x:v>
      </x:c>
      <x:c r="C2688" s="38" t="str">
        <x:f>"900 000 000 000 768"</x:f>
        <x:v>900 000 000 000 768</x:v>
      </x:c>
      <x:c r="D2688" s="21" t="str">
        <x:v>SYN-0768-INV-01</x:v>
      </x:c>
      <x:c r="E2688" s="39" t="n">
        <x:v>46243</x:v>
      </x:c>
      <x:c r="F2688" s="42" t="n">
        <x:v>421063.82</x:v>
      </x:c>
      <x:c r="G2688" s="42" t="n">
        <x:v>21053.19</x:v>
      </x:c>
      <x:c r="H2688" s="42" t="n">
        <x:v>669186.94</x:v>
      </x:c>
      <x:c r="I2688" s="39" t="n">
        <x:v>45766</x:v>
      </x:c>
    </x:row>
    <x:row r="2689">
      <x:c r="A2689" s="21" t="str">
        <x:v>SYN-0768</x:v>
      </x:c>
      <x:c r="B2689" s="21" t="str">
        <x:v>Synthetic Supplier 0768 LLC</x:v>
      </x:c>
      <x:c r="C2689" s="38" t="str">
        <x:f>"900 000 000 000 768"</x:f>
        <x:v>900 000 000 000 768</x:v>
      </x:c>
      <x:c r="D2689" s="21" t="str">
        <x:v>SYN-0768-INV-02</x:v>
      </x:c>
      <x:c r="E2689" s="39" t="n">
        <x:v>46290</x:v>
      </x:c>
      <x:c r="F2689" s="42" t="n">
        <x:v>322477.22</x:v>
      </x:c>
      <x:c r="G2689" s="42" t="n">
        <x:v>16123.86</x:v>
      </x:c>
      <x:c r="H2689" s="42" t="n">
        <x:v>669186.94</x:v>
      </x:c>
      <x:c r="I2689" s="39" t="n">
        <x:v>45766</x:v>
      </x:c>
    </x:row>
    <x:row r="2690">
      <x:c r="A2690" s="21" t="str">
        <x:v>SYN-0769</x:v>
      </x:c>
      <x:c r="B2690" s="21" t="str">
        <x:v>Synthetic Supplier 0769 LLC</x:v>
      </x:c>
      <x:c r="C2690" s="38" t="str">
        <x:f>"900 000 000 000 769"</x:f>
        <x:v>900 000 000 000 769</x:v>
      </x:c>
      <x:c r="D2690" s="21" t="str">
        <x:v>SYN-0769-INV-01</x:v>
      </x:c>
      <x:c r="E2690" s="39" t="n">
        <x:v>46256</x:v>
      </x:c>
      <x:c r="F2690" s="42" t="n">
        <x:v>313250.35</x:v>
      </x:c>
      <x:c r="G2690" s="42" t="n">
        <x:v>15662.52</x:v>
      </x:c>
      <x:c r="H2690" s="42" t="n">
        <x:v>714269.65</x:v>
      </x:c>
      <x:c r="I2690" s="39" t="n">
        <x:v>46162</x:v>
      </x:c>
    </x:row>
    <x:row r="2691">
      <x:c r="A2691" s="21" t="str">
        <x:v>SYN-0769</x:v>
      </x:c>
      <x:c r="B2691" s="21" t="str">
        <x:v>Synthetic Supplier 0769 LLC</x:v>
      </x:c>
      <x:c r="C2691" s="38" t="str">
        <x:f>"900 000 000 000 769"</x:f>
        <x:v>900 000 000 000 769</x:v>
      </x:c>
      <x:c r="D2691" s="21" t="str">
        <x:v>SYN-0769-INV-02</x:v>
      </x:c>
      <x:c r="E2691" s="39" t="n">
        <x:v>45943</x:v>
      </x:c>
      <x:c r="F2691" s="42" t="n">
        <x:v>225124.85</x:v>
      </x:c>
      <x:c r="G2691" s="42" t="n">
        <x:v>11256.24</x:v>
      </x:c>
      <x:c r="H2691" s="42" t="n">
        <x:v>714269.65</x:v>
      </x:c>
      <x:c r="I2691" s="39" t="n">
        <x:v>46162</x:v>
      </x:c>
    </x:row>
    <x:row r="2692">
      <x:c r="A2692" s="21" t="str">
        <x:v>SYN-0769</x:v>
      </x:c>
      <x:c r="B2692" s="21" t="str">
        <x:v>Synthetic Supplier 0769 LLC</x:v>
      </x:c>
      <x:c r="C2692" s="38" t="str">
        <x:f>"900 000 000 000 769"</x:f>
        <x:v>900 000 000 000 769</x:v>
      </x:c>
      <x:c r="D2692" s="21" t="str">
        <x:v>SYN-0769-INV-03</x:v>
      </x:c>
      <x:c r="E2692" s="39" t="n">
        <x:v>45990</x:v>
      </x:c>
      <x:c r="F2692" s="42" t="n">
        <x:v>255257.75</x:v>
      </x:c>
      <x:c r="G2692" s="42" t="n">
        <x:v>12762.89</x:v>
      </x:c>
      <x:c r="H2692" s="42" t="n">
        <x:v>714269.65</x:v>
      </x:c>
      <x:c r="I2692" s="39" t="n">
        <x:v>46162</x:v>
      </x:c>
    </x:row>
    <x:row r="2693">
      <x:c r="A2693" s="21" t="str">
        <x:v>SYN-0770</x:v>
      </x:c>
      <x:c r="B2693" s="21" t="str">
        <x:v>Synthetic Supplier 0770 LLC</x:v>
      </x:c>
      <x:c r="C2693" s="38" t="str">
        <x:f>"900 000 000 000 770"</x:f>
        <x:v>900 000 000 000 770</x:v>
      </x:c>
      <x:c r="D2693" s="21" t="str">
        <x:v>SYN-0770-INV-01</x:v>
      </x:c>
      <x:c r="E2693" s="39" t="n">
        <x:v>46269</x:v>
      </x:c>
      <x:c r="F2693" s="42" t="n">
        <x:v>164398.47</x:v>
      </x:c>
      <x:c r="G2693" s="42" t="n">
        <x:v>8219.92</x:v>
      </x:c>
      <x:c r="H2693" s="42" t="n">
        <x:v>729507.74</x:v>
      </x:c>
      <x:c r="I2693" s="39"/>
    </x:row>
    <x:row r="2694">
      <x:c r="A2694" s="21" t="str">
        <x:v>SYN-0770</x:v>
      </x:c>
      <x:c r="B2694" s="21" t="str">
        <x:v>Synthetic Supplier 0770 LLC</x:v>
      </x:c>
      <x:c r="C2694" s="38" t="str">
        <x:f>"900 000 000 000 770"</x:f>
        <x:v>900 000 000 000 770</x:v>
      </x:c>
      <x:c r="D2694" s="21" t="str">
        <x:v>SYN-0770-INV-02</x:v>
      </x:c>
      <x:c r="E2694" s="39" t="n">
        <x:v>45956</x:v>
      </x:c>
      <x:c r="F2694" s="42" t="n">
        <x:v>106907.19</x:v>
      </x:c>
      <x:c r="G2694" s="42" t="n">
        <x:v>5345.36</x:v>
      </x:c>
      <x:c r="H2694" s="42" t="n">
        <x:v>729507.74</x:v>
      </x:c>
      <x:c r="I2694" s="39"/>
    </x:row>
    <x:row r="2695">
      <x:c r="A2695" s="21" t="str">
        <x:v>SYN-0770</x:v>
      </x:c>
      <x:c r="B2695" s="21" t="str">
        <x:v>Synthetic Supplier 0770 LLC</x:v>
      </x:c>
      <x:c r="C2695" s="38" t="str">
        <x:f>"900 000 000 000 770"</x:f>
        <x:v>900 000 000 000 770</x:v>
      </x:c>
      <x:c r="D2695" s="21" t="str">
        <x:v>SYN-0770-INV-03</x:v>
      </x:c>
      <x:c r="E2695" s="39" t="n">
        <x:v>46003</x:v>
      </x:c>
      <x:c r="F2695" s="42" t="n">
        <x:v>168059.71</x:v>
      </x:c>
      <x:c r="G2695" s="42" t="n">
        <x:v>8402.99</x:v>
      </x:c>
      <x:c r="H2695" s="42" t="n">
        <x:v>729507.74</x:v>
      </x:c>
      <x:c r="I2695" s="39"/>
    </x:row>
    <x:row r="2696">
      <x:c r="A2696" s="21" t="str">
        <x:v>SYN-0770</x:v>
      </x:c>
      <x:c r="B2696" s="21" t="str">
        <x:v>Synthetic Supplier 0770 LLC</x:v>
      </x:c>
      <x:c r="C2696" s="38" t="str">
        <x:f>"900 000 000 000 770"</x:f>
        <x:v>900 000 000 000 770</x:v>
      </x:c>
      <x:c r="D2696" s="21" t="str">
        <x:v>SYN-0770-INV-04</x:v>
      </x:c>
      <x:c r="E2696" s="39" t="n">
        <x:v>46050</x:v>
      </x:c>
      <x:c r="F2696" s="42" t="n">
        <x:v>194989.19</x:v>
      </x:c>
      <x:c r="G2696" s="42" t="n">
        <x:v>9749.46</x:v>
      </x:c>
      <x:c r="H2696" s="42" t="n">
        <x:v>729507.74</x:v>
      </x:c>
      <x:c r="I2696" s="39"/>
    </x:row>
    <x:row r="2697">
      <x:c r="A2697" s="21" t="str">
        <x:v>SYN-0771</x:v>
      </x:c>
      <x:c r="B2697" s="21" t="str">
        <x:v>Synthetic Supplier 0771 LLC</x:v>
      </x:c>
      <x:c r="C2697" s="38" t="str">
        <x:f>"900 000 000 000 771"</x:f>
        <x:v>900 000 000 000 771</x:v>
      </x:c>
      <x:c r="D2697" s="21" t="str">
        <x:v>SYN-0771-INV-01</x:v>
      </x:c>
      <x:c r="E2697" s="39" t="n">
        <x:v>46282</x:v>
      </x:c>
      <x:c r="F2697" s="42" t="n">
        <x:v>60370.79</x:v>
      </x:c>
      <x:c r="G2697" s="42" t="n">
        <x:v>3018.54</x:v>
      </x:c>
      <x:c r="H2697" s="42" t="n">
        <x:v>397166.93</x:v>
      </x:c>
      <x:c r="I2697" s="39" t="n">
        <x:v>46225</x:v>
      </x:c>
    </x:row>
    <x:row r="2698">
      <x:c r="A2698" s="21" t="str">
        <x:v>SYN-0771</x:v>
      </x:c>
      <x:c r="B2698" s="21" t="str">
        <x:v>Synthetic Supplier 0771 LLC</x:v>
      </x:c>
      <x:c r="C2698" s="38" t="str">
        <x:f>"900 000 000 000 771"</x:f>
        <x:v>900 000 000 000 771</x:v>
      </x:c>
      <x:c r="D2698" s="21" t="str">
        <x:v>SYN-0771-INV-02</x:v>
      </x:c>
      <x:c r="E2698" s="39" t="n">
        <x:v>45969</x:v>
      </x:c>
      <x:c r="F2698" s="42" t="n">
        <x:v>83951.32</x:v>
      </x:c>
      <x:c r="G2698" s="42" t="n">
        <x:v>4197.57</x:v>
      </x:c>
      <x:c r="H2698" s="42" t="n">
        <x:v>397166.93</x:v>
      </x:c>
      <x:c r="I2698" s="39" t="n">
        <x:v>46225</x:v>
      </x:c>
    </x:row>
    <x:row r="2699">
      <x:c r="A2699" s="21" t="str">
        <x:v>SYN-0771</x:v>
      </x:c>
      <x:c r="B2699" s="21" t="str">
        <x:v>Synthetic Supplier 0771 LLC</x:v>
      </x:c>
      <x:c r="C2699" s="38" t="str">
        <x:f>"900 000 000 000 771"</x:f>
        <x:v>900 000 000 000 771</x:v>
      </x:c>
      <x:c r="D2699" s="21" t="str">
        <x:v>SYN-0771-INV-03</x:v>
      </x:c>
      <x:c r="E2699" s="39" t="n">
        <x:v>46016</x:v>
      </x:c>
      <x:c r="F2699" s="42" t="n">
        <x:v>90760.37</x:v>
      </x:c>
      <x:c r="G2699" s="42" t="n">
        <x:v>4538.02</x:v>
      </x:c>
      <x:c r="H2699" s="42" t="n">
        <x:v>397166.93</x:v>
      </x:c>
      <x:c r="I2699" s="39" t="n">
        <x:v>46225</x:v>
      </x:c>
    </x:row>
    <x:row r="2700">
      <x:c r="A2700" s="21" t="str">
        <x:v>SYN-0771</x:v>
      </x:c>
      <x:c r="B2700" s="21" t="str">
        <x:v>Synthetic Supplier 0771 LLC</x:v>
      </x:c>
      <x:c r="C2700" s="38" t="str">
        <x:f>"900 000 000 000 771"</x:f>
        <x:v>900 000 000 000 771</x:v>
      </x:c>
      <x:c r="D2700" s="21" t="str">
        <x:v>SYN-0771-INV-04</x:v>
      </x:c>
      <x:c r="E2700" s="39" t="n">
        <x:v>46063</x:v>
      </x:c>
      <x:c r="F2700" s="42" t="n">
        <x:v>86936.62</x:v>
      </x:c>
      <x:c r="G2700" s="42" t="n">
        <x:v>4346.83</x:v>
      </x:c>
      <x:c r="H2700" s="42" t="n">
        <x:v>397166.93</x:v>
      </x:c>
      <x:c r="I2700" s="39" t="n">
        <x:v>46225</x:v>
      </x:c>
    </x:row>
    <x:row r="2701">
      <x:c r="A2701" s="21" t="str">
        <x:v>SYN-0771</x:v>
      </x:c>
      <x:c r="B2701" s="21" t="str">
        <x:v>Synthetic Supplier 0771 LLC</x:v>
      </x:c>
      <x:c r="C2701" s="38" t="str">
        <x:f>"900 000 000 000 771"</x:f>
        <x:v>900 000 000 000 771</x:v>
      </x:c>
      <x:c r="D2701" s="21" t="str">
        <x:v>SYN-0771-INV-05</x:v>
      </x:c>
      <x:c r="E2701" s="39" t="n">
        <x:v>46110</x:v>
      </x:c>
      <x:c r="F2701" s="42" t="n">
        <x:v>119277.5</x:v>
      </x:c>
      <x:c r="G2701" s="42" t="n">
        <x:v>5963.88</x:v>
      </x:c>
      <x:c r="H2701" s="42" t="n">
        <x:v>397166.93</x:v>
      </x:c>
      <x:c r="I2701" s="39" t="n">
        <x:v>46225</x:v>
      </x:c>
    </x:row>
    <x:row r="2702">
      <x:c r="A2702" s="21" t="str">
        <x:v>SYN-0772</x:v>
      </x:c>
      <x:c r="B2702" s="21" t="str">
        <x:v>Synthetic Supplier 0772 LLC</x:v>
      </x:c>
      <x:c r="C2702" s="38" t="str">
        <x:f>"900 000 000 000 772"</x:f>
        <x:v>900 000 000 000 772</x:v>
      </x:c>
      <x:c r="D2702" s="21" t="str">
        <x:v>SYN-0772-INV-01</x:v>
      </x:c>
      <x:c r="E2702" s="39" t="n">
        <x:v>45935</x:v>
      </x:c>
      <x:c r="F2702" s="42" t="n">
        <x:v>509967.81</x:v>
      </x:c>
      <x:c r="G2702" s="42" t="n">
        <x:v>25498.39</x:v>
      </x:c>
      <x:c r="H2702" s="42" t="n">
        <x:v>701564.16</x:v>
      </x:c>
      <x:c r="I2702" s="39" t="n">
        <x:v>45892</x:v>
      </x:c>
    </x:row>
    <x:row r="2703">
      <x:c r="A2703" s="21" t="str">
        <x:v>SYN-0772</x:v>
      </x:c>
      <x:c r="B2703" s="21" t="str">
        <x:v>Synthetic Supplier 0772 LLC</x:v>
      </x:c>
      <x:c r="C2703" s="38" t="str">
        <x:f>"900 000 000 000 772"</x:f>
        <x:v>900 000 000 000 772</x:v>
      </x:c>
      <x:c r="D2703" s="21" t="str">
        <x:v>SYN-0772-INV-02</x:v>
      </x:c>
      <x:c r="E2703" s="39" t="n">
        <x:v>45982</x:v>
      </x:c>
      <x:c r="F2703" s="42" t="n">
        <x:v>269547.92</x:v>
      </x:c>
      <x:c r="G2703" s="42" t="n">
        <x:v>13477.4</x:v>
      </x:c>
      <x:c r="H2703" s="42" t="n">
        <x:v>701564.16</x:v>
      </x:c>
      <x:c r="I2703" s="39" t="n">
        <x:v>45892</x:v>
      </x:c>
    </x:row>
    <x:row r="2704">
      <x:c r="A2704" s="21" t="str">
        <x:v>SYN-0773</x:v>
      </x:c>
      <x:c r="B2704" s="21" t="str">
        <x:v>Synthetic Supplier 0773 LLC</x:v>
      </x:c>
      <x:c r="C2704" s="38" t="str">
        <x:f>"900 000 000 000 773"</x:f>
        <x:v>900 000 000 000 773</x:v>
      </x:c>
      <x:c r="D2704" s="21" t="str">
        <x:v>SYN-0773-INV-01</x:v>
      </x:c>
      <x:c r="E2704" s="39" t="n">
        <x:v>45948</x:v>
      </x:c>
      <x:c r="F2704" s="42" t="n">
        <x:v>162165.13</x:v>
      </x:c>
      <x:c r="G2704" s="42" t="n">
        <x:v>8108.26</x:v>
      </x:c>
      <x:c r="H2704" s="42" t="n">
        <x:v>480553.44</x:v>
      </x:c>
      <x:c r="I2704" s="39" t="n">
        <x:v>46289</x:v>
      </x:c>
    </x:row>
    <x:row r="2705">
      <x:c r="A2705" s="21" t="str">
        <x:v>SYN-0773</x:v>
      </x:c>
      <x:c r="B2705" s="21" t="str">
        <x:v>Synthetic Supplier 0773 LLC</x:v>
      </x:c>
      <x:c r="C2705" s="38" t="str">
        <x:f>"900 000 000 000 773"</x:f>
        <x:v>900 000 000 000 773</x:v>
      </x:c>
      <x:c r="D2705" s="21" t="str">
        <x:v>SYN-0773-INV-02</x:v>
      </x:c>
      <x:c r="E2705" s="39" t="n">
        <x:v>45995</x:v>
      </x:c>
      <x:c r="F2705" s="42" t="n">
        <x:v>212238.01</x:v>
      </x:c>
      <x:c r="G2705" s="42" t="n">
        <x:v>10611.9</x:v>
      </x:c>
      <x:c r="H2705" s="42" t="n">
        <x:v>480553.44</x:v>
      </x:c>
      <x:c r="I2705" s="39" t="n">
        <x:v>46289</x:v>
      </x:c>
    </x:row>
    <x:row r="2706">
      <x:c r="A2706" s="21" t="str">
        <x:v>SYN-0773</x:v>
      </x:c>
      <x:c r="B2706" s="21" t="str">
        <x:v>Synthetic Supplier 0773 LLC</x:v>
      </x:c>
      <x:c r="C2706" s="38" t="str">
        <x:f>"900 000 000 000 773"</x:f>
        <x:v>900 000 000 000 773</x:v>
      </x:c>
      <x:c r="D2706" s="21" t="str">
        <x:v>SYN-0773-INV-03</x:v>
      </x:c>
      <x:c r="E2706" s="39" t="n">
        <x:v>46042</x:v>
      </x:c>
      <x:c r="F2706" s="42" t="n">
        <x:v>159545.13</x:v>
      </x:c>
      <x:c r="G2706" s="42" t="n">
        <x:v>7977.26</x:v>
      </x:c>
      <x:c r="H2706" s="42" t="n">
        <x:v>480553.44</x:v>
      </x:c>
      <x:c r="I2706" s="39" t="n">
        <x:v>46289</x:v>
      </x:c>
    </x:row>
    <x:row r="2707">
      <x:c r="A2707" s="21" t="str">
        <x:v>SYN-0774</x:v>
      </x:c>
      <x:c r="B2707" s="21" t="str">
        <x:v>Synthetic Supplier 0774 LLC</x:v>
      </x:c>
      <x:c r="C2707" s="38" t="str">
        <x:f>"900 000 000 000 774"</x:f>
        <x:v>900 000 000 000 774</x:v>
      </x:c>
      <x:c r="D2707" s="21" t="str">
        <x:v>SYN-0774-INV-01</x:v>
      </x:c>
      <x:c r="E2707" s="39" t="n">
        <x:v>45961</x:v>
      </x:c>
      <x:c r="F2707" s="42" t="n">
        <x:v>146287.58</x:v>
      </x:c>
      <x:c r="G2707" s="42" t="n">
        <x:v>7314.38</x:v>
      </x:c>
      <x:c r="H2707" s="42" t="n">
        <x:v>514695.22</x:v>
      </x:c>
      <x:c r="I2707" s="39" t="n">
        <x:v>45682</x:v>
      </x:c>
    </x:row>
    <x:row r="2708">
      <x:c r="A2708" s="21" t="str">
        <x:v>SYN-0774</x:v>
      </x:c>
      <x:c r="B2708" s="21" t="str">
        <x:v>Synthetic Supplier 0774 LLC</x:v>
      </x:c>
      <x:c r="C2708" s="38" t="str">
        <x:f>"900 000 000 000 774"</x:f>
        <x:v>900 000 000 000 774</x:v>
      </x:c>
      <x:c r="D2708" s="21" t="str">
        <x:v>SYN-0774-INV-02</x:v>
      </x:c>
      <x:c r="E2708" s="39" t="n">
        <x:v>46008</x:v>
      </x:c>
      <x:c r="F2708" s="42" t="n">
        <x:v>149065.72</x:v>
      </x:c>
      <x:c r="G2708" s="42" t="n">
        <x:v>7453.29</x:v>
      </x:c>
      <x:c r="H2708" s="42" t="n">
        <x:v>514695.22</x:v>
      </x:c>
      <x:c r="I2708" s="39" t="n">
        <x:v>45682</x:v>
      </x:c>
    </x:row>
    <x:row r="2709">
      <x:c r="A2709" s="21" t="str">
        <x:v>SYN-0774</x:v>
      </x:c>
      <x:c r="B2709" s="21" t="str">
        <x:v>Synthetic Supplier 0774 LLC</x:v>
      </x:c>
      <x:c r="C2709" s="38" t="str">
        <x:f>"900 000 000 000 774"</x:f>
        <x:v>900 000 000 000 774</x:v>
      </x:c>
      <x:c r="D2709" s="21" t="str">
        <x:v>SYN-0774-INV-03</x:v>
      </x:c>
      <x:c r="E2709" s="39" t="n">
        <x:v>46055</x:v>
      </x:c>
      <x:c r="F2709" s="42" t="n">
        <x:v>183358.4</x:v>
      </x:c>
      <x:c r="G2709" s="42" t="n">
        <x:v>9167.92</x:v>
      </x:c>
      <x:c r="H2709" s="42" t="n">
        <x:v>514695.22</x:v>
      </x:c>
      <x:c r="I2709" s="39" t="n">
        <x:v>45682</x:v>
      </x:c>
    </x:row>
    <x:row r="2710">
      <x:c r="A2710" s="21" t="str">
        <x:v>SYN-0774</x:v>
      </x:c>
      <x:c r="B2710" s="21" t="str">
        <x:v>Synthetic Supplier 0774 LLC</x:v>
      </x:c>
      <x:c r="C2710" s="38" t="str">
        <x:f>"900 000 000 000 774"</x:f>
        <x:v>900 000 000 000 774</x:v>
      </x:c>
      <x:c r="D2710" s="21" t="str">
        <x:v>SYN-0774-INV-04</x:v>
      </x:c>
      <x:c r="E2710" s="39" t="n">
        <x:v>46102</x:v>
      </x:c>
      <x:c r="F2710" s="42" t="n">
        <x:v>93171.87</x:v>
      </x:c>
      <x:c r="G2710" s="42" t="n">
        <x:v>4658.59</x:v>
      </x:c>
      <x:c r="H2710" s="42" t="n">
        <x:v>514695.22</x:v>
      </x:c>
      <x:c r="I2710" s="39" t="n">
        <x:v>45682</x:v>
      </x:c>
    </x:row>
    <x:row r="2711">
      <x:c r="A2711" s="21" t="str">
        <x:v>SYN-0775</x:v>
      </x:c>
      <x:c r="B2711" s="21" t="str">
        <x:v>Synthetic Supplier 0775 LLC</x:v>
      </x:c>
      <x:c r="C2711" s="38" t="str">
        <x:f>"900 000 000 000 775"</x:f>
        <x:v>900 000 000 000 775</x:v>
      </x:c>
      <x:c r="D2711" s="21" t="str">
        <x:v>SYN-0775-INV-01</x:v>
      </x:c>
      <x:c r="E2711" s="39" t="n">
        <x:v>45974</x:v>
      </x:c>
      <x:c r="F2711" s="42" t="n">
        <x:v>109728.06</x:v>
      </x:c>
      <x:c r="G2711" s="42" t="n">
        <x:v>5486.4</x:v>
      </x:c>
      <x:c r="H2711" s="42" t="n">
        <x:v>504015.55</x:v>
      </x:c>
      <x:c r="I2711" s="39"/>
    </x:row>
    <x:row r="2712">
      <x:c r="A2712" s="21" t="str">
        <x:v>SYN-0775</x:v>
      </x:c>
      <x:c r="B2712" s="21" t="str">
        <x:v>Synthetic Supplier 0775 LLC</x:v>
      </x:c>
      <x:c r="C2712" s="38" t="str">
        <x:f>"900 000 000 000 775"</x:f>
        <x:v>900 000 000 000 775</x:v>
      </x:c>
      <x:c r="D2712" s="21" t="str">
        <x:v>SYN-0775-INV-02</x:v>
      </x:c>
      <x:c r="E2712" s="39" t="n">
        <x:v>46021</x:v>
      </x:c>
      <x:c r="F2712" s="42" t="n">
        <x:v>133962.56</x:v>
      </x:c>
      <x:c r="G2712" s="42" t="n">
        <x:v>6698.13</x:v>
      </x:c>
      <x:c r="H2712" s="42" t="n">
        <x:v>504015.55</x:v>
      </x:c>
      <x:c r="I2712" s="39"/>
    </x:row>
    <x:row r="2713">
      <x:c r="A2713" s="21" t="str">
        <x:v>SYN-0775</x:v>
      </x:c>
      <x:c r="B2713" s="21" t="str">
        <x:v>Synthetic Supplier 0775 LLC</x:v>
      </x:c>
      <x:c r="C2713" s="38" t="str">
        <x:f>"900 000 000 000 775"</x:f>
        <x:v>900 000 000 000 775</x:v>
      </x:c>
      <x:c r="D2713" s="21" t="str">
        <x:v>SYN-0775-INV-03</x:v>
      </x:c>
      <x:c r="E2713" s="39" t="n">
        <x:v>46068</x:v>
      </x:c>
      <x:c r="F2713" s="42" t="n">
        <x:v>133827.27</x:v>
      </x:c>
      <x:c r="G2713" s="42" t="n">
        <x:v>6691.36</x:v>
      </x:c>
      <x:c r="H2713" s="42" t="n">
        <x:v>504015.55</x:v>
      </x:c>
      <x:c r="I2713" s="39"/>
    </x:row>
    <x:row r="2714">
      <x:c r="A2714" s="21" t="str">
        <x:v>SYN-0775</x:v>
      </x:c>
      <x:c r="B2714" s="21" t="str">
        <x:v>Synthetic Supplier 0775 LLC</x:v>
      </x:c>
      <x:c r="C2714" s="38" t="str">
        <x:f>"900 000 000 000 775"</x:f>
        <x:v>900 000 000 000 775</x:v>
      </x:c>
      <x:c r="D2714" s="21" t="str">
        <x:v>SYN-0775-INV-04</x:v>
      </x:c>
      <x:c r="E2714" s="39" t="n">
        <x:v>46115</x:v>
      </x:c>
      <x:c r="F2714" s="42" t="n">
        <x:v>99169.68</x:v>
      </x:c>
      <x:c r="G2714" s="42" t="n">
        <x:v>4958.48</x:v>
      </x:c>
      <x:c r="H2714" s="42" t="n">
        <x:v>504015.55</x:v>
      </x:c>
      <x:c r="I2714" s="39"/>
    </x:row>
    <x:row r="2715">
      <x:c r="A2715" s="21" t="str">
        <x:v>SYN-0775</x:v>
      </x:c>
      <x:c r="B2715" s="21" t="str">
        <x:v>Synthetic Supplier 0775 LLC</x:v>
      </x:c>
      <x:c r="C2715" s="38" t="str">
        <x:f>"900 000 000 000 775"</x:f>
        <x:v>900 000 000 000 775</x:v>
      </x:c>
      <x:c r="D2715" s="21" t="str">
        <x:v>SYN-0775-INV-05</x:v>
      </x:c>
      <x:c r="E2715" s="39" t="n">
        <x:v>46162</x:v>
      </x:c>
      <x:c r="F2715" s="42" t="n">
        <x:v>83329.71</x:v>
      </x:c>
      <x:c r="G2715" s="42" t="n">
        <x:v>4166.49</x:v>
      </x:c>
      <x:c r="H2715" s="42" t="n">
        <x:v>504015.55</x:v>
      </x:c>
      <x:c r="I2715" s="39"/>
    </x:row>
    <x:row r="2716">
      <x:c r="A2716" s="21" t="str">
        <x:v>SYN-0776</x:v>
      </x:c>
      <x:c r="B2716" s="21" t="str">
        <x:v>Synthetic Supplier 0776 LLC</x:v>
      </x:c>
      <x:c r="C2716" s="38" t="str">
        <x:f>"900 000 000 000 776"</x:f>
        <x:v>900 000 000 000 776</x:v>
      </x:c>
      <x:c r="D2716" s="21" t="str">
        <x:v>SYN-0776-INV-01</x:v>
      </x:c>
      <x:c r="E2716" s="39" t="n">
        <x:v>45987</x:v>
      </x:c>
      <x:c r="F2716" s="42" t="n">
        <x:v>211963.79</x:v>
      </x:c>
      <x:c r="G2716" s="42" t="n">
        <x:v>10598.19</x:v>
      </x:c>
      <x:c r="H2716" s="42" t="n">
        <x:v>381962.81</x:v>
      </x:c>
      <x:c r="I2716" s="39" t="n">
        <x:v>45718</x:v>
      </x:c>
    </x:row>
    <x:row r="2717">
      <x:c r="A2717" s="21" t="str">
        <x:v>SYN-0776</x:v>
      </x:c>
      <x:c r="B2717" s="21" t="str">
        <x:v>Synthetic Supplier 0776 LLC</x:v>
      </x:c>
      <x:c r="C2717" s="38" t="str">
        <x:f>"900 000 000 000 776"</x:f>
        <x:v>900 000 000 000 776</x:v>
      </x:c>
      <x:c r="D2717" s="21" t="str">
        <x:v>SYN-0776-INV-02</x:v>
      </x:c>
      <x:c r="E2717" s="39" t="n">
        <x:v>46034</x:v>
      </x:c>
      <x:c r="F2717" s="42" t="n">
        <x:v>212439.33</x:v>
      </x:c>
      <x:c r="G2717" s="42" t="n">
        <x:v>10621.97</x:v>
      </x:c>
      <x:c r="H2717" s="42" t="n">
        <x:v>381962.81</x:v>
      </x:c>
      <x:c r="I2717" s="39" t="n">
        <x:v>45718</x:v>
      </x:c>
    </x:row>
    <x:row r="2718">
      <x:c r="A2718" s="21" t="str">
        <x:v>SYN-0777</x:v>
      </x:c>
      <x:c r="B2718" s="21" t="str">
        <x:v>Synthetic Supplier 0777 LLC</x:v>
      </x:c>
      <x:c r="C2718" s="38" t="str">
        <x:f>"900 000 000 000 777"</x:f>
        <x:v>900 000 000 000 777</x:v>
      </x:c>
      <x:c r="D2718" s="21" t="str">
        <x:v>SYN-0777-INV-01</x:v>
      </x:c>
      <x:c r="E2718" s="39" t="n">
        <x:v>46000</x:v>
      </x:c>
      <x:c r="F2718" s="42" t="n">
        <x:v>209443.95</x:v>
      </x:c>
      <x:c r="G2718" s="42" t="n">
        <x:v>10472.2</x:v>
      </x:c>
      <x:c r="H2718" s="42" t="n">
        <x:v>788919.32</x:v>
      </x:c>
      <x:c r="I2718" s="39" t="n">
        <x:v>46115</x:v>
      </x:c>
    </x:row>
    <x:row r="2719">
      <x:c r="A2719" s="21" t="str">
        <x:v>SYN-0777</x:v>
      </x:c>
      <x:c r="B2719" s="21" t="str">
        <x:v>Synthetic Supplier 0777 LLC</x:v>
      </x:c>
      <x:c r="C2719" s="38" t="str">
        <x:f>"900 000 000 000 777"</x:f>
        <x:v>900 000 000 000 777</x:v>
      </x:c>
      <x:c r="D2719" s="21" t="str">
        <x:v>SYN-0777-INV-02</x:v>
      </x:c>
      <x:c r="E2719" s="39" t="n">
        <x:v>46047</x:v>
      </x:c>
      <x:c r="F2719" s="42" t="n">
        <x:v>279335.27</x:v>
      </x:c>
      <x:c r="G2719" s="42" t="n">
        <x:v>13966.76</x:v>
      </x:c>
      <x:c r="H2719" s="42" t="n">
        <x:v>788919.32</x:v>
      </x:c>
      <x:c r="I2719" s="39" t="n">
        <x:v>46115</x:v>
      </x:c>
    </x:row>
    <x:row r="2720">
      <x:c r="A2720" s="21" t="str">
        <x:v>SYN-0777</x:v>
      </x:c>
      <x:c r="B2720" s="21" t="str">
        <x:v>Synthetic Supplier 0777 LLC</x:v>
      </x:c>
      <x:c r="C2720" s="38" t="str">
        <x:f>"900 000 000 000 777"</x:f>
        <x:v>900 000 000 000 777</x:v>
      </x:c>
      <x:c r="D2720" s="21" t="str">
        <x:v>SYN-0777-INV-03</x:v>
      </x:c>
      <x:c r="E2720" s="39" t="n">
        <x:v>46094</x:v>
      </x:c>
      <x:c r="F2720" s="42" t="n">
        <x:v>197237.58</x:v>
      </x:c>
      <x:c r="G2720" s="42" t="n">
        <x:v>9861.88</x:v>
      </x:c>
      <x:c r="H2720" s="42" t="n">
        <x:v>788919.32</x:v>
      </x:c>
      <x:c r="I2720" s="39" t="n">
        <x:v>46115</x:v>
      </x:c>
    </x:row>
    <x:row r="2721">
      <x:c r="A2721" s="21" t="str">
        <x:v>SYN-0778</x:v>
      </x:c>
      <x:c r="B2721" s="21" t="str">
        <x:v>Synthetic Supplier 0778 LLC</x:v>
      </x:c>
      <x:c r="C2721" s="38" t="str">
        <x:f>"900 000 000 000 778"</x:f>
        <x:v>900 000 000 000 778</x:v>
      </x:c>
      <x:c r="D2721" s="21" t="str">
        <x:v>SYN-0778-INV-01</x:v>
      </x:c>
      <x:c r="E2721" s="39" t="n">
        <x:v>46013</x:v>
      </x:c>
      <x:c r="F2721" s="42" t="n">
        <x:v>103407.44</x:v>
      </x:c>
      <x:c r="G2721" s="42" t="n">
        <x:v>5170.37</x:v>
      </x:c>
      <x:c r="H2721" s="42" t="n">
        <x:v>566368.02</x:v>
      </x:c>
      <x:c r="I2721" s="39" t="n">
        <x:v>45781</x:v>
      </x:c>
    </x:row>
    <x:row r="2722">
      <x:c r="A2722" s="21" t="str">
        <x:v>SYN-0778</x:v>
      </x:c>
      <x:c r="B2722" s="21" t="str">
        <x:v>Synthetic Supplier 0778 LLC</x:v>
      </x:c>
      <x:c r="C2722" s="38" t="str">
        <x:f>"900 000 000 000 778"</x:f>
        <x:v>900 000 000 000 778</x:v>
      </x:c>
      <x:c r="D2722" s="21" t="str">
        <x:v>SYN-0778-INV-02</x:v>
      </x:c>
      <x:c r="E2722" s="39" t="n">
        <x:v>46060</x:v>
      </x:c>
      <x:c r="F2722" s="42" t="n">
        <x:v>139781.1</x:v>
      </x:c>
      <x:c r="G2722" s="42" t="n">
        <x:v>6989.05</x:v>
      </x:c>
      <x:c r="H2722" s="42" t="n">
        <x:v>566368.02</x:v>
      </x:c>
      <x:c r="I2722" s="39" t="n">
        <x:v>45781</x:v>
      </x:c>
    </x:row>
    <x:row r="2723">
      <x:c r="A2723" s="21" t="str">
        <x:v>SYN-0778</x:v>
      </x:c>
      <x:c r="B2723" s="21" t="str">
        <x:v>Synthetic Supplier 0778 LLC</x:v>
      </x:c>
      <x:c r="C2723" s="38" t="str">
        <x:f>"900 000 000 000 778"</x:f>
        <x:v>900 000 000 000 778</x:v>
      </x:c>
      <x:c r="D2723" s="21" t="str">
        <x:v>SYN-0778-INV-03</x:v>
      </x:c>
      <x:c r="E2723" s="39" t="n">
        <x:v>46107</x:v>
      </x:c>
      <x:c r="F2723" s="42" t="n">
        <x:v>153472.42</x:v>
      </x:c>
      <x:c r="G2723" s="42" t="n">
        <x:v>7673.62</x:v>
      </x:c>
      <x:c r="H2723" s="42" t="n">
        <x:v>566368.02</x:v>
      </x:c>
      <x:c r="I2723" s="39" t="n">
        <x:v>45781</x:v>
      </x:c>
    </x:row>
    <x:row r="2724">
      <x:c r="A2724" s="21" t="str">
        <x:v>SYN-0778</x:v>
      </x:c>
      <x:c r="B2724" s="21" t="str">
        <x:v>Synthetic Supplier 0778 LLC</x:v>
      </x:c>
      <x:c r="C2724" s="38" t="str">
        <x:f>"900 000 000 000 778"</x:f>
        <x:v>900 000 000 000 778</x:v>
      </x:c>
      <x:c r="D2724" s="21" t="str">
        <x:v>SYN-0778-INV-04</x:v>
      </x:c>
      <x:c r="E2724" s="39" t="n">
        <x:v>46154</x:v>
      </x:c>
      <x:c r="F2724" s="42" t="n">
        <x:v>232636.84</x:v>
      </x:c>
      <x:c r="G2724" s="42" t="n">
        <x:v>11631.84</x:v>
      </x:c>
      <x:c r="H2724" s="42" t="n">
        <x:v>566368.02</x:v>
      </x:c>
      <x:c r="I2724" s="39" t="n">
        <x:v>45781</x:v>
      </x:c>
    </x:row>
    <x:row r="2725">
      <x:c r="A2725" s="21" t="str">
        <x:v>SYN-0779</x:v>
      </x:c>
      <x:c r="B2725" s="21" t="str">
        <x:v>Synthetic Supplier 0779 LLC</x:v>
      </x:c>
      <x:c r="C2725" s="38" t="str">
        <x:f>"900 000 000 000 779"</x:f>
        <x:v>900 000 000 000 779</x:v>
      </x:c>
      <x:c r="D2725" s="21" t="str">
        <x:v>SYN-0779-INV-01</x:v>
      </x:c>
      <x:c r="E2725" s="39" t="n">
        <x:v>46026</x:v>
      </x:c>
      <x:c r="F2725" s="42" t="n">
        <x:v>101852.06</x:v>
      </x:c>
      <x:c r="G2725" s="42" t="n">
        <x:v>5092.6</x:v>
      </x:c>
      <x:c r="H2725" s="42" t="n">
        <x:v>522869.79</x:v>
      </x:c>
      <x:c r="I2725" s="39" t="n">
        <x:v>46178</x:v>
      </x:c>
    </x:row>
    <x:row r="2726">
      <x:c r="A2726" s="21" t="str">
        <x:v>SYN-0779</x:v>
      </x:c>
      <x:c r="B2726" s="21" t="str">
        <x:v>Synthetic Supplier 0779 LLC</x:v>
      </x:c>
      <x:c r="C2726" s="38" t="str">
        <x:f>"900 000 000 000 779"</x:f>
        <x:v>900 000 000 000 779</x:v>
      </x:c>
      <x:c r="D2726" s="21" t="str">
        <x:v>SYN-0779-INV-02</x:v>
      </x:c>
      <x:c r="E2726" s="39" t="n">
        <x:v>46073</x:v>
      </x:c>
      <x:c r="F2726" s="42" t="n">
        <x:v>100762.74</x:v>
      </x:c>
      <x:c r="G2726" s="42" t="n">
        <x:v>5038.14</x:v>
      </x:c>
      <x:c r="H2726" s="42" t="n">
        <x:v>522869.79</x:v>
      </x:c>
      <x:c r="I2726" s="39" t="n">
        <x:v>46178</x:v>
      </x:c>
    </x:row>
    <x:row r="2727">
      <x:c r="A2727" s="21" t="str">
        <x:v>SYN-0779</x:v>
      </x:c>
      <x:c r="B2727" s="21" t="str">
        <x:v>Synthetic Supplier 0779 LLC</x:v>
      </x:c>
      <x:c r="C2727" s="38" t="str">
        <x:f>"900 000 000 000 779"</x:f>
        <x:v>900 000 000 000 779</x:v>
      </x:c>
      <x:c r="D2727" s="21" t="str">
        <x:v>SYN-0779-INV-03</x:v>
      </x:c>
      <x:c r="E2727" s="39" t="n">
        <x:v>46120</x:v>
      </x:c>
      <x:c r="F2727" s="42" t="n">
        <x:v>137218.25</x:v>
      </x:c>
      <x:c r="G2727" s="42" t="n">
        <x:v>6860.91</x:v>
      </x:c>
      <x:c r="H2727" s="42" t="n">
        <x:v>522869.79</x:v>
      </x:c>
      <x:c r="I2727" s="39" t="n">
        <x:v>46178</x:v>
      </x:c>
    </x:row>
    <x:row r="2728">
      <x:c r="A2728" s="21" t="str">
        <x:v>SYN-0779</x:v>
      </x:c>
      <x:c r="B2728" s="21" t="str">
        <x:v>Synthetic Supplier 0779 LLC</x:v>
      </x:c>
      <x:c r="C2728" s="38" t="str">
        <x:f>"900 000 000 000 779"</x:f>
        <x:v>900 000 000 000 779</x:v>
      </x:c>
      <x:c r="D2728" s="21" t="str">
        <x:v>SYN-0779-INV-04</x:v>
      </x:c>
      <x:c r="E2728" s="39" t="n">
        <x:v>46167</x:v>
      </x:c>
      <x:c r="F2728" s="42" t="n">
        <x:v>141679.54</x:v>
      </x:c>
      <x:c r="G2728" s="42" t="n">
        <x:v>7083.98</x:v>
      </x:c>
      <x:c r="H2728" s="42" t="n">
        <x:v>522869.79</x:v>
      </x:c>
      <x:c r="I2728" s="39" t="n">
        <x:v>46178</x:v>
      </x:c>
    </x:row>
    <x:row r="2729">
      <x:c r="A2729" s="21" t="str">
        <x:v>SYN-0779</x:v>
      </x:c>
      <x:c r="B2729" s="21" t="str">
        <x:v>Synthetic Supplier 0779 LLC</x:v>
      </x:c>
      <x:c r="C2729" s="38" t="str">
        <x:f>"900 000 000 000 779"</x:f>
        <x:v>900 000 000 000 779</x:v>
      </x:c>
      <x:c r="D2729" s="21" t="str">
        <x:v>SYN-0779-INV-05</x:v>
      </x:c>
      <x:c r="E2729" s="39" t="n">
        <x:v>46214</x:v>
      </x:c>
      <x:c r="F2729" s="42" t="n">
        <x:v>99453.85</x:v>
      </x:c>
      <x:c r="G2729" s="42" t="n">
        <x:v>4972.69</x:v>
      </x:c>
      <x:c r="H2729" s="42" t="n">
        <x:v>522869.79</x:v>
      </x:c>
      <x:c r="I2729" s="39" t="n">
        <x:v>46178</x:v>
      </x:c>
    </x:row>
    <x:row r="2730">
      <x:c r="A2730" s="21" t="str">
        <x:v>SYN-0780</x:v>
      </x:c>
      <x:c r="B2730" s="21" t="str">
        <x:v>Synthetic Supplier 0780 LLC</x:v>
      </x:c>
      <x:c r="C2730" s="38" t="str">
        <x:f>"900 000 000 000 780"</x:f>
        <x:v>900 000 000 000 780</x:v>
      </x:c>
      <x:c r="D2730" s="21" t="str">
        <x:v>SYN-0780-INV-01</x:v>
      </x:c>
      <x:c r="E2730" s="39" t="n">
        <x:v>46039</x:v>
      </x:c>
      <x:c r="F2730" s="42" t="n">
        <x:v>278150.08</x:v>
      </x:c>
      <x:c r="G2730" s="42" t="n">
        <x:v>13907.5</x:v>
      </x:c>
      <x:c r="H2730" s="42" t="n">
        <x:v>407460.72</x:v>
      </x:c>
      <x:c r="I2730" s="39"/>
    </x:row>
    <x:row r="2731">
      <x:c r="A2731" s="21" t="str">
        <x:v>SYN-0780</x:v>
      </x:c>
      <x:c r="B2731" s="21" t="str">
        <x:v>Synthetic Supplier 0780 LLC</x:v>
      </x:c>
      <x:c r="C2731" s="38" t="str">
        <x:f>"900 000 000 000 780"</x:f>
        <x:v>900 000 000 000 780</x:v>
      </x:c>
      <x:c r="D2731" s="21" t="str">
        <x:v>SYN-0780-INV-02</x:v>
      </x:c>
      <x:c r="E2731" s="39" t="n">
        <x:v>46086</x:v>
      </x:c>
      <x:c r="F2731" s="42" t="n">
        <x:v>174584.06</x:v>
      </x:c>
      <x:c r="G2731" s="42" t="n">
        <x:v>8729.2</x:v>
      </x:c>
      <x:c r="H2731" s="42" t="n">
        <x:v>407460.72</x:v>
      </x:c>
      <x:c r="I2731" s="39"/>
    </x:row>
    <x:row r="2732">
      <x:c r="A2732" s="21" t="str">
        <x:v>SYN-0781</x:v>
      </x:c>
      <x:c r="B2732" s="21" t="str">
        <x:v>Synthetic Supplier 0781 LLC</x:v>
      </x:c>
      <x:c r="C2732" s="38" t="str">
        <x:f>"900 000 000 000 781"</x:f>
        <x:v>900 000 000 000 781</x:v>
      </x:c>
      <x:c r="D2732" s="21" t="str">
        <x:v>SYN-0781-INV-01</x:v>
      </x:c>
      <x:c r="E2732" s="39" t="n">
        <x:v>46052</x:v>
      </x:c>
      <x:c r="F2732" s="42" t="n">
        <x:v>220154.82</x:v>
      </x:c>
      <x:c r="G2732" s="42" t="n">
        <x:v>11007.74</x:v>
      </x:c>
      <x:c r="H2732" s="42" t="n">
        <x:v>489876.19</x:v>
      </x:c>
      <x:c r="I2732" s="39" t="n">
        <x:v>46241</x:v>
      </x:c>
    </x:row>
    <x:row r="2733">
      <x:c r="A2733" s="21" t="str">
        <x:v>SYN-0781</x:v>
      </x:c>
      <x:c r="B2733" s="21" t="str">
        <x:v>Synthetic Supplier 0781 LLC</x:v>
      </x:c>
      <x:c r="C2733" s="38" t="str">
        <x:f>"900 000 000 000 781"</x:f>
        <x:v>900 000 000 000 781</x:v>
      </x:c>
      <x:c r="D2733" s="21" t="str">
        <x:v>SYN-0781-INV-02</x:v>
      </x:c>
      <x:c r="E2733" s="39" t="n">
        <x:v>46099</x:v>
      </x:c>
      <x:c r="F2733" s="42" t="n">
        <x:v>114607.94</x:v>
      </x:c>
      <x:c r="G2733" s="42" t="n">
        <x:v>5730.4</x:v>
      </x:c>
      <x:c r="H2733" s="42" t="n">
        <x:v>489876.19</x:v>
      </x:c>
      <x:c r="I2733" s="39" t="n">
        <x:v>46241</x:v>
      </x:c>
    </x:row>
    <x:row r="2734">
      <x:c r="A2734" s="21" t="str">
        <x:v>SYN-0781</x:v>
      </x:c>
      <x:c r="B2734" s="21" t="str">
        <x:v>Synthetic Supplier 0781 LLC</x:v>
      </x:c>
      <x:c r="C2734" s="38" t="str">
        <x:f>"900 000 000 000 781"</x:f>
        <x:v>900 000 000 000 781</x:v>
      </x:c>
      <x:c r="D2734" s="21" t="str">
        <x:v>SYN-0781-INV-03</x:v>
      </x:c>
      <x:c r="E2734" s="39" t="n">
        <x:v>46146</x:v>
      </x:c>
      <x:c r="F2734" s="42" t="n">
        <x:v>209544.12</x:v>
      </x:c>
      <x:c r="G2734" s="42" t="n">
        <x:v>10477.21</x:v>
      </x:c>
      <x:c r="H2734" s="42" t="n">
        <x:v>489876.19</x:v>
      </x:c>
      <x:c r="I2734" s="39" t="n">
        <x:v>46241</x:v>
      </x:c>
    </x:row>
    <x:row r="2735">
      <x:c r="A2735" s="21" t="str">
        <x:v>SYN-0782</x:v>
      </x:c>
      <x:c r="B2735" s="21" t="str">
        <x:v>Synthetic Supplier 0782 LLC</x:v>
      </x:c>
      <x:c r="C2735" s="38" t="str">
        <x:f>"900 000 000 000 782"</x:f>
        <x:v>900 000 000 000 782</x:v>
      </x:c>
      <x:c r="D2735" s="21" t="str">
        <x:v>SYN-0782-INV-01</x:v>
      </x:c>
      <x:c r="E2735" s="39" t="n">
        <x:v>46065</x:v>
      </x:c>
      <x:c r="F2735" s="42" t="n">
        <x:v>79624.79</x:v>
      </x:c>
      <x:c r="G2735" s="42" t="n">
        <x:v>3981.24</x:v>
      </x:c>
      <x:c r="H2735" s="42" t="n">
        <x:v>364028.81</x:v>
      </x:c>
      <x:c r="I2735" s="39" t="n">
        <x:v>45908</x:v>
      </x:c>
    </x:row>
    <x:row r="2736">
      <x:c r="A2736" s="21" t="str">
        <x:v>SYN-0782</x:v>
      </x:c>
      <x:c r="B2736" s="21" t="str">
        <x:v>Synthetic Supplier 0782 LLC</x:v>
      </x:c>
      <x:c r="C2736" s="38" t="str">
        <x:f>"900 000 000 000 782"</x:f>
        <x:v>900 000 000 000 782</x:v>
      </x:c>
      <x:c r="D2736" s="21" t="str">
        <x:v>SYN-0782-INV-02</x:v>
      </x:c>
      <x:c r="E2736" s="39" t="n">
        <x:v>46112</x:v>
      </x:c>
      <x:c r="F2736" s="42" t="n">
        <x:v>107568.21</x:v>
      </x:c>
      <x:c r="G2736" s="42" t="n">
        <x:v>5378.41</x:v>
      </x:c>
      <x:c r="H2736" s="42" t="n">
        <x:v>364028.81</x:v>
      </x:c>
      <x:c r="I2736" s="39" t="n">
        <x:v>45908</x:v>
      </x:c>
    </x:row>
    <x:row r="2737">
      <x:c r="A2737" s="21" t="str">
        <x:v>SYN-0782</x:v>
      </x:c>
      <x:c r="B2737" s="21" t="str">
        <x:v>Synthetic Supplier 0782 LLC</x:v>
      </x:c>
      <x:c r="C2737" s="38" t="str">
        <x:f>"900 000 000 000 782"</x:f>
        <x:v>900 000 000 000 782</x:v>
      </x:c>
      <x:c r="D2737" s="21" t="str">
        <x:v>SYN-0782-INV-03</x:v>
      </x:c>
      <x:c r="E2737" s="39" t="n">
        <x:v>46159</x:v>
      </x:c>
      <x:c r="F2737" s="42" t="n">
        <x:v>82681.1</x:v>
      </x:c>
      <x:c r="G2737" s="42" t="n">
        <x:v>4134.05</x:v>
      </x:c>
      <x:c r="H2737" s="42" t="n">
        <x:v>364028.81</x:v>
      </x:c>
      <x:c r="I2737" s="39" t="n">
        <x:v>45908</x:v>
      </x:c>
    </x:row>
    <x:row r="2738">
      <x:c r="A2738" s="21" t="str">
        <x:v>SYN-0782</x:v>
      </x:c>
      <x:c r="B2738" s="21" t="str">
        <x:v>Synthetic Supplier 0782 LLC</x:v>
      </x:c>
      <x:c r="C2738" s="38" t="str">
        <x:f>"900 000 000 000 782"</x:f>
        <x:v>900 000 000 000 782</x:v>
      </x:c>
      <x:c r="D2738" s="21" t="str">
        <x:v>SYN-0782-INV-04</x:v>
      </x:c>
      <x:c r="E2738" s="39" t="n">
        <x:v>46206</x:v>
      </x:c>
      <x:c r="F2738" s="42" t="n">
        <x:v>134602.36</x:v>
      </x:c>
      <x:c r="G2738" s="42" t="n">
        <x:v>6730.12</x:v>
      </x:c>
      <x:c r="H2738" s="42" t="n">
        <x:v>364028.81</x:v>
      </x:c>
      <x:c r="I2738" s="39" t="n">
        <x:v>45908</x:v>
      </x:c>
    </x:row>
    <x:row r="2739">
      <x:c r="A2739" s="21" t="str">
        <x:v>SYN-0783</x:v>
      </x:c>
      <x:c r="B2739" s="21" t="str">
        <x:v>Synthetic Supplier 0783 LLC</x:v>
      </x:c>
      <x:c r="C2739" s="38" t="str">
        <x:f>"900 000 000 000 783"</x:f>
        <x:v>900 000 000 000 783</x:v>
      </x:c>
      <x:c r="D2739" s="21" t="str">
        <x:v>SYN-0783-INV-01</x:v>
      </x:c>
      <x:c r="E2739" s="39" t="n">
        <x:v>46078</x:v>
      </x:c>
      <x:c r="F2739" s="42" t="n">
        <x:v>132128.15</x:v>
      </x:c>
      <x:c r="G2739" s="42" t="n">
        <x:v>6606.41</x:v>
      </x:c>
      <x:c r="H2739" s="42" t="n">
        <x:v>683997.99</x:v>
      </x:c>
      <x:c r="I2739" s="39" t="n">
        <x:v>46031</x:v>
      </x:c>
    </x:row>
    <x:row r="2740">
      <x:c r="A2740" s="21" t="str">
        <x:v>SYN-0783</x:v>
      </x:c>
      <x:c r="B2740" s="21" t="str">
        <x:v>Synthetic Supplier 0783 LLC</x:v>
      </x:c>
      <x:c r="C2740" s="38" t="str">
        <x:f>"900 000 000 000 783"</x:f>
        <x:v>900 000 000 000 783</x:v>
      </x:c>
      <x:c r="D2740" s="21" t="str">
        <x:v>SYN-0783-INV-02</x:v>
      </x:c>
      <x:c r="E2740" s="39" t="n">
        <x:v>46125</x:v>
      </x:c>
      <x:c r="F2740" s="42" t="n">
        <x:v>150634.96</x:v>
      </x:c>
      <x:c r="G2740" s="42" t="n">
        <x:v>7531.75</x:v>
      </x:c>
      <x:c r="H2740" s="42" t="n">
        <x:v>683997.99</x:v>
      </x:c>
      <x:c r="I2740" s="39" t="n">
        <x:v>46031</x:v>
      </x:c>
    </x:row>
    <x:row r="2741">
      <x:c r="A2741" s="21" t="str">
        <x:v>SYN-0783</x:v>
      </x:c>
      <x:c r="B2741" s="21" t="str">
        <x:v>Synthetic Supplier 0783 LLC</x:v>
      </x:c>
      <x:c r="C2741" s="38" t="str">
        <x:f>"900 000 000 000 783"</x:f>
        <x:v>900 000 000 000 783</x:v>
      </x:c>
      <x:c r="D2741" s="21" t="str">
        <x:v>SYN-0783-INV-03</x:v>
      </x:c>
      <x:c r="E2741" s="39" t="n">
        <x:v>46172</x:v>
      </x:c>
      <x:c r="F2741" s="42" t="n">
        <x:v>137530.9</x:v>
      </x:c>
      <x:c r="G2741" s="42" t="n">
        <x:v>6876.54</x:v>
      </x:c>
      <x:c r="H2741" s="42" t="n">
        <x:v>683997.99</x:v>
      </x:c>
      <x:c r="I2741" s="39" t="n">
        <x:v>46031</x:v>
      </x:c>
    </x:row>
    <x:row r="2742">
      <x:c r="A2742" s="21" t="str">
        <x:v>SYN-0783</x:v>
      </x:c>
      <x:c r="B2742" s="21" t="str">
        <x:v>Synthetic Supplier 0783 LLC</x:v>
      </x:c>
      <x:c r="C2742" s="38" t="str">
        <x:f>"900 000 000 000 783"</x:f>
        <x:v>900 000 000 000 783</x:v>
      </x:c>
      <x:c r="D2742" s="21" t="str">
        <x:v>SYN-0783-INV-04</x:v>
      </x:c>
      <x:c r="E2742" s="39" t="n">
        <x:v>46219</x:v>
      </x:c>
      <x:c r="F2742" s="42" t="n">
        <x:v>123193</x:v>
      </x:c>
      <x:c r="G2742" s="42" t="n">
        <x:v>6159.65</x:v>
      </x:c>
      <x:c r="H2742" s="42" t="n">
        <x:v>683997.99</x:v>
      </x:c>
      <x:c r="I2742" s="39" t="n">
        <x:v>46031</x:v>
      </x:c>
    </x:row>
    <x:row r="2743">
      <x:c r="A2743" s="21" t="str">
        <x:v>SYN-0783</x:v>
      </x:c>
      <x:c r="B2743" s="21" t="str">
        <x:v>Synthetic Supplier 0783 LLC</x:v>
      </x:c>
      <x:c r="C2743" s="38" t="str">
        <x:f>"900 000 000 000 783"</x:f>
        <x:v>900 000 000 000 783</x:v>
      </x:c>
      <x:c r="D2743" s="21" t="str">
        <x:v>SYN-0783-INV-05</x:v>
      </x:c>
      <x:c r="E2743" s="39" t="n">
        <x:v>46266</x:v>
      </x:c>
      <x:c r="F2743" s="42" t="n">
        <x:v>216510.76</x:v>
      </x:c>
      <x:c r="G2743" s="42" t="n">
        <x:v>10825.54</x:v>
      </x:c>
      <x:c r="H2743" s="42" t="n">
        <x:v>683997.99</x:v>
      </x:c>
      <x:c r="I2743" s="39" t="n">
        <x:v>46031</x:v>
      </x:c>
    </x:row>
    <x:row r="2744">
      <x:c r="A2744" s="21" t="str">
        <x:v>SYN-0784</x:v>
      </x:c>
      <x:c r="B2744" s="21" t="str">
        <x:v>Synthetic Supplier 0784 LLC</x:v>
      </x:c>
      <x:c r="C2744" s="38" t="str">
        <x:f>"900 000 000 000 784"</x:f>
        <x:v>900 000 000 000 784</x:v>
      </x:c>
      <x:c r="D2744" s="21" t="str">
        <x:v>SYN-0784-INV-01</x:v>
      </x:c>
      <x:c r="E2744" s="39" t="n">
        <x:v>46091</x:v>
      </x:c>
      <x:c r="F2744" s="42" t="n">
        <x:v>301526.82</x:v>
      </x:c>
      <x:c r="G2744" s="42" t="n">
        <x:v>15076.34</x:v>
      </x:c>
      <x:c r="H2744" s="42" t="n">
        <x:v>718738.23</x:v>
      </x:c>
      <x:c r="I2744" s="39" t="n">
        <x:v>45698</x:v>
      </x:c>
    </x:row>
    <x:row r="2745">
      <x:c r="A2745" s="21" t="str">
        <x:v>SYN-0784</x:v>
      </x:c>
      <x:c r="B2745" s="21" t="str">
        <x:v>Synthetic Supplier 0784 LLC</x:v>
      </x:c>
      <x:c r="C2745" s="38" t="str">
        <x:f>"900 000 000 000 784"</x:f>
        <x:v>900 000 000 000 784</x:v>
      </x:c>
      <x:c r="D2745" s="21" t="str">
        <x:v>SYN-0784-INV-02</x:v>
      </x:c>
      <x:c r="E2745" s="39" t="n">
        <x:v>46138</x:v>
      </x:c>
      <x:c r="F2745" s="42" t="n">
        <x:v>323462.94</x:v>
      </x:c>
      <x:c r="G2745" s="42" t="n">
        <x:v>16173.15</x:v>
      </x:c>
      <x:c r="H2745" s="42" t="n">
        <x:v>718738.23</x:v>
      </x:c>
      <x:c r="I2745" s="39" t="n">
        <x:v>45698</x:v>
      </x:c>
    </x:row>
    <x:row r="2746">
      <x:c r="A2746" s="21" t="str">
        <x:v>SYN-0785</x:v>
      </x:c>
      <x:c r="B2746" s="21" t="str">
        <x:v>Synthetic Supplier 0785 LLC</x:v>
      </x:c>
      <x:c r="C2746" s="38" t="str">
        <x:f>"900 000 000 000 785"</x:f>
        <x:v>900 000 000 000 785</x:v>
      </x:c>
      <x:c r="D2746" s="21" t="str">
        <x:v>SYN-0785-INV-01</x:v>
      </x:c>
      <x:c r="E2746" s="39" t="n">
        <x:v>46104</x:v>
      </x:c>
      <x:c r="F2746" s="42" t="n">
        <x:v>160597.98</x:v>
      </x:c>
      <x:c r="G2746" s="42" t="n">
        <x:v>8029.9</x:v>
      </x:c>
      <x:c r="H2746" s="42" t="n">
        <x:v>438568.79</x:v>
      </x:c>
      <x:c r="I2746" s="39"/>
    </x:row>
    <x:row r="2747">
      <x:c r="A2747" s="21" t="str">
        <x:v>SYN-0785</x:v>
      </x:c>
      <x:c r="B2747" s="21" t="str">
        <x:v>Synthetic Supplier 0785 LLC</x:v>
      </x:c>
      <x:c r="C2747" s="38" t="str">
        <x:f>"900 000 000 000 785"</x:f>
        <x:v>900 000 000 000 785</x:v>
      </x:c>
      <x:c r="D2747" s="21" t="str">
        <x:v>SYN-0785-INV-02</x:v>
      </x:c>
      <x:c r="E2747" s="39" t="n">
        <x:v>46151</x:v>
      </x:c>
      <x:c r="F2747" s="42" t="n">
        <x:v>206917.21</x:v>
      </x:c>
      <x:c r="G2747" s="42" t="n">
        <x:v>10345.86</x:v>
      </x:c>
      <x:c r="H2747" s="42" t="n">
        <x:v>438568.79</x:v>
      </x:c>
      <x:c r="I2747" s="39"/>
    </x:row>
    <x:row r="2748">
      <x:c r="A2748" s="21" t="str">
        <x:v>SYN-0785</x:v>
      </x:c>
      <x:c r="B2748" s="21" t="str">
        <x:v>Synthetic Supplier 0785 LLC</x:v>
      </x:c>
      <x:c r="C2748" s="38" t="str">
        <x:f>"900 000 000 000 785"</x:f>
        <x:v>900 000 000 000 785</x:v>
      </x:c>
      <x:c r="D2748" s="21" t="str">
        <x:v>SYN-0785-INV-03</x:v>
      </x:c>
      <x:c r="E2748" s="39" t="n">
        <x:v>46198</x:v>
      </x:c>
      <x:c r="F2748" s="42" t="n">
        <x:v>119783.46</x:v>
      </x:c>
      <x:c r="G2748" s="42" t="n">
        <x:v>5989.17</x:v>
      </x:c>
      <x:c r="H2748" s="42" t="n">
        <x:v>438568.79</x:v>
      </x:c>
      <x:c r="I2748" s="39"/>
    </x:row>
    <x:row r="2749">
      <x:c r="A2749" s="21" t="str">
        <x:v>SYN-0786</x:v>
      </x:c>
      <x:c r="B2749" s="21" t="str">
        <x:v>Synthetic Supplier 0786 LLC</x:v>
      </x:c>
      <x:c r="C2749" s="38" t="str">
        <x:f>"900 000 000 000 786"</x:f>
        <x:v>900 000 000 000 786</x:v>
      </x:c>
      <x:c r="D2749" s="21" t="str">
        <x:v>SYN-0786-INV-01</x:v>
      </x:c>
      <x:c r="E2749" s="39" t="n">
        <x:v>46117</x:v>
      </x:c>
      <x:c r="F2749" s="42" t="n">
        <x:v>108455.34</x:v>
      </x:c>
      <x:c r="G2749" s="42" t="n">
        <x:v>5422.77</x:v>
      </x:c>
      <x:c r="H2749" s="42" t="n">
        <x:v>348254</x:v>
      </x:c>
      <x:c r="I2749" s="39" t="n">
        <x:v>45759</x:v>
      </x:c>
    </x:row>
    <x:row r="2750">
      <x:c r="A2750" s="21" t="str">
        <x:v>SYN-0786</x:v>
      </x:c>
      <x:c r="B2750" s="21" t="str">
        <x:v>Synthetic Supplier 0786 LLC</x:v>
      </x:c>
      <x:c r="C2750" s="38" t="str">
        <x:f>"900 000 000 000 786"</x:f>
        <x:v>900 000 000 000 786</x:v>
      </x:c>
      <x:c r="D2750" s="21" t="str">
        <x:v>SYN-0786-INV-02</x:v>
      </x:c>
      <x:c r="E2750" s="39" t="n">
        <x:v>46164</x:v>
      </x:c>
      <x:c r="F2750" s="42" t="n">
        <x:v>97663.7</x:v>
      </x:c>
      <x:c r="G2750" s="42" t="n">
        <x:v>4883.18</x:v>
      </x:c>
      <x:c r="H2750" s="42" t="n">
        <x:v>348254</x:v>
      </x:c>
      <x:c r="I2750" s="39" t="n">
        <x:v>45759</x:v>
      </x:c>
    </x:row>
    <x:row r="2751">
      <x:c r="A2751" s="21" t="str">
        <x:v>SYN-0786</x:v>
      </x:c>
      <x:c r="B2751" s="21" t="str">
        <x:v>Synthetic Supplier 0786 LLC</x:v>
      </x:c>
      <x:c r="C2751" s="38" t="str">
        <x:f>"900 000 000 000 786"</x:f>
        <x:v>900 000 000 000 786</x:v>
      </x:c>
      <x:c r="D2751" s="21" t="str">
        <x:v>SYN-0786-INV-03</x:v>
      </x:c>
      <x:c r="E2751" s="39" t="n">
        <x:v>46211</x:v>
      </x:c>
      <x:c r="F2751" s="42" t="n">
        <x:v>66268.13</x:v>
      </x:c>
      <x:c r="G2751" s="42" t="n">
        <x:v>3313.41</x:v>
      </x:c>
      <x:c r="H2751" s="42" t="n">
        <x:v>348254</x:v>
      </x:c>
      <x:c r="I2751" s="39" t="n">
        <x:v>45759</x:v>
      </x:c>
    </x:row>
    <x:row r="2752">
      <x:c r="A2752" s="21" t="str">
        <x:v>SYN-0786</x:v>
      </x:c>
      <x:c r="B2752" s="21" t="str">
        <x:v>Synthetic Supplier 0786 LLC</x:v>
      </x:c>
      <x:c r="C2752" s="38" t="str">
        <x:f>"900 000 000 000 786"</x:f>
        <x:v>900 000 000 000 786</x:v>
      </x:c>
      <x:c r="D2752" s="21" t="str">
        <x:v>SYN-0786-INV-04</x:v>
      </x:c>
      <x:c r="E2752" s="39" t="n">
        <x:v>46258</x:v>
      </x:c>
      <x:c r="F2752" s="42" t="n">
        <x:v>114561.72</x:v>
      </x:c>
      <x:c r="G2752" s="42" t="n">
        <x:v>5728.09</x:v>
      </x:c>
      <x:c r="H2752" s="42" t="n">
        <x:v>348254</x:v>
      </x:c>
      <x:c r="I2752" s="39" t="n">
        <x:v>45759</x:v>
      </x:c>
    </x:row>
    <x:row r="2753">
      <x:c r="A2753" s="21" t="str">
        <x:v>SYN-0787</x:v>
      </x:c>
      <x:c r="B2753" s="21" t="str">
        <x:v>Synthetic Supplier 0787 LLC</x:v>
      </x:c>
      <x:c r="C2753" s="38" t="str">
        <x:f>"900 000 000 000 787"</x:f>
        <x:v>900 000 000 000 787</x:v>
      </x:c>
      <x:c r="D2753" s="21" t="str">
        <x:v>SYN-0787-INV-01</x:v>
      </x:c>
      <x:c r="E2753" s="39" t="n">
        <x:v>46130</x:v>
      </x:c>
      <x:c r="F2753" s="42" t="n">
        <x:v>104989.14</x:v>
      </x:c>
      <x:c r="G2753" s="42" t="n">
        <x:v>5249.46</x:v>
      </x:c>
      <x:c r="H2753" s="42" t="n">
        <x:v>581196.95</x:v>
      </x:c>
      <x:c r="I2753" s="39" t="n">
        <x:v>46155</x:v>
      </x:c>
    </x:row>
    <x:row r="2754">
      <x:c r="A2754" s="21" t="str">
        <x:v>SYN-0787</x:v>
      </x:c>
      <x:c r="B2754" s="21" t="str">
        <x:v>Synthetic Supplier 0787 LLC</x:v>
      </x:c>
      <x:c r="C2754" s="38" t="str">
        <x:f>"900 000 000 000 787"</x:f>
        <x:v>900 000 000 000 787</x:v>
      </x:c>
      <x:c r="D2754" s="21" t="str">
        <x:v>SYN-0787-INV-02</x:v>
      </x:c>
      <x:c r="E2754" s="39" t="n">
        <x:v>46177</x:v>
      </x:c>
      <x:c r="F2754" s="42" t="n">
        <x:v>145216.32</x:v>
      </x:c>
      <x:c r="G2754" s="42" t="n">
        <x:v>7260.82</x:v>
      </x:c>
      <x:c r="H2754" s="42" t="n">
        <x:v>581196.95</x:v>
      </x:c>
      <x:c r="I2754" s="39" t="n">
        <x:v>46155</x:v>
      </x:c>
    </x:row>
    <x:row r="2755">
      <x:c r="A2755" s="21" t="str">
        <x:v>SYN-0787</x:v>
      </x:c>
      <x:c r="B2755" s="21" t="str">
        <x:v>Synthetic Supplier 0787 LLC</x:v>
      </x:c>
      <x:c r="C2755" s="38" t="str">
        <x:f>"900 000 000 000 787"</x:f>
        <x:v>900 000 000 000 787</x:v>
      </x:c>
      <x:c r="D2755" s="21" t="str">
        <x:v>SYN-0787-INV-03</x:v>
      </x:c>
      <x:c r="E2755" s="39" t="n">
        <x:v>46224</x:v>
      </x:c>
      <x:c r="F2755" s="42" t="n">
        <x:v>106931.94</x:v>
      </x:c>
      <x:c r="G2755" s="42" t="n">
        <x:v>5346.6</x:v>
      </x:c>
      <x:c r="H2755" s="42" t="n">
        <x:v>581196.95</x:v>
      </x:c>
      <x:c r="I2755" s="39" t="n">
        <x:v>46155</x:v>
      </x:c>
    </x:row>
    <x:row r="2756">
      <x:c r="A2756" s="21" t="str">
        <x:v>SYN-0787</x:v>
      </x:c>
      <x:c r="B2756" s="21" t="str">
        <x:v>Synthetic Supplier 0787 LLC</x:v>
      </x:c>
      <x:c r="C2756" s="38" t="str">
        <x:f>"900 000 000 000 787"</x:f>
        <x:v>900 000 000 000 787</x:v>
      </x:c>
      <x:c r="D2756" s="21" t="str">
        <x:v>SYN-0787-INV-04</x:v>
      </x:c>
      <x:c r="E2756" s="39" t="n">
        <x:v>46271</x:v>
      </x:c>
      <x:c r="F2756" s="42" t="n">
        <x:v>143417.46</x:v>
      </x:c>
      <x:c r="G2756" s="42" t="n">
        <x:v>7170.87</x:v>
      </x:c>
      <x:c r="H2756" s="42" t="n">
        <x:v>581196.95</x:v>
      </x:c>
      <x:c r="I2756" s="39" t="n">
        <x:v>46155</x:v>
      </x:c>
    </x:row>
    <x:row r="2757">
      <x:c r="A2757" s="21" t="str">
        <x:v>SYN-0787</x:v>
      </x:c>
      <x:c r="B2757" s="21" t="str">
        <x:v>Synthetic Supplier 0787 LLC</x:v>
      </x:c>
      <x:c r="C2757" s="38" t="str">
        <x:f>"900 000 000 000 787"</x:f>
        <x:v>900 000 000 000 787</x:v>
      </x:c>
      <x:c r="D2757" s="21" t="str">
        <x:v>SYN-0787-INV-05</x:v>
      </x:c>
      <x:c r="E2757" s="39" t="n">
        <x:v>45958</x:v>
      </x:c>
      <x:c r="F2757" s="42" t="n">
        <x:v>145219.53</x:v>
      </x:c>
      <x:c r="G2757" s="42" t="n">
        <x:v>7260.98</x:v>
      </x:c>
      <x:c r="H2757" s="42" t="n">
        <x:v>581196.95</x:v>
      </x:c>
      <x:c r="I2757" s="39" t="n">
        <x:v>46155</x:v>
      </x:c>
    </x:row>
    <x:row r="2758">
      <x:c r="A2758" s="21" t="str">
        <x:v>SYN-0788</x:v>
      </x:c>
      <x:c r="B2758" s="21" t="str">
        <x:v>Synthetic Supplier 0788 LLC</x:v>
      </x:c>
      <x:c r="C2758" s="38" t="str">
        <x:f>"900 000 000 000 788"</x:f>
        <x:v>900 000 000 000 788</x:v>
      </x:c>
      <x:c r="D2758" s="21" t="str">
        <x:v>SYN-0788-INV-01</x:v>
      </x:c>
      <x:c r="E2758" s="39" t="n">
        <x:v>46143</x:v>
      </x:c>
      <x:c r="F2758" s="42" t="n">
        <x:v>171072.13</x:v>
      </x:c>
      <x:c r="G2758" s="42" t="n">
        <x:v>8553.61</x:v>
      </x:c>
      <x:c r="H2758" s="42" t="n">
        <x:v>471830.85</x:v>
      </x:c>
      <x:c r="I2758" s="39" t="n">
        <x:v>45822</x:v>
      </x:c>
    </x:row>
    <x:row r="2759">
      <x:c r="A2759" s="21" t="str">
        <x:v>SYN-0788</x:v>
      </x:c>
      <x:c r="B2759" s="21" t="str">
        <x:v>Synthetic Supplier 0788 LLC</x:v>
      </x:c>
      <x:c r="C2759" s="38" t="str">
        <x:f>"900 000 000 000 788"</x:f>
        <x:v>900 000 000 000 788</x:v>
      </x:c>
      <x:c r="D2759" s="21" t="str">
        <x:v>SYN-0788-INV-02</x:v>
      </x:c>
      <x:c r="E2759" s="39" t="n">
        <x:v>46190</x:v>
      </x:c>
      <x:c r="F2759" s="42" t="n">
        <x:v>353184.37</x:v>
      </x:c>
      <x:c r="G2759" s="42" t="n">
        <x:v>17659.22</x:v>
      </x:c>
      <x:c r="H2759" s="42" t="n">
        <x:v>471830.85</x:v>
      </x:c>
      <x:c r="I2759" s="39" t="n">
        <x:v>45822</x:v>
      </x:c>
    </x:row>
    <x:row r="2760">
      <x:c r="A2760" s="21" t="str">
        <x:v>SYN-0789</x:v>
      </x:c>
      <x:c r="B2760" s="21" t="str">
        <x:v>Synthetic Supplier 0789 LLC</x:v>
      </x:c>
      <x:c r="C2760" s="38" t="str">
        <x:f>"900 000 000 000 789"</x:f>
        <x:v>900 000 000 000 789</x:v>
      </x:c>
      <x:c r="D2760" s="21" t="str">
        <x:v>SYN-0789-INV-01</x:v>
      </x:c>
      <x:c r="E2760" s="39" t="n">
        <x:v>46156</x:v>
      </x:c>
      <x:c r="F2760" s="42" t="n">
        <x:v>107971.94</x:v>
      </x:c>
      <x:c r="G2760" s="42" t="n">
        <x:v>5398.6</x:v>
      </x:c>
      <x:c r="H2760" s="42" t="n">
        <x:v>476672.9</x:v>
      </x:c>
      <x:c r="I2760" s="39" t="n">
        <x:v>46218</x:v>
      </x:c>
    </x:row>
    <x:row r="2761">
      <x:c r="A2761" s="21" t="str">
        <x:v>SYN-0789</x:v>
      </x:c>
      <x:c r="B2761" s="21" t="str">
        <x:v>Synthetic Supplier 0789 LLC</x:v>
      </x:c>
      <x:c r="C2761" s="38" t="str">
        <x:f>"900 000 000 000 789"</x:f>
        <x:v>900 000 000 000 789</x:v>
      </x:c>
      <x:c r="D2761" s="21" t="str">
        <x:v>SYN-0789-INV-02</x:v>
      </x:c>
      <x:c r="E2761" s="39" t="n">
        <x:v>46203</x:v>
      </x:c>
      <x:c r="F2761" s="42" t="n">
        <x:v>228478.67</x:v>
      </x:c>
      <x:c r="G2761" s="42" t="n">
        <x:v>11423.93</x:v>
      </x:c>
      <x:c r="H2761" s="42" t="n">
        <x:v>476672.9</x:v>
      </x:c>
      <x:c r="I2761" s="39" t="n">
        <x:v>46218</x:v>
      </x:c>
    </x:row>
    <x:row r="2762">
      <x:c r="A2762" s="21" t="str">
        <x:v>SYN-0789</x:v>
      </x:c>
      <x:c r="B2762" s="21" t="str">
        <x:v>Synthetic Supplier 0789 LLC</x:v>
      </x:c>
      <x:c r="C2762" s="38" t="str">
        <x:f>"900 000 000 000 789"</x:f>
        <x:v>900 000 000 000 789</x:v>
      </x:c>
      <x:c r="D2762" s="21" t="str">
        <x:v>SYN-0789-INV-03</x:v>
      </x:c>
      <x:c r="E2762" s="39" t="n">
        <x:v>46250</x:v>
      </x:c>
      <x:c r="F2762" s="42" t="n">
        <x:v>193185.95</x:v>
      </x:c>
      <x:c r="G2762" s="42" t="n">
        <x:v>9659.3</x:v>
      </x:c>
      <x:c r="H2762" s="42" t="n">
        <x:v>476672.9</x:v>
      </x:c>
      <x:c r="I2762" s="39" t="n">
        <x:v>46218</x:v>
      </x:c>
    </x:row>
    <x:row r="2763">
      <x:c r="A2763" s="21" t="str">
        <x:v>SYN-0790</x:v>
      </x:c>
      <x:c r="B2763" s="21" t="str">
        <x:v>Synthetic Supplier 0790 LLC</x:v>
      </x:c>
      <x:c r="C2763" s="38" t="str">
        <x:f>"900 000 000 000 790"</x:f>
        <x:v>900 000 000 000 790</x:v>
      </x:c>
      <x:c r="D2763" s="21" t="str">
        <x:v>SYN-0790-INV-01</x:v>
      </x:c>
      <x:c r="E2763" s="39" t="n">
        <x:v>46169</x:v>
      </x:c>
      <x:c r="F2763" s="42" t="n">
        <x:v>222384.17</x:v>
      </x:c>
      <x:c r="G2763" s="42" t="n">
        <x:v>11119.21</x:v>
      </x:c>
      <x:c r="H2763" s="42" t="n">
        <x:v>566427.66</x:v>
      </x:c>
      <x:c r="I2763" s="39"/>
    </x:row>
    <x:row r="2764">
      <x:c r="A2764" s="21" t="str">
        <x:v>SYN-0790</x:v>
      </x:c>
      <x:c r="B2764" s="21" t="str">
        <x:v>Synthetic Supplier 0790 LLC</x:v>
      </x:c>
      <x:c r="C2764" s="38" t="str">
        <x:f>"900 000 000 000 790"</x:f>
        <x:v>900 000 000 000 790</x:v>
      </x:c>
      <x:c r="D2764" s="21" t="str">
        <x:v>SYN-0790-INV-02</x:v>
      </x:c>
      <x:c r="E2764" s="39" t="n">
        <x:v>46216</x:v>
      </x:c>
      <x:c r="F2764" s="42" t="n">
        <x:v>149579.32</x:v>
      </x:c>
      <x:c r="G2764" s="42" t="n">
        <x:v>7478.97</x:v>
      </x:c>
      <x:c r="H2764" s="42" t="n">
        <x:v>566427.66</x:v>
      </x:c>
      <x:c r="I2764" s="39"/>
    </x:row>
    <x:row r="2765">
      <x:c r="A2765" s="21" t="str">
        <x:v>SYN-0790</x:v>
      </x:c>
      <x:c r="B2765" s="21" t="str">
        <x:v>Synthetic Supplier 0790 LLC</x:v>
      </x:c>
      <x:c r="C2765" s="38" t="str">
        <x:f>"900 000 000 000 790"</x:f>
        <x:v>900 000 000 000 790</x:v>
      </x:c>
      <x:c r="D2765" s="21" t="str">
        <x:v>SYN-0790-INV-03</x:v>
      </x:c>
      <x:c r="E2765" s="39" t="n">
        <x:v>46263</x:v>
      </x:c>
      <x:c r="F2765" s="42" t="n">
        <x:v>129779.21</x:v>
      </x:c>
      <x:c r="G2765" s="42" t="n">
        <x:v>6488.96</x:v>
      </x:c>
      <x:c r="H2765" s="42" t="n">
        <x:v>566427.66</x:v>
      </x:c>
      <x:c r="I2765" s="39"/>
    </x:row>
    <x:row r="2766">
      <x:c r="A2766" s="21" t="str">
        <x:v>SYN-0790</x:v>
      </x:c>
      <x:c r="B2766" s="21" t="str">
        <x:v>Synthetic Supplier 0790 LLC</x:v>
      </x:c>
      <x:c r="C2766" s="38" t="str">
        <x:f>"900 000 000 000 790"</x:f>
        <x:v>900 000 000 000 790</x:v>
      </x:c>
      <x:c r="D2766" s="21" t="str">
        <x:v>SYN-0790-INV-04</x:v>
      </x:c>
      <x:c r="E2766" s="39" t="n">
        <x:v>45950</x:v>
      </x:c>
      <x:c r="F2766" s="42" t="n">
        <x:v>127621.37</x:v>
      </x:c>
      <x:c r="G2766" s="42" t="n">
        <x:v>6381.07</x:v>
      </x:c>
      <x:c r="H2766" s="42" t="n">
        <x:v>566427.66</x:v>
      </x:c>
      <x:c r="I2766" s="39"/>
    </x:row>
    <x:row r="2767">
      <x:c r="A2767" s="21" t="str">
        <x:v>SYN-0791</x:v>
      </x:c>
      <x:c r="B2767" s="21" t="str">
        <x:v>Synthetic Supplier 0791 LLC</x:v>
      </x:c>
      <x:c r="C2767" s="38" t="str">
        <x:f>"900 000 000 000 791"</x:f>
        <x:v>900 000 000 000 791</x:v>
      </x:c>
      <x:c r="D2767" s="21" t="str">
        <x:v>SYN-0791-INV-01</x:v>
      </x:c>
      <x:c r="E2767" s="39" t="n">
        <x:v>46182</x:v>
      </x:c>
      <x:c r="F2767" s="42" t="n">
        <x:v>146630.81</x:v>
      </x:c>
      <x:c r="G2767" s="42" t="n">
        <x:v>7331.54</x:v>
      </x:c>
      <x:c r="H2767" s="42" t="n">
        <x:v>919576.43</x:v>
      </x:c>
      <x:c r="I2767" s="39" t="n">
        <x:v>46282</x:v>
      </x:c>
    </x:row>
    <x:row r="2768">
      <x:c r="A2768" s="21" t="str">
        <x:v>SYN-0791</x:v>
      </x:c>
      <x:c r="B2768" s="21" t="str">
        <x:v>Synthetic Supplier 0791 LLC</x:v>
      </x:c>
      <x:c r="C2768" s="38" t="str">
        <x:f>"900 000 000 000 791"</x:f>
        <x:v>900 000 000 000 791</x:v>
      </x:c>
      <x:c r="D2768" s="21" t="str">
        <x:v>SYN-0791-INV-02</x:v>
      </x:c>
      <x:c r="E2768" s="39" t="n">
        <x:v>46229</x:v>
      </x:c>
      <x:c r="F2768" s="42" t="n">
        <x:v>158282.5</x:v>
      </x:c>
      <x:c r="G2768" s="42" t="n">
        <x:v>7914.12</x:v>
      </x:c>
      <x:c r="H2768" s="42" t="n">
        <x:v>919576.43</x:v>
      </x:c>
      <x:c r="I2768" s="39" t="n">
        <x:v>46282</x:v>
      </x:c>
    </x:row>
    <x:row r="2769">
      <x:c r="A2769" s="21" t="str">
        <x:v>SYN-0791</x:v>
      </x:c>
      <x:c r="B2769" s="21" t="str">
        <x:v>Synthetic Supplier 0791 LLC</x:v>
      </x:c>
      <x:c r="C2769" s="38" t="str">
        <x:f>"900 000 000 000 791"</x:f>
        <x:v>900 000 000 000 791</x:v>
      </x:c>
      <x:c r="D2769" s="21" t="str">
        <x:v>SYN-0791-INV-03</x:v>
      </x:c>
      <x:c r="E2769" s="39" t="n">
        <x:v>46276</x:v>
      </x:c>
      <x:c r="F2769" s="42" t="n">
        <x:v>129841.7</x:v>
      </x:c>
      <x:c r="G2769" s="42" t="n">
        <x:v>6492.09</x:v>
      </x:c>
      <x:c r="H2769" s="42" t="n">
        <x:v>919576.43</x:v>
      </x:c>
      <x:c r="I2769" s="39" t="n">
        <x:v>46282</x:v>
      </x:c>
    </x:row>
    <x:row r="2770">
      <x:c r="A2770" s="21" t="str">
        <x:v>SYN-0791</x:v>
      </x:c>
      <x:c r="B2770" s="21" t="str">
        <x:v>Synthetic Supplier 0791 LLC</x:v>
      </x:c>
      <x:c r="C2770" s="38" t="str">
        <x:f>"900 000 000 000 791"</x:f>
        <x:v>900 000 000 000 791</x:v>
      </x:c>
      <x:c r="D2770" s="21" t="str">
        <x:v>SYN-0791-INV-04</x:v>
      </x:c>
      <x:c r="E2770" s="39" t="n">
        <x:v>45963</x:v>
      </x:c>
      <x:c r="F2770" s="42" t="n">
        <x:v>176502.81</x:v>
      </x:c>
      <x:c r="G2770" s="42" t="n">
        <x:v>8825.14</x:v>
      </x:c>
      <x:c r="H2770" s="42" t="n">
        <x:v>919576.43</x:v>
      </x:c>
      <x:c r="I2770" s="39" t="n">
        <x:v>46282</x:v>
      </x:c>
    </x:row>
    <x:row r="2771">
      <x:c r="A2771" s="21" t="str">
        <x:v>SYN-0791</x:v>
      </x:c>
      <x:c r="B2771" s="21" t="str">
        <x:v>Synthetic Supplier 0791 LLC</x:v>
      </x:c>
      <x:c r="C2771" s="38" t="str">
        <x:f>"900 000 000 000 791"</x:f>
        <x:v>900 000 000 000 791</x:v>
      </x:c>
      <x:c r="D2771" s="21" t="str">
        <x:v>SYN-0791-INV-05</x:v>
      </x:c>
      <x:c r="E2771" s="39" t="n">
        <x:v>46010</x:v>
      </x:c>
      <x:c r="F2771" s="42" t="n">
        <x:v>188373.86</x:v>
      </x:c>
      <x:c r="G2771" s="42" t="n">
        <x:v>9418.69</x:v>
      </x:c>
      <x:c r="H2771" s="42" t="n">
        <x:v>919576.43</x:v>
      </x:c>
      <x:c r="I2771" s="39" t="n">
        <x:v>46282</x:v>
      </x:c>
    </x:row>
    <x:row r="2772">
      <x:c r="A2772" s="21" t="str">
        <x:v>SYN-0792</x:v>
      </x:c>
      <x:c r="B2772" s="21" t="str">
        <x:v>Synthetic Supplier 0792 LLC</x:v>
      </x:c>
      <x:c r="C2772" s="38" t="str">
        <x:f>"900 000 000 000 792"</x:f>
        <x:v>900 000 000 000 792</x:v>
      </x:c>
      <x:c r="D2772" s="21" t="str">
        <x:v>SYN-0792-INV-01</x:v>
      </x:c>
      <x:c r="E2772" s="39" t="n">
        <x:v>46195</x:v>
      </x:c>
      <x:c r="F2772" s="42" t="n">
        <x:v>140405.77</x:v>
      </x:c>
      <x:c r="G2772" s="42" t="n">
        <x:v>7020.29</x:v>
      </x:c>
      <x:c r="H2772" s="42" t="n">
        <x:v>365850.27</x:v>
      </x:c>
      <x:c r="I2772" s="39" t="n">
        <x:v>45675</x:v>
      </x:c>
    </x:row>
    <x:row r="2773">
      <x:c r="A2773" s="21" t="str">
        <x:v>SYN-0792</x:v>
      </x:c>
      <x:c r="B2773" s="21" t="str">
        <x:v>Synthetic Supplier 0792 LLC</x:v>
      </x:c>
      <x:c r="C2773" s="38" t="str">
        <x:f>"900 000 000 000 792"</x:f>
        <x:v>900 000 000 000 792</x:v>
      </x:c>
      <x:c r="D2773" s="21" t="str">
        <x:v>SYN-0792-INV-02</x:v>
      </x:c>
      <x:c r="E2773" s="39" t="n">
        <x:v>46242</x:v>
      </x:c>
      <x:c r="F2773" s="42" t="n">
        <x:v>266094.53</x:v>
      </x:c>
      <x:c r="G2773" s="42" t="n">
        <x:v>13304.73</x:v>
      </x:c>
      <x:c r="H2773" s="42" t="n">
        <x:v>365850.27</x:v>
      </x:c>
      <x:c r="I2773" s="39" t="n">
        <x:v>45675</x:v>
      </x:c>
    </x:row>
    <x:row r="2774">
      <x:c r="A2774" s="21" t="str">
        <x:v>SYN-0793</x:v>
      </x:c>
      <x:c r="B2774" s="21" t="str">
        <x:v>Synthetic Supplier 0793 LLC</x:v>
      </x:c>
      <x:c r="C2774" s="38" t="str">
        <x:f>"900 000 000 000 793"</x:f>
        <x:v>900 000 000 000 793</x:v>
      </x:c>
      <x:c r="D2774" s="21" t="str">
        <x:v>SYN-0793-INV-01</x:v>
      </x:c>
      <x:c r="E2774" s="39" t="n">
        <x:v>46208</x:v>
      </x:c>
      <x:c r="F2774" s="42" t="n">
        <x:v>162804.39</x:v>
      </x:c>
      <x:c r="G2774" s="42" t="n">
        <x:v>8140.22</x:v>
      </x:c>
      <x:c r="H2774" s="42" t="n">
        <x:v>438043.38</x:v>
      </x:c>
      <x:c r="I2774" s="39" t="n">
        <x:v>46072</x:v>
      </x:c>
    </x:row>
    <x:row r="2775">
      <x:c r="A2775" s="21" t="str">
        <x:v>SYN-0793</x:v>
      </x:c>
      <x:c r="B2775" s="21" t="str">
        <x:v>Synthetic Supplier 0793 LLC</x:v>
      </x:c>
      <x:c r="C2775" s="38" t="str">
        <x:f>"900 000 000 000 793"</x:f>
        <x:v>900 000 000 000 793</x:v>
      </x:c>
      <x:c r="D2775" s="21" t="str">
        <x:v>SYN-0793-INV-02</x:v>
      </x:c>
      <x:c r="E2775" s="39" t="n">
        <x:v>46255</x:v>
      </x:c>
      <x:c r="F2775" s="42" t="n">
        <x:v>139198.42</x:v>
      </x:c>
      <x:c r="G2775" s="42" t="n">
        <x:v>6959.92</x:v>
      </x:c>
      <x:c r="H2775" s="42" t="n">
        <x:v>438043.38</x:v>
      </x:c>
      <x:c r="I2775" s="39" t="n">
        <x:v>46072</x:v>
      </x:c>
    </x:row>
    <x:row r="2776">
      <x:c r="A2776" s="21" t="str">
        <x:v>SYN-0793</x:v>
      </x:c>
      <x:c r="B2776" s="21" t="str">
        <x:v>Synthetic Supplier 0793 LLC</x:v>
      </x:c>
      <x:c r="C2776" s="38" t="str">
        <x:f>"900 000 000 000 793"</x:f>
        <x:v>900 000 000 000 793</x:v>
      </x:c>
      <x:c r="D2776" s="21" t="str">
        <x:v>SYN-0793-INV-03</x:v>
      </x:c>
      <x:c r="E2776" s="39" t="n">
        <x:v>45942</x:v>
      </x:c>
      <x:c r="F2776" s="42" t="n">
        <x:v>184712.06</x:v>
      </x:c>
      <x:c r="G2776" s="42" t="n">
        <x:v>9235.6</x:v>
      </x:c>
      <x:c r="H2776" s="42" t="n">
        <x:v>438043.38</x:v>
      </x:c>
      <x:c r="I2776" s="39" t="n">
        <x:v>46072</x:v>
      </x:c>
    </x:row>
    <x:row r="2777">
      <x:c r="A2777" s="21" t="str">
        <x:v>SYN-0794</x:v>
      </x:c>
      <x:c r="B2777" s="21" t="str">
        <x:v>Synthetic Supplier 0794 LLC</x:v>
      </x:c>
      <x:c r="C2777" s="38" t="str">
        <x:f>"900 000 000 000 794"</x:f>
        <x:v>900 000 000 000 794</x:v>
      </x:c>
      <x:c r="D2777" s="21" t="str">
        <x:v>SYN-0794-INV-01</x:v>
      </x:c>
      <x:c r="E2777" s="39" t="n">
        <x:v>46221</x:v>
      </x:c>
      <x:c r="F2777" s="42" t="n">
        <x:v>150275.61</x:v>
      </x:c>
      <x:c r="G2777" s="42" t="n">
        <x:v>7513.78</x:v>
      </x:c>
      <x:c r="H2777" s="42" t="n">
        <x:v>710553.19</x:v>
      </x:c>
      <x:c r="I2777" s="39" t="n">
        <x:v>45736</x:v>
      </x:c>
    </x:row>
    <x:row r="2778">
      <x:c r="A2778" s="21" t="str">
        <x:v>SYN-0794</x:v>
      </x:c>
      <x:c r="B2778" s="21" t="str">
        <x:v>Synthetic Supplier 0794 LLC</x:v>
      </x:c>
      <x:c r="C2778" s="38" t="str">
        <x:f>"900 000 000 000 794"</x:f>
        <x:v>900 000 000 000 794</x:v>
      </x:c>
      <x:c r="D2778" s="21" t="str">
        <x:v>SYN-0794-INV-02</x:v>
      </x:c>
      <x:c r="E2778" s="39" t="n">
        <x:v>46268</x:v>
      </x:c>
      <x:c r="F2778" s="42" t="n">
        <x:v>177960.74</x:v>
      </x:c>
      <x:c r="G2778" s="42" t="n">
        <x:v>8898.04</x:v>
      </x:c>
      <x:c r="H2778" s="42" t="n">
        <x:v>710553.19</x:v>
      </x:c>
      <x:c r="I2778" s="39" t="n">
        <x:v>45736</x:v>
      </x:c>
    </x:row>
    <x:row r="2779">
      <x:c r="A2779" s="21" t="str">
        <x:v>SYN-0794</x:v>
      </x:c>
      <x:c r="B2779" s="21" t="str">
        <x:v>Synthetic Supplier 0794 LLC</x:v>
      </x:c>
      <x:c r="C2779" s="38" t="str">
        <x:f>"900 000 000 000 794"</x:f>
        <x:v>900 000 000 000 794</x:v>
      </x:c>
      <x:c r="D2779" s="21" t="str">
        <x:v>SYN-0794-INV-03</x:v>
      </x:c>
      <x:c r="E2779" s="39" t="n">
        <x:v>45955</x:v>
      </x:c>
      <x:c r="F2779" s="42" t="n">
        <x:v>241449.89</x:v>
      </x:c>
      <x:c r="G2779" s="42" t="n">
        <x:v>12072.49</x:v>
      </x:c>
      <x:c r="H2779" s="42" t="n">
        <x:v>710553.19</x:v>
      </x:c>
      <x:c r="I2779" s="39" t="n">
        <x:v>45736</x:v>
      </x:c>
    </x:row>
    <x:row r="2780">
      <x:c r="A2780" s="21" t="str">
        <x:v>SYN-0794</x:v>
      </x:c>
      <x:c r="B2780" s="21" t="str">
        <x:v>Synthetic Supplier 0794 LLC</x:v>
      </x:c>
      <x:c r="C2780" s="38" t="str">
        <x:f>"900 000 000 000 794"</x:f>
        <x:v>900 000 000 000 794</x:v>
      </x:c>
      <x:c r="D2780" s="21" t="str">
        <x:v>SYN-0794-INV-04</x:v>
      </x:c>
      <x:c r="E2780" s="39" t="n">
        <x:v>46002</x:v>
      </x:c>
      <x:c r="F2780" s="42" t="n">
        <x:v>219817.31</x:v>
      </x:c>
      <x:c r="G2780" s="42" t="n">
        <x:v>10990.87</x:v>
      </x:c>
      <x:c r="H2780" s="42" t="n">
        <x:v>710553.19</x:v>
      </x:c>
      <x:c r="I2780" s="39" t="n">
        <x:v>45736</x:v>
      </x:c>
    </x:row>
    <x:row r="2781">
      <x:c r="A2781" s="21" t="str">
        <x:v>SYN-0795</x:v>
      </x:c>
      <x:c r="B2781" s="21" t="str">
        <x:v>Synthetic Supplier 0795 LLC</x:v>
      </x:c>
      <x:c r="C2781" s="38" t="str">
        <x:f>"900 000 000 000 795"</x:f>
        <x:v>900 000 000 000 795</x:v>
      </x:c>
      <x:c r="D2781" s="21" t="str">
        <x:v>SYN-0795-INV-01</x:v>
      </x:c>
      <x:c r="E2781" s="39" t="n">
        <x:v>46234</x:v>
      </x:c>
      <x:c r="F2781" s="42" t="n">
        <x:v>93774.57</x:v>
      </x:c>
      <x:c r="G2781" s="42" t="n">
        <x:v>4688.73</x:v>
      </x:c>
      <x:c r="H2781" s="42" t="n">
        <x:v>665201.12</x:v>
      </x:c>
      <x:c r="I2781" s="39"/>
    </x:row>
    <x:row r="2782">
      <x:c r="A2782" s="21" t="str">
        <x:v>SYN-0795</x:v>
      </x:c>
      <x:c r="B2782" s="21" t="str">
        <x:v>Synthetic Supplier 0795 LLC</x:v>
      </x:c>
      <x:c r="C2782" s="38" t="str">
        <x:f>"900 000 000 000 795"</x:f>
        <x:v>900 000 000 000 795</x:v>
      </x:c>
      <x:c r="D2782" s="21" t="str">
        <x:v>SYN-0795-INV-02</x:v>
      </x:c>
      <x:c r="E2782" s="39" t="n">
        <x:v>46281</x:v>
      </x:c>
      <x:c r="F2782" s="42" t="n">
        <x:v>103780.61</x:v>
      </x:c>
      <x:c r="G2782" s="42" t="n">
        <x:v>5189.03</x:v>
      </x:c>
      <x:c r="H2782" s="42" t="n">
        <x:v>665201.12</x:v>
      </x:c>
      <x:c r="I2782" s="39"/>
    </x:row>
    <x:row r="2783">
      <x:c r="A2783" s="21" t="str">
        <x:v>SYN-0795</x:v>
      </x:c>
      <x:c r="B2783" s="21" t="str">
        <x:v>Synthetic Supplier 0795 LLC</x:v>
      </x:c>
      <x:c r="C2783" s="38" t="str">
        <x:f>"900 000 000 000 795"</x:f>
        <x:v>900 000 000 000 795</x:v>
      </x:c>
      <x:c r="D2783" s="21" t="str">
        <x:v>SYN-0795-INV-03</x:v>
      </x:c>
      <x:c r="E2783" s="39" t="n">
        <x:v>45968</x:v>
      </x:c>
      <x:c r="F2783" s="42" t="n">
        <x:v>187304.82</x:v>
      </x:c>
      <x:c r="G2783" s="42" t="n">
        <x:v>9365.24</x:v>
      </x:c>
      <x:c r="H2783" s="42" t="n">
        <x:v>665201.12</x:v>
      </x:c>
      <x:c r="I2783" s="39"/>
    </x:row>
    <x:row r="2784">
      <x:c r="A2784" s="21" t="str">
        <x:v>SYN-0795</x:v>
      </x:c>
      <x:c r="B2784" s="21" t="str">
        <x:v>Synthetic Supplier 0795 LLC</x:v>
      </x:c>
      <x:c r="C2784" s="38" t="str">
        <x:f>"900 000 000 000 795"</x:f>
        <x:v>900 000 000 000 795</x:v>
      </x:c>
      <x:c r="D2784" s="21" t="str">
        <x:v>SYN-0795-INV-04</x:v>
      </x:c>
      <x:c r="E2784" s="39" t="n">
        <x:v>46015</x:v>
      </x:c>
      <x:c r="F2784" s="42" t="n">
        <x:v>183522.07</x:v>
      </x:c>
      <x:c r="G2784" s="42" t="n">
        <x:v>9176.1</x:v>
      </x:c>
      <x:c r="H2784" s="42" t="n">
        <x:v>665201.12</x:v>
      </x:c>
      <x:c r="I2784" s="39"/>
    </x:row>
    <x:row r="2785">
      <x:c r="A2785" s="21" t="str">
        <x:v>SYN-0795</x:v>
      </x:c>
      <x:c r="B2785" s="21" t="str">
        <x:v>Synthetic Supplier 0795 LLC</x:v>
      </x:c>
      <x:c r="C2785" s="38" t="str">
        <x:f>"900 000 000 000 795"</x:f>
        <x:v>900 000 000 000 795</x:v>
      </x:c>
      <x:c r="D2785" s="21" t="str">
        <x:v>SYN-0795-INV-05</x:v>
      </x:c>
      <x:c r="E2785" s="39" t="n">
        <x:v>46062</x:v>
      </x:c>
      <x:c r="F2785" s="42" t="n">
        <x:v>170730.29</x:v>
      </x:c>
      <x:c r="G2785" s="42" t="n">
        <x:v>8536.51</x:v>
      </x:c>
      <x:c r="H2785" s="42" t="n">
        <x:v>665201.12</x:v>
      </x:c>
      <x:c r="I2785" s="39"/>
    </x:row>
    <x:row r="2786">
      <x:c r="A2786" s="21" t="str">
        <x:v>SYN-0796</x:v>
      </x:c>
      <x:c r="B2786" s="21" t="str">
        <x:v>Synthetic Supplier 0796 LLC</x:v>
      </x:c>
      <x:c r="C2786" s="38" t="str">
        <x:f>"900 000 000 000 796"</x:f>
        <x:v>900 000 000 000 796</x:v>
      </x:c>
      <x:c r="D2786" s="21" t="str">
        <x:v>SYN-0796-INV-01</x:v>
      </x:c>
      <x:c r="E2786" s="39" t="n">
        <x:v>46247</x:v>
      </x:c>
      <x:c r="F2786" s="42" t="n">
        <x:v>196608.16</x:v>
      </x:c>
      <x:c r="G2786" s="42" t="n">
        <x:v>9830.41</x:v>
      </x:c>
      <x:c r="H2786" s="42" t="n">
        <x:v>404752.56</x:v>
      </x:c>
      <x:c r="I2786" s="39" t="n">
        <x:v>45799</x:v>
      </x:c>
    </x:row>
    <x:row r="2787">
      <x:c r="A2787" s="21" t="str">
        <x:v>SYN-0796</x:v>
      </x:c>
      <x:c r="B2787" s="21" t="str">
        <x:v>Synthetic Supplier 0796 LLC</x:v>
      </x:c>
      <x:c r="C2787" s="38" t="str">
        <x:f>"900 000 000 000 796"</x:f>
        <x:v>900 000 000 000 796</x:v>
      </x:c>
      <x:c r="D2787" s="21" t="str">
        <x:v>SYN-0796-INV-02</x:v>
      </x:c>
      <x:c r="E2787" s="39" t="n">
        <x:v>45934</x:v>
      </x:c>
      <x:c r="F2787" s="42" t="n">
        <x:v>253116.91</x:v>
      </x:c>
      <x:c r="G2787" s="42" t="n">
        <x:v>12655.85</x:v>
      </x:c>
      <x:c r="H2787" s="42" t="n">
        <x:v>404752.56</x:v>
      </x:c>
      <x:c r="I2787" s="39" t="n">
        <x:v>45799</x:v>
      </x:c>
    </x:row>
    <x:row r="2788">
      <x:c r="A2788" s="21" t="str">
        <x:v>SYN-0797</x:v>
      </x:c>
      <x:c r="B2788" s="21" t="str">
        <x:v>Synthetic Supplier 0797 LLC</x:v>
      </x:c>
      <x:c r="C2788" s="38" t="str">
        <x:f>"900 000 000 000 797"</x:f>
        <x:v>900 000 000 000 797</x:v>
      </x:c>
      <x:c r="D2788" s="21" t="str">
        <x:v>SYN-0797-INV-01</x:v>
      </x:c>
      <x:c r="E2788" s="39" t="n">
        <x:v>46260</x:v>
      </x:c>
      <x:c r="F2788" s="42" t="n">
        <x:v>103263.87</x:v>
      </x:c>
      <x:c r="G2788" s="42" t="n">
        <x:v>5163.19</x:v>
      </x:c>
      <x:c r="H2788" s="42" t="n">
        <x:v>429837.71</x:v>
      </x:c>
      <x:c r="I2788" s="39" t="n">
        <x:v>46196</x:v>
      </x:c>
    </x:row>
    <x:row r="2789">
      <x:c r="A2789" s="21" t="str">
        <x:v>SYN-0797</x:v>
      </x:c>
      <x:c r="B2789" s="21" t="str">
        <x:v>Synthetic Supplier 0797 LLC</x:v>
      </x:c>
      <x:c r="C2789" s="38" t="str">
        <x:f>"900 000 000 000 797"</x:f>
        <x:v>900 000 000 000 797</x:v>
      </x:c>
      <x:c r="D2789" s="21" t="str">
        <x:v>SYN-0797-INV-02</x:v>
      </x:c>
      <x:c r="E2789" s="39" t="n">
        <x:v>45947</x:v>
      </x:c>
      <x:c r="F2789" s="42" t="n">
        <x:v>174492.79</x:v>
      </x:c>
      <x:c r="G2789" s="42" t="n">
        <x:v>8724.64</x:v>
      </x:c>
      <x:c r="H2789" s="42" t="n">
        <x:v>429837.71</x:v>
      </x:c>
      <x:c r="I2789" s="39" t="n">
        <x:v>46196</x:v>
      </x:c>
    </x:row>
    <x:row r="2790">
      <x:c r="A2790" s="21" t="str">
        <x:v>SYN-0797</x:v>
      </x:c>
      <x:c r="B2790" s="21" t="str">
        <x:v>Synthetic Supplier 0797 LLC</x:v>
      </x:c>
      <x:c r="C2790" s="38" t="str">
        <x:f>"900 000 000 000 797"</x:f>
        <x:v>900 000 000 000 797</x:v>
      </x:c>
      <x:c r="D2790" s="21" t="str">
        <x:v>SYN-0797-INV-03</x:v>
      </x:c>
      <x:c r="E2790" s="39" t="n">
        <x:v>45994</x:v>
      </x:c>
      <x:c r="F2790" s="42" t="n">
        <x:v>199840.79</x:v>
      </x:c>
      <x:c r="G2790" s="42" t="n">
        <x:v>9992.04</x:v>
      </x:c>
      <x:c r="H2790" s="42" t="n">
        <x:v>429837.71</x:v>
      </x:c>
      <x:c r="I2790" s="39" t="n">
        <x:v>46196</x:v>
      </x:c>
    </x:row>
    <x:row r="2791">
      <x:c r="A2791" s="21" t="str">
        <x:v>SYN-0798</x:v>
      </x:c>
      <x:c r="B2791" s="21" t="str">
        <x:v>Synthetic Supplier 0798 LLC</x:v>
      </x:c>
      <x:c r="C2791" s="38" t="str">
        <x:f>"900 000 000 000 798"</x:f>
        <x:v>900 000 000 000 798</x:v>
      </x:c>
      <x:c r="D2791" s="21" t="str">
        <x:v>SYN-0798-INV-01</x:v>
      </x:c>
      <x:c r="E2791" s="39" t="n">
        <x:v>46273</x:v>
      </x:c>
      <x:c r="F2791" s="42" t="n">
        <x:v>112101.62</x:v>
      </x:c>
      <x:c r="G2791" s="42" t="n">
        <x:v>5605.08</x:v>
      </x:c>
      <x:c r="H2791" s="42" t="n">
        <x:v>796766.45</x:v>
      </x:c>
      <x:c r="I2791" s="39" t="n">
        <x:v>45862</x:v>
      </x:c>
    </x:row>
    <x:row r="2792">
      <x:c r="A2792" s="21" t="str">
        <x:v>SYN-0798</x:v>
      </x:c>
      <x:c r="B2792" s="21" t="str">
        <x:v>Synthetic Supplier 0798 LLC</x:v>
      </x:c>
      <x:c r="C2792" s="38" t="str">
        <x:f>"900 000 000 000 798"</x:f>
        <x:v>900 000 000 000 798</x:v>
      </x:c>
      <x:c r="D2792" s="21" t="str">
        <x:v>SYN-0798-INV-02</x:v>
      </x:c>
      <x:c r="E2792" s="39" t="n">
        <x:v>45960</x:v>
      </x:c>
      <x:c r="F2792" s="42" t="n">
        <x:v>219004.93</x:v>
      </x:c>
      <x:c r="G2792" s="42" t="n">
        <x:v>10950.25</x:v>
      </x:c>
      <x:c r="H2792" s="42" t="n">
        <x:v>796766.45</x:v>
      </x:c>
      <x:c r="I2792" s="39" t="n">
        <x:v>45862</x:v>
      </x:c>
    </x:row>
    <x:row r="2793">
      <x:c r="A2793" s="21" t="str">
        <x:v>SYN-0798</x:v>
      </x:c>
      <x:c r="B2793" s="21" t="str">
        <x:v>Synthetic Supplier 0798 LLC</x:v>
      </x:c>
      <x:c r="C2793" s="38" t="str">
        <x:f>"900 000 000 000 798"</x:f>
        <x:v>900 000 000 000 798</x:v>
      </x:c>
      <x:c r="D2793" s="21" t="str">
        <x:v>SYN-0798-INV-03</x:v>
      </x:c>
      <x:c r="E2793" s="39" t="n">
        <x:v>46007</x:v>
      </x:c>
      <x:c r="F2793" s="42" t="n">
        <x:v>209182.79</x:v>
      </x:c>
      <x:c r="G2793" s="42" t="n">
        <x:v>10459.14</x:v>
      </x:c>
      <x:c r="H2793" s="42" t="n">
        <x:v>796766.45</x:v>
      </x:c>
      <x:c r="I2793" s="39" t="n">
        <x:v>45862</x:v>
      </x:c>
    </x:row>
    <x:row r="2794">
      <x:c r="A2794" s="21" t="str">
        <x:v>SYN-0798</x:v>
      </x:c>
      <x:c r="B2794" s="21" t="str">
        <x:v>Synthetic Supplier 0798 LLC</x:v>
      </x:c>
      <x:c r="C2794" s="38" t="str">
        <x:f>"900 000 000 000 798"</x:f>
        <x:v>900 000 000 000 798</x:v>
      </x:c>
      <x:c r="D2794" s="21" t="str">
        <x:v>SYN-0798-INV-04</x:v>
      </x:c>
      <x:c r="E2794" s="39" t="n">
        <x:v>46054</x:v>
      </x:c>
      <x:c r="F2794" s="42" t="n">
        <x:v>152551.04</x:v>
      </x:c>
      <x:c r="G2794" s="42" t="n">
        <x:v>7627.55</x:v>
      </x:c>
      <x:c r="H2794" s="42" t="n">
        <x:v>796766.45</x:v>
      </x:c>
      <x:c r="I2794" s="39" t="n">
        <x:v>45862</x:v>
      </x:c>
    </x:row>
    <x:row r="2795">
      <x:c r="A2795" s="21" t="str">
        <x:v>SYN-0799</x:v>
      </x:c>
      <x:c r="B2795" s="21" t="str">
        <x:v>Synthetic Supplier 0799 LLC</x:v>
      </x:c>
      <x:c r="C2795" s="38" t="str">
        <x:f>"900 000 000 000 799"</x:f>
        <x:v>900 000 000 000 799</x:v>
      </x:c>
      <x:c r="D2795" s="21" t="str">
        <x:v>SYN-0799-INV-01</x:v>
      </x:c>
      <x:c r="E2795" s="39" t="n">
        <x:v>46286</x:v>
      </x:c>
      <x:c r="F2795" s="42" t="n">
        <x:v>157128.13</x:v>
      </x:c>
      <x:c r="G2795" s="42" t="n">
        <x:v>7856.41</x:v>
      </x:c>
      <x:c r="H2795" s="42" t="n">
        <x:v>612360.65</x:v>
      </x:c>
      <x:c r="I2795" s="39" t="n">
        <x:v>46259</x:v>
      </x:c>
    </x:row>
    <x:row r="2796">
      <x:c r="A2796" s="21" t="str">
        <x:v>SYN-0799</x:v>
      </x:c>
      <x:c r="B2796" s="21" t="str">
        <x:v>Synthetic Supplier 0799 LLC</x:v>
      </x:c>
      <x:c r="C2796" s="38" t="str">
        <x:f>"900 000 000 000 799"</x:f>
        <x:v>900 000 000 000 799</x:v>
      </x:c>
      <x:c r="D2796" s="21" t="str">
        <x:v>SYN-0799-INV-02</x:v>
      </x:c>
      <x:c r="E2796" s="39" t="n">
        <x:v>45973</x:v>
      </x:c>
      <x:c r="F2796" s="42" t="n">
        <x:v>158126.09</x:v>
      </x:c>
      <x:c r="G2796" s="42" t="n">
        <x:v>7906.3</x:v>
      </x:c>
      <x:c r="H2796" s="42" t="n">
        <x:v>612360.65</x:v>
      </x:c>
      <x:c r="I2796" s="39" t="n">
        <x:v>46259</x:v>
      </x:c>
    </x:row>
    <x:row r="2797">
      <x:c r="A2797" s="21" t="str">
        <x:v>SYN-0799</x:v>
      </x:c>
      <x:c r="B2797" s="21" t="str">
        <x:v>Synthetic Supplier 0799 LLC</x:v>
      </x:c>
      <x:c r="C2797" s="38" t="str">
        <x:f>"900 000 000 000 799"</x:f>
        <x:v>900 000 000 000 799</x:v>
      </x:c>
      <x:c r="D2797" s="21" t="str">
        <x:v>SYN-0799-INV-03</x:v>
      </x:c>
      <x:c r="E2797" s="39" t="n">
        <x:v>46020</x:v>
      </x:c>
      <x:c r="F2797" s="42" t="n">
        <x:v>145033.12</x:v>
      </x:c>
      <x:c r="G2797" s="42" t="n">
        <x:v>7251.66</x:v>
      </x:c>
      <x:c r="H2797" s="42" t="n">
        <x:v>612360.65</x:v>
      </x:c>
      <x:c r="I2797" s="39" t="n">
        <x:v>46259</x:v>
      </x:c>
    </x:row>
    <x:row r="2798">
      <x:c r="A2798" s="21" t="str">
        <x:v>SYN-0799</x:v>
      </x:c>
      <x:c r="B2798" s="21" t="str">
        <x:v>Synthetic Supplier 0799 LLC</x:v>
      </x:c>
      <x:c r="C2798" s="38" t="str">
        <x:f>"900 000 000 000 799"</x:f>
        <x:v>900 000 000 000 799</x:v>
      </x:c>
      <x:c r="D2798" s="21" t="str">
        <x:v>SYN-0799-INV-04</x:v>
      </x:c>
      <x:c r="E2798" s="39" t="n">
        <x:v>46067</x:v>
      </x:c>
      <x:c r="F2798" s="42" t="n">
        <x:v>82129.1</x:v>
      </x:c>
      <x:c r="G2798" s="42" t="n">
        <x:v>4106.45</x:v>
      </x:c>
      <x:c r="H2798" s="42" t="n">
        <x:v>612360.65</x:v>
      </x:c>
      <x:c r="I2798" s="39" t="n">
        <x:v>46259</x:v>
      </x:c>
    </x:row>
    <x:row r="2799">
      <x:c r="A2799" s="21" t="str">
        <x:v>SYN-0799</x:v>
      </x:c>
      <x:c r="B2799" s="21" t="str">
        <x:v>Synthetic Supplier 0799 LLC</x:v>
      </x:c>
      <x:c r="C2799" s="38" t="str">
        <x:f>"900 000 000 000 799"</x:f>
        <x:v>900 000 000 000 799</x:v>
      </x:c>
      <x:c r="D2799" s="21" t="str">
        <x:v>SYN-0799-INV-05</x:v>
      </x:c>
      <x:c r="E2799" s="39" t="n">
        <x:v>46114</x:v>
      </x:c>
      <x:c r="F2799" s="42" t="n">
        <x:v>137984.28</x:v>
      </x:c>
      <x:c r="G2799" s="42" t="n">
        <x:v>6899.21</x:v>
      </x:c>
      <x:c r="H2799" s="42" t="n">
        <x:v>612360.65</x:v>
      </x:c>
      <x:c r="I2799" s="39" t="n">
        <x:v>46259</x:v>
      </x:c>
    </x:row>
    <x:row r="2800">
      <x:c r="A2800" s="21" t="str">
        <x:v>SYN-0800</x:v>
      </x:c>
      <x:c r="B2800" s="21" t="str">
        <x:v>Synthetic Supplier 0800 LLC</x:v>
      </x:c>
      <x:c r="C2800" s="38" t="str">
        <x:f>"900 000 000 000 800"</x:f>
        <x:v>900 000 000 000 800</x:v>
      </x:c>
      <x:c r="D2800" s="21" t="str">
        <x:v>SYN-0800-INV-01</x:v>
      </x:c>
      <x:c r="E2800" s="39" t="n">
        <x:v>45939</x:v>
      </x:c>
      <x:c r="F2800" s="42" t="n">
        <x:v>218986.04</x:v>
      </x:c>
      <x:c r="G2800" s="42" t="n">
        <x:v>10949.3</x:v>
      </x:c>
      <x:c r="H2800" s="42" t="n">
        <x:v>459243.19</x:v>
      </x:c>
      <x:c r="I2800" s="39"/>
    </x:row>
    <x:row r="2801">
      <x:c r="A2801" s="21" t="str">
        <x:v>SYN-0800</x:v>
      </x:c>
      <x:c r="B2801" s="21" t="str">
        <x:v>Synthetic Supplier 0800 LLC</x:v>
      </x:c>
      <x:c r="C2801" s="38" t="str">
        <x:f>"900 000 000 000 800"</x:f>
        <x:v>900 000 000 000 800</x:v>
      </x:c>
      <x:c r="D2801" s="21" t="str">
        <x:v>SYN-0800-INV-02</x:v>
      </x:c>
      <x:c r="E2801" s="39" t="n">
        <x:v>45986</x:v>
      </x:c>
      <x:c r="F2801" s="42" t="n">
        <x:v>291284.17</x:v>
      </x:c>
      <x:c r="G2801" s="42" t="n">
        <x:v>14564.21</x:v>
      </x:c>
      <x:c r="H2801" s="42" t="n">
        <x:v>459243.19</x:v>
      </x:c>
      <x:c r="I2801" s="39"/>
    </x:row>
  </x:sheetData>
  <x:pageMargins left="0.7" right="0.7" top="0.75" bottom="0.75" header="0.3" footer="0.3"/>
  <x:tableParts count="1">
    <x:tablePart xmlns:r="http://schemas.openxmlformats.org/officeDocument/2006/relationships" r:id="Re82e9d787bd04b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78" hidden="0" customWidth="1"/>
  </x:cols>
  <x:sheetData>
    <x:row r="1">
      <x:c r="A1" s="41" t="str">
        <x:v>Field</x:v>
      </x:c>
      <x:c r="B1" s="41" t="str">
        <x:v>Required</x:v>
      </x:c>
      <x:c r="C1" s="41" t="str">
        <x:v>Format</x:v>
      </x:c>
      <x:c r="D1" s="41" t="str">
        <x:v>Meaning</x:v>
      </x:c>
    </x:row>
    <x:row r="2">
      <x:c r="A2" s="8" t="str">
        <x:v>supplier_reference</x:v>
      </x:c>
      <x:c r="B2" s="9" t="str">
        <x:v>Yes</x:v>
      </x:c>
      <x:c r="C2" s="9" t="str">
        <x:v>Text</x:v>
      </x:c>
      <x:c r="D2" s="9" t="str">
        <x:v>Internal ERP/vendor identifier used to group ledger transactions. It is not expected on supplier documents.</x:v>
      </x:c>
    </x:row>
    <x:row r="3">
      <x:c r="A3" s="8" t="str">
        <x:v>supplier_name</x:v>
      </x:c>
      <x:c r="B3" s="9" t="str">
        <x:v>No</x:v>
      </x:c>
      <x:c r="C3" s="9" t="str">
        <x:v>Text</x:v>
      </x:c>
      <x:c r="D3" s="9" t="str">
        <x:v>Optional. Add the supplier legal name only when document linkage is required.</x:v>
      </x:c>
    </x:row>
    <x:row r="4">
      <x:c r="A4" s="8" t="str">
        <x:v>supplier_trn</x:v>
      </x:c>
      <x:c r="B4" s="9" t="str">
        <x:v>No</x:v>
      </x:c>
      <x:c r="C4" s="9" t="str">
        <x:v>15 digits</x:v>
      </x:c>
      <x:c r="D4" s="9" t="str">
        <x:v>Optional. Add the supplier TRN only when document linkage is required.</x:v>
      </x:c>
    </x:row>
    <x:row r="5">
      <x:c r="A5" s="8" t="str">
        <x:v>supply_reference</x:v>
      </x:c>
      <x:c r="B5" s="9" t="str">
        <x:v>Yes</x:v>
      </x:c>
      <x:c r="C5" s="9" t="str">
        <x:v>Text</x:v>
      </x:c>
      <x:c r="D5" s="9" t="str">
        <x:v>Unique invoice or transaction identifier within the supplier.</x:v>
      </x:c>
    </x:row>
    <x:row r="6">
      <x:c r="A6" s="8" t="str">
        <x:v>supply_date</x:v>
      </x:c>
      <x:c r="B6" s="9" t="str">
        <x:v>Yes</x:v>
      </x:c>
      <x:c r="C6" s="9" t="str">
        <x:v>YYYY-MM-DD</x:v>
      </x:c>
      <x:c r="D6" s="9" t="str">
        <x:v>Date used in the rolling twelve-calendar-month window.</x:v>
      </x:c>
    </x:row>
    <x:row r="7">
      <x:c r="A7" s="8" t="str">
        <x:v>amount_excluding_vat</x:v>
      </x:c>
      <x:c r="B7" s="9" t="str">
        <x:v>Yes</x:v>
      </x:c>
      <x:c r="C7" s="9" t="str">
        <x:v>AED</x:v>
      </x:c>
      <x:c r="D7" s="9" t="str">
        <x:v>Consideration excluding VAT.</x:v>
      </x:c>
    </x:row>
    <x:row r="8">
      <x:c r="A8" s="8" t="str">
        <x:v>input_vat</x:v>
      </x:c>
      <x:c r="B8" s="9" t="str">
        <x:v>No</x:v>
      </x:c>
      <x:c r="C8" s="9" t="str">
        <x:v>AED</x:v>
      </x:c>
      <x:c r="D8" s="9" t="str">
        <x:v>Used only to quantify screening exposure; not a recoverability conclusion.</x:v>
      </x:c>
    </x:row>
    <x:row r="9">
      <x:c r="A9" s="8" t="str">
        <x:v>expected_next_12m</x:v>
      </x:c>
      <x:c r="B9" s="9" t="str">
        <x:v>No</x:v>
      </x:c>
      <x:c r="C9" s="9" t="str">
        <x:v>AED</x:v>
      </x:c>
      <x:c r="D9" s="9" t="str">
        <x:v>Supplier-level forecast; repeat consistently on that supplier's rows.</x:v>
      </x:c>
    </x:row>
    <x:row r="10">
      <x:c r="A10" s="8" t="str">
        <x:v>last_verified_on</x:v>
      </x:c>
      <x:c r="B10" s="9" t="str">
        <x:v>No</x:v>
      </x:c>
      <x:c r="C10" s="9" t="str">
        <x:v>YYYY-MM-DD</x:v>
      </x:c>
      <x:c r="D10" s="9" t="str">
        <x:v>Last completed supplier verification; repeat consistently or leave blank.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3" t="str">
        <x:v>Check</x:v>
      </x:c>
      <x:c r="B1" s="33" t="str">
        <x:v>Actual</x:v>
      </x:c>
      <x:c r="C1" s="33" t="str">
        <x:v>Expected</x:v>
      </x:c>
      <x:c r="D1" s="33" t="str">
        <x:v>Status</x:v>
      </x:c>
    </x:row>
    <x:row r="2">
      <x:c r="A2" t="str">
        <x:v>Supplier count</x:v>
      </x:c>
      <x:c r="B2" t="n">
        <x:v>800</x:v>
      </x:c>
      <x:c r="C2" t="n">
        <x:v>800</x:v>
      </x:c>
      <x:c r="D2" t="str">
        <x:f>IF(B2=C2,"OK","FAIL")</x:f>
        <x:v>OK</x:v>
      </x:c>
    </x:row>
    <x:row r="3">
      <x:c r="A3" t="str">
        <x:v>Transaction count</x:v>
      </x:c>
      <x:c r="B3" t="n">
        <x:v>2800</x:v>
      </x:c>
      <x:c r="C3" t="n">
        <x:v>2800</x:v>
      </x:c>
      <x:c r="D3" t="str">
        <x:f>IF(B3=C3,"OK","FAIL")</x:f>
        <x:v>OK</x:v>
      </x:c>
    </x:row>
    <x:row r="4">
      <x:c r="A4" t="str">
        <x:v>Duplicate supplier/invoice pairs</x:v>
      </x:c>
      <x:c r="B4" t="n">
        <x:v>0</x:v>
      </x:c>
      <x:c r="C4" t="n">
        <x:v>0</x:v>
      </x:c>
      <x:c r="D4" t="str">
        <x:f>IF(B4=C4,"OK","FAIL")</x:f>
        <x:v>OK</x:v>
      </x:c>
    </x:row>
    <x:row r="5">
      <x:c r="A5" t="str">
        <x:v>Negative amounts</x:v>
      </x:c>
      <x:c r="B5" t="n">
        <x:v>0</x:v>
      </x:c>
      <x:c r="C5" t="n">
        <x:v>0</x:v>
      </x:c>
      <x:c r="D5" t="str">
        <x:f>IF(B5=C5,"OK","FAIL")</x:f>
        <x:v>OK</x:v>
      </x:c>
    </x:row>
    <x:row r="6">
      <x:c r="A6" s="9" t="str">
        <x:v>Ramp suppliers with a sub-AED 10,000 opening invoice</x:v>
      </x:c>
      <x:c r="B6" t="n">
        <x:v>12</x:v>
      </x:c>
      <x:c r="C6" t="n">
        <x:v>12</x:v>
      </x:c>
      <x:c r="D6" s="64" t="str">
        <x:f>IF(B6=C6,"OK","FAIL")</x:f>
        <x:v>OK</x:v>
      </x:c>
    </x:row>
    <x:row r="7">
      <x:c r="A7" s="9" t="str">
        <x:v>Due-soon cohort supplier count</x:v>
      </x:c>
      <x:c r="B7" t="n">
        <x:v>12</x:v>
      </x:c>
      <x:c r="C7" t="n">
        <x:v>12</x:v>
      </x:c>
      <x:c r="D7" s="64" t="str">
        <x:f>IF(B7=C7,"OK","FAIL")</x:f>
        <x:v>OK</x:v>
      </x:c>
    </x:row>
    <x:row r="8">
      <x:c r="A8" s="9" t="str">
        <x:v>Explicit overdue cohort supplier count</x:v>
      </x:c>
      <x:c r="B8" t="n">
        <x:v>12</x:v>
      </x:c>
      <x:c r="C8" t="n">
        <x:v>12</x:v>
      </x:c>
      <x:c r="D8" s="64" t="str">
        <x:f>IF(B8=C8,"OK","FAIL")</x:f>
        <x:v>OK</x:v>
      </x:c>
    </x:row>
  </x:sheetData>
  <x:conditionalFormatting sqref="D2:D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